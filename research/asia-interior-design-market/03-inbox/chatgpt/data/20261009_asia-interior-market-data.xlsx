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e4849798c347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指標資料" sheetId="1" r:id="R20d04d17a4514c02"/>
    <x:sheet xmlns:r="http://schemas.openxmlformats.org/officeDocument/2006/relationships" name="金額換算" sheetId="2" r:id="Rc81c004c9a2446e1"/>
    <x:sheet xmlns:r="http://schemas.openxmlformats.org/officeDocument/2006/relationships" name="區間換算" sheetId="3" r:id="R54f9b647cb724d83"/>
    <x:sheet xmlns:r="http://schemas.openxmlformats.org/officeDocument/2006/relationships" name="指標查核" sheetId="4" r:id="R1f0e5a948e1446b5"/>
    <x:sheet xmlns:r="http://schemas.openxmlformats.org/officeDocument/2006/relationships" name="來源登記" sheetId="5" r:id="R1963decddaa84e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3">
    <x:numFmt numFmtId="200" formatCode="#,##0.########"/>
    <x:numFmt numFmtId="201" formatCode="0"/>
    <x:numFmt numFmtId="202" formatCode="#,##0"/>
    <x:numFmt numFmtId="203" formatCode="#,##0.00"/>
    <x:numFmt numFmtId="204" formatCode="#,##0.0"/>
    <x:numFmt numFmtId="205" formatCode="#,##0.0000000000"/>
    <x:numFmt numFmtId="206" formatCode="#,##0.000"/>
    <x:numFmt numFmtId="207" formatCode="#,##0.00000"/>
    <x:numFmt numFmtId="208" formatCode="#,##0.000000000"/>
    <x:numFmt numFmtId="209" formatCode="#,##0.00000000"/>
    <x:numFmt numFmtId="210" formatCode="#,##0.0000000"/>
    <x:numFmt numFmtId="211" formatCode="#,##0.0000"/>
    <x:numFmt numFmtId="212" formatCode="yyyy-mm-dd"/>
  </x:numFmts>
  <x:fonts count="5">
    <x:font>
      <x:sz val="11"/>
      <x:name val="Carlito"/>
    </x:font>
    <x:font>
      <x:sz val="10"/>
      <x:color rgb="FF20313E"/>
      <x:name val="Arial"/>
    </x:font>
    <x:font>
      <x:b/>
      <x:sz val="10"/>
      <x:color rgb="FFFFFFFF"/>
      <x:name val="Arial"/>
    </x:font>
    <x:font>
      <x:sz val="10"/>
      <x:color rgb="FF215A88"/>
      <x:name val="Arial"/>
    </x:font>
    <x:font>
      <x:b/>
      <x:sz val="14"/>
      <x:color rgb="FF24455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4559"/>
      </x:patternFill>
    </x:fill>
    <x:fill>
      <x:patternFill patternType="solid">
        <x:fgColor rgb="FFFFF3CE"/>
      </x:patternFill>
    </x:fill>
    <x:fill>
      <x:patternFill patternType="solid">
        <x:fgColor rgb="FFE8F0F4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2" fillId="2" borderId="2" xfId="0" applyNumberFormat="1" applyFont="1" applyFill="1" applyBorder="1" applyAlignment="1">
      <x:alignment horizontal="left" vertical="center" wrapText="1"/>
    </x:xf>
    <x:xf numFmtId="0" fontId="2" fillId="2" borderId="3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horizontal="left"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2" fontId="1" fillId="0" borderId="0" xfId="0" applyNumberFormat="1" applyFont="1" applyFill="1" applyBorder="1" applyAlignment="1">
      <x:alignment horizontal="right" vertical="center" wrapText="1"/>
    </x:xf>
    <x:xf numFmtId="203" fontId="1" fillId="0" borderId="0" xfId="0" applyNumberFormat="1" applyFont="1" applyFill="1" applyBorder="1" applyAlignment="1">
      <x:alignment horizontal="right" vertical="center" wrapText="1"/>
    </x:xf>
    <x:xf numFmtId="204" fontId="1" fillId="0" borderId="0" xfId="0" applyNumberFormat="1" applyFont="1" applyFill="1" applyBorder="1" applyAlignment="1">
      <x:alignment horizontal="right" vertical="center" wrapText="1"/>
    </x:xf>
    <x:xf numFmtId="205" fontId="1" fillId="0" borderId="0" xfId="0" applyNumberFormat="1" applyFont="1" applyFill="1" applyBorder="1" applyAlignment="1">
      <x:alignment horizontal="right" vertical="center" wrapText="1"/>
    </x:xf>
    <x:xf numFmtId="206" fontId="1" fillId="0" borderId="0" xfId="0" applyNumberFormat="1" applyFont="1" applyFill="1" applyBorder="1" applyAlignment="1">
      <x:alignment horizontal="right" vertical="center" wrapText="1"/>
    </x:xf>
    <x:xf numFmtId="207" fontId="1" fillId="0" borderId="0" xfId="0" applyNumberFormat="1" applyFont="1" applyFill="1" applyBorder="1" applyAlignment="1">
      <x:alignment horizontal="right" vertical="center" wrapText="1"/>
    </x:xf>
    <x:xf numFmtId="208" fontId="1" fillId="0" borderId="0" xfId="0" applyNumberFormat="1" applyFont="1" applyFill="1" applyBorder="1" applyAlignment="1">
      <x:alignment horizontal="right" vertical="center" wrapText="1"/>
    </x:xf>
    <x:xf numFmtId="0" fontId="3" fillId="0" borderId="0" xfId="0" applyNumberFormat="1" applyFont="1" applyFill="1" applyBorder="1" applyAlignment="1">
      <x:alignment horizontal="left" vertical="center" wrapText="1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9" fontId="1" fillId="3" borderId="0" xfId="0" applyNumberFormat="1" applyFont="1" applyFill="1" applyBorder="1" applyAlignment="1">
      <x:alignment vertical="center" wrapText="1"/>
    </x:xf>
    <x:xf numFmtId="209" fontId="1" fillId="3" borderId="0" xfId="0" applyNumberFormat="1" applyFont="1" applyFill="1" applyBorder="1" applyAlignment="1">
      <x:alignment horizontal="right"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210" fontId="1" fillId="0" borderId="0" xfId="0" applyNumberFormat="1" applyFont="1" applyFill="1" applyBorder="1" applyAlignment="1">
      <x:alignment horizontal="right" vertical="center" wrapText="1"/>
    </x:xf>
    <x:xf numFmtId="211" fontId="1" fillId="0" borderId="0" xfId="0" applyNumberFormat="1" applyFont="1" applyFill="1" applyBorder="1" applyAlignment="1">
      <x:alignment horizontal="right" vertical="center" wrapText="1"/>
    </x:xf>
    <x:xf numFmtId="203" fontId="1" fillId="4" borderId="0" xfId="0" applyNumberFormat="1" applyFont="1" applyFill="1" applyBorder="1" applyAlignment="1">
      <x:alignment horizontal="right" vertical="center" wrapText="1"/>
    </x:xf>
    <x:xf numFmtId="212" fontId="1" fillId="0" borderId="0" xfId="0" applyNumberFormat="1" applyFont="1" applyFill="1" applyBorder="1" applyAlignment="1">
      <x:alignment horizontal="left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horizontal="lef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7">
    <x:dxf>
      <x:font>
        <x:b/>
        <x:color rgb="FFA33A2D"/>
      </x:font>
      <x:fill>
        <x:patternFill patternType="solid">
          <x:bgColor rgb="FFF8DFD9"/>
        </x:patternFill>
      </x:fill>
    </x:dxf>
    <x:dxf>
      <x:font>
        <x:b/>
        <x:color rgb="FF705A20"/>
      </x:font>
      <x:fill>
        <x:patternFill patternType="solid">
          <x:bgColor rgb="FFFFF3CE"/>
        </x:patternFill>
      </x:fill>
    </x:dxf>
    <x:dxf>
      <x:font>
        <x:color rgb="FFA33A2D"/>
      </x:font>
      <x:fill>
        <x:patternFill patternType="solid">
          <x:bgColor rgb="FFF8DFD9"/>
        </x:patternFill>
      </x:fill>
    </x:dxf>
    <x:dxf>
      <x:font>
        <x:color rgb="FF705A20"/>
      </x:font>
      <x:fill>
        <x:patternFill patternType="solid">
          <x:bgColor rgb="FFFFF3CE"/>
        </x:patternFill>
      </x:fill>
    </x:dxf>
    <x:dxf>
      <x:font>
        <x:color rgb="FF705A20"/>
      </x:font>
      <x:fill>
        <x:patternFill patternType="solid">
          <x:bgColor rgb="FFFFF3CE"/>
        </x:patternFill>
      </x:fill>
    </x:dxf>
    <x:dxf>
      <x:font>
        <x:color rgb="FFA33A2D"/>
      </x:font>
      <x:fill>
        <x:patternFill patternType="solid">
          <x:bgColor rgb="FFF8DFD9"/>
        </x:patternFill>
      </x:fill>
    </x:dxf>
    <x:dxf>
      <x:font>
        <x:color rgb="FFA33A2D"/>
      </x:font>
      <x:fill>
        <x:patternFill patternType="solid">
          <x:bgColor rgb="FFF8DF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739c7d4f704b43" /><Relationship Type="http://schemas.openxmlformats.org/officeDocument/2006/relationships/theme" Target="/xl/theme/theme1.xml" Id="Rcbb21b84c8e24140" /><Relationship Type="http://schemas.microsoft.com/office/2022/11/relationships/FeaturePropertyBag" Target="/xl/featurePropertyBag/featurePropertyBag.xml" Id="Rba43bfc1988741ae" /><Relationship Type="http://schemas.openxmlformats.org/officeDocument/2006/relationships/sharedStrings" Target="/xl/sharedStrings.xml" Id="R4bed1c90a91044c5" /><Relationship Type="http://schemas.openxmlformats.org/officeDocument/2006/relationships/worksheet" Target="/xl/worksheets/sheet1.xml" Id="R20d04d17a4514c02" /><Relationship Type="http://schemas.openxmlformats.org/officeDocument/2006/relationships/worksheet" Target="/xl/worksheets/sheet2.xml" Id="Rc81c004c9a2446e1" /><Relationship Type="http://schemas.openxmlformats.org/officeDocument/2006/relationships/worksheet" Target="/xl/worksheets/sheet3.xml" Id="R54f9b647cb724d83" /><Relationship Type="http://schemas.openxmlformats.org/officeDocument/2006/relationships/worksheet" Target="/xl/worksheets/sheet4.xml" Id="R1f0e5a948e1446b5" /><Relationship Type="http://schemas.openxmlformats.org/officeDocument/2006/relationships/worksheet" Target="/xl/worksheets/sheet5.xml" Id="R1963decddaa84ee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ntegratedMetrics" displayName="IntegratedMetrics" ref="A1:I444" headerRowCount="1" totalsRowCount="0" totalsRowShown="0">
  <x:autoFilter ref="A1:I444"/>
  <x:tableColumns count="9">
    <x:tableColumn id="1" name="市場"/>
    <x:tableColumn id="2" name="指標"/>
    <x:tableColumn id="3" name="數值"/>
    <x:tableColumn id="4" name="單位"/>
    <x:tableColumn id="5" name="年份／期間"/>
    <x:tableColumn id="6" name="來源編號"/>
    <x:tableColumn id="7" name="來源 URL"/>
    <x:tableColumn id="8" name="定義與採用標籤"/>
    <x:tableColumn id="9" name="整合信心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CurrencyConversions" displayName="CurrencyConversions" ref="A5:R218" headerRowCount="1" totalsRowCount="0" totalsRowShown="0">
  <x:autoFilter ref="A5:R218"/>
  <x:tableColumns count="18">
    <x:tableColumn id="1" name="市場"/>
    <x:tableColumn id="2" name="指標"/>
    <x:tableColumn id="3" name="年份／期間"/>
    <x:tableColumn id="4" name="原幣數值"/>
    <x:tableColumn id="5" name="原幣單位"/>
    <x:tableColumn id="6" name="單位乘數"/>
    <x:tableColumn id="7" name="幣別"/>
    <x:tableColumn id="8" name="原幣完整金額"/>
    <x:tableColumn id="9" name="每 USD 原幣"/>
    <x:tableColumn id="10" name="美元金額"/>
    <x:tableColumn id="11" name="美元單位"/>
    <x:tableColumn id="12" name="新台幣金額"/>
    <x:tableColumn id="13" name="新台幣單位"/>
    <x:tableColumn id="14" name="來源編號"/>
    <x:tableColumn id="15" name="來源 URL"/>
    <x:tableColumn id="16" name="匯率來源"/>
    <x:tableColumn id="17" name="定義與採用標籤"/>
    <x:tableColumn id="18" name="信心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RangeConversions" displayName="RangeConversions" ref="A5:U16" headerRowCount="1" totalsRowCount="0" totalsRowShown="0">
  <x:autoFilter ref="A5:U16"/>
  <x:tableColumns count="21">
    <x:tableColumn id="1" name="市場"/>
    <x:tableColumn id="2" name="指標"/>
    <x:tableColumn id="3" name="年份／期間"/>
    <x:tableColumn id="4" name="原區間文字"/>
    <x:tableColumn id="5" name="原幣單位"/>
    <x:tableColumn id="6" name="原幣下界"/>
    <x:tableColumn id="7" name="原幣上端數值"/>
    <x:tableColumn id="8" name="上端開放"/>
    <x:tableColumn id="9" name="單位乘數"/>
    <x:tableColumn id="10" name="幣別"/>
    <x:tableColumn id="11" name="每 USD 原幣"/>
    <x:tableColumn id="12" name="美元下界"/>
    <x:tableColumn id="13" name="美元上端數值"/>
    <x:tableColumn id="14" name="美元單位"/>
    <x:tableColumn id="15" name="新台幣下界"/>
    <x:tableColumn id="16" name="新台幣上端數值"/>
    <x:tableColumn id="17" name="新台幣單位"/>
    <x:tableColumn id="18" name="來源編號"/>
    <x:tableColumn id="19" name="來源 URL"/>
    <x:tableColumn id="20" name="定義與採用標籤"/>
    <x:tableColumn id="21" name="信心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MetricVerification" displayName="MetricVerification" ref="A1:Z463" headerRowCount="1" totalsRowCount="0" totalsRowShown="0">
  <x:autoFilter ref="A1:Z463"/>
  <x:tableColumns count="26">
    <x:tableColumn id="1" name="紀錄 ID"/>
    <x:tableColumn id="2" name="市場"/>
    <x:tableColumn id="3" name="指標"/>
    <x:tableColumn id="4" name="原值"/>
    <x:tableColumn id="5" name="原單位"/>
    <x:tableColumn id="6" name="原年份"/>
    <x:tableColumn id="7" name="原定義"/>
    <x:tableColumn id="8" name="原來源編號"/>
    <x:tableColumn id="9" name="來源 URL"/>
    <x:tableColumn id="10" name="URL 可讀"/>
    <x:tableColumn id="11" name="數字相符"/>
    <x:tableColumn id="12" name="年份相符"/>
    <x:tableColumn id="13" name="定義相符"/>
    <x:tableColumn id="14" name="查核判定"/>
    <x:tableColumn id="15" name="來源分級"/>
    <x:tableColumn id="16" name="採用"/>
    <x:tableColumn id="17" name="採用／更正值"/>
    <x:tableColumn id="18" name="採用／更正年"/>
    <x:tableColumn id="19" name="採用／更正定義"/>
    <x:tableColumn id="20" name="整合標籤"/>
    <x:tableColumn id="21" name="獨立來源數"/>
    <x:tableColumn id="22" name="信心"/>
    <x:tableColumn id="23" name="核對證據"/>
    <x:tableColumn id="24" name="查核備註"/>
    <x:tableColumn id="25" name="查核日期"/>
    <x:tableColumn id="26" name="證據定位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SourceRegister" displayName="SourceRegister" ref="A1:N265" headerRowCount="1" totalsRowCount="0" totalsRowShown="0">
  <x:autoFilter ref="A1:N265"/>
  <x:tableColumns count="14">
    <x:tableColumn id="1" name="來源編號"/>
    <x:tableColumn id="2" name="標題"/>
    <x:tableColumn id="3" name="機構／作者"/>
    <x:tableColumn id="4" name="年份"/>
    <x:tableColumn id="5" name="語言"/>
    <x:tableColumn id="6" name="在地市場"/>
    <x:tableColumn id="7" name="來源分級"/>
    <x:tableColumn id="8" name="開頁狀態"/>
    <x:tableColumn id="9" name="閱讀狀態"/>
    <x:tableColumn id="10" name="有實質內容"/>
    <x:tableColumn id="11" name="來源 URL"/>
    <x:tableColumn id="12" name="查核證據與限制"/>
    <x:tableColumn id="13" name="證據定位"/>
    <x:tableColumn id="14" name="獨立發布機構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da1001dee434c4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3998fe2c4ec49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36065bccd064a9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8a4da6fe7784dd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dde6f947b58450d" /></Relationships>
</file>

<file path=xl/worksheets/sheet1.xml><?xml version="1.0" encoding="utf-8"?>
<x:worksheet xmlns:x="http://schemas.openxmlformats.org/spreadsheetml/2006/main">
  <x:sheetPr>
    <x:tabColor rgb="FF244559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7.78000020980835" hidden="0" customWidth="1"/>
    <x:col min="2" max="2" width="31.110000610351562" hidden="0" customWidth="1"/>
    <x:col min="3" max="3" width="18.329999923706055" hidden="0" customWidth="1"/>
    <x:col min="4" max="4" width="15" hidden="0" customWidth="1"/>
    <x:col min="5" max="5" width="17.780000686645508" hidden="0" customWidth="1"/>
    <x:col min="6" max="6" width="10.5600004196167" hidden="0" customWidth="1"/>
    <x:col min="7" max="7" width="44.439998626708984" hidden="0" customWidth="1"/>
    <x:col min="8" max="8" width="53.33000183105469" hidden="0" customWidth="1"/>
    <x:col min="9" max="9" width="11.109999656677246" hidden="0" customWidth="1"/>
  </x:cols>
  <x:sheetData>
    <x:row r="1" ht="32" customHeight="1">
      <x:c r="A1" s="10" t="str">
        <x:v>市場</x:v>
      </x:c>
      <x:c r="B1" s="11" t="str">
        <x:v>指標</x:v>
      </x:c>
      <x:c r="C1" s="11" t="str">
        <x:v>數值</x:v>
      </x:c>
      <x:c r="D1" s="11" t="str">
        <x:v>單位</x:v>
      </x:c>
      <x:c r="E1" s="11" t="str">
        <x:v>年份／期間</x:v>
      </x:c>
      <x:c r="F1" s="11" t="str">
        <x:v>來源編號</x:v>
      </x:c>
      <x:c r="G1" s="11" t="str">
        <x:v>來源 URL</x:v>
      </x:c>
      <x:c r="H1" s="11" t="str">
        <x:v>定義與採用標籤</x:v>
      </x:c>
      <x:c r="I1" s="12" t="str">
        <x:v>整合信心</x:v>
      </x:c>
    </x:row>
    <x:row r="2" ht="30" customHeight="1">
      <x:c r="A2" s="4" t="str">
        <x:v>TW</x:v>
      </x:c>
      <x:c r="B2" s="4" t="str">
        <x:v>名目人均GDP</x:v>
      </x:c>
      <x:c r="C2" s="17" t="n">
        <x:v>39492</x:v>
      </x:c>
      <x:c r="D2" s="4" t="str">
        <x:v>USD/人</x:v>
      </x:c>
      <x:c r="E2" s="16" t="n">
        <x:v>2025</x:v>
      </x:c>
      <x:c r="F2" s="4" t="str">
        <x:v>TW01</x:v>
      </x:c>
      <x:c r="G2" s="24" t="str">
        <x:v>https://www.dgbas.gov.tw/News_Content.aspx?n=3602&amp;s=235719</x:v>
      </x:c>
      <x:c r="H2" s="4" t="str">
        <x:v>【示意】2026-02-13初步統計；後續可能修訂；獨立來源1；來源A級</x:v>
      </x:c>
      <x:c r="I2" s="4" t="str">
        <x:v>低</x:v>
      </x:c>
    </x:row>
    <x:row r="3" ht="30" customHeight="1">
      <x:c r="A3" s="4" t="str">
        <x:v>TW</x:v>
      </x:c>
      <x:c r="B3" s="4" t="str">
        <x:v>年末戶籍人口</x:v>
      </x:c>
      <x:c r="C3" s="17" t="n">
        <x:v>23299132</x:v>
      </x:c>
      <x:c r="D3" s="4" t="str">
        <x:v>人</x:v>
      </x:c>
      <x:c r="E3" s="16" t="n">
        <x:v>2025</x:v>
      </x:c>
      <x:c r="F3" s="4" t="str">
        <x:v>TW02</x:v>
      </x:c>
      <x:c r="G3" s="24" t="str">
        <x:v>https://www.moi.gov.tw/News_Content.aspx?n=2&amp;s=335870&amp;sms=9009</x:v>
      </x:c>
      <x:c r="H3" s="4" t="str">
        <x:v>【示意】年末戶籍登記，不等同WB年中常住人口；獨立來源1；來源A級</x:v>
      </x:c>
      <x:c r="I3" s="4" t="str">
        <x:v>低</x:v>
      </x:c>
    </x:row>
    <x:row r="4" ht="30" customHeight="1">
      <x:c r="A4" s="4" t="str">
        <x:v>TW</x:v>
      </x:c>
      <x:c r="B4" s="4" t="str">
        <x:v>年末戶數</x:v>
      </x:c>
      <x:c r="C4" s="17" t="n">
        <x:v>9851532</x:v>
      </x:c>
      <x:c r="D4" s="4" t="str">
        <x:v>戶</x:v>
      </x:c>
      <x:c r="E4" s="16" t="n">
        <x:v>2025</x:v>
      </x:c>
      <x:c r="F4" s="4" t="str">
        <x:v>TW02</x:v>
      </x:c>
      <x:c r="G4" s="24" t="str">
        <x:v>https://www.moi.gov.tw/News_Content.aspx?n=2&amp;s=335870&amp;sms=9009</x:v>
      </x:c>
      <x:c r="H4" s="4" t="str">
        <x:v>【示意】戶籍戶數，不等同住宅套數；獨立來源1；來源A級</x:v>
      </x:c>
      <x:c r="I4" s="4" t="str">
        <x:v>低</x:v>
      </x:c>
    </x:row>
    <x:row r="5" ht="30" customHeight="1">
      <x:c r="A5" s="4" t="str">
        <x:v>TW</x:v>
      </x:c>
      <x:c r="B5" s="4" t="str">
        <x:v>65歲以上人口占比</x:v>
      </x:c>
      <x:c r="C5" s="18" t="n">
        <x:v>20.06</x:v>
      </x:c>
      <x:c r="D5" s="4" t="str">
        <x:v>%</x:v>
      </x:c>
      <x:c r="E5" s="16" t="n">
        <x:v>2025</x:v>
      </x:c>
      <x:c r="F5" s="4" t="str">
        <x:v>TW02</x:v>
      </x:c>
      <x:c r="G5" s="24" t="str">
        <x:v>https://www.moi.gov.tw/News_Content.aspx?n=2&amp;s=335870&amp;sms=9009</x:v>
      </x:c>
      <x:c r="H5" s="4" t="str">
        <x:v>【示意】戶籍登記年末；獨立來源1；來源A級</x:v>
      </x:c>
      <x:c r="I5" s="4" t="str">
        <x:v>低</x:v>
      </x:c>
    </x:row>
    <x:row r="6" ht="30" customHeight="1">
      <x:c r="A6" s="4" t="str">
        <x:v>TW</x:v>
      </x:c>
      <x:c r="B6" s="4" t="str">
        <x:v>平均每戶人口</x:v>
      </x:c>
      <x:c r="C6" s="18" t="n">
        <x:v>2.37</x:v>
      </x:c>
      <x:c r="D6" s="4" t="str">
        <x:v>人/戶</x:v>
      </x:c>
      <x:c r="E6" s="16" t="n">
        <x:v>2025</x:v>
      </x:c>
      <x:c r="F6" s="4" t="str">
        <x:v>TW02</x:v>
      </x:c>
      <x:c r="G6" s="24" t="str">
        <x:v>https://www.moi.gov.tw/News_Content.aspx?n=2&amp;s=335870&amp;sms=9009</x:v>
      </x:c>
      <x:c r="H6" s="4" t="str">
        <x:v>【示意】戶籍戶量；獨立來源1；來源A級</x:v>
      </x:c>
      <x:c r="I6" s="4" t="str">
        <x:v>低</x:v>
      </x:c>
    </x:row>
    <x:row r="7" ht="30" customHeight="1">
      <x:c r="A7" s="4" t="str">
        <x:v>TW</x:v>
      </x:c>
      <x:c r="B7" s="4" t="str">
        <x:v>建物第一次登記</x:v>
      </x:c>
      <x:c r="C7" s="17" t="n">
        <x:v>176690</x:v>
      </x:c>
      <x:c r="D7" s="4" t="str">
        <x:v>棟</x:v>
      </x:c>
      <x:c r="E7" s="16" t="n">
        <x:v>2025</x:v>
      </x:c>
      <x:c r="F7" s="4" t="str">
        <x:v>TW03</x:v>
      </x:c>
      <x:c r="G7" s="24" t="str">
        <x:v>https://www.moi.gov.tw/News_Content.aspx?n=2&amp;s=339138</x:v>
      </x:c>
      <x:c r="H7" s="4" t="str">
        <x:v>【示意】全建物第一次登記；不是住宅完工戶數；獨立來源1；來源A級</x:v>
      </x:c>
      <x:c r="I7" s="4" t="str">
        <x:v>低</x:v>
      </x:c>
    </x:row>
    <x:row r="8" ht="30" customHeight="1">
      <x:c r="A8" s="4" t="str">
        <x:v>TW</x:v>
      </x:c>
      <x:c r="B8" s="4" t="str">
        <x:v>建物買賣登記</x:v>
      </x:c>
      <x:c r="C8" s="17" t="n">
        <x:v>261308</x:v>
      </x:c>
      <x:c r="D8" s="4" t="str">
        <x:v>棟</x:v>
      </x:c>
      <x:c r="E8" s="16" t="n">
        <x:v>2025</x:v>
      </x:c>
      <x:c r="F8" s="4" t="str">
        <x:v>TW03</x:v>
      </x:c>
      <x:c r="G8" s="24" t="str">
        <x:v>https://www.moi.gov.tw/News_Content.aspx?n=2&amp;s=339138</x:v>
      </x:c>
      <x:c r="H8" s="4" t="str">
        <x:v>【示意】全建物含新舊；不是中古住宅交易；獨立來源1；來源A級</x:v>
      </x:c>
      <x:c r="I8" s="4" t="str">
        <x:v>低</x:v>
      </x:c>
    </x:row>
    <x:row r="9" ht="30" customHeight="1">
      <x:c r="A9" s="4" t="str">
        <x:v>TW</x:v>
      </x:c>
      <x:c r="B9" s="4" t="str">
        <x:v>建物買賣年增率</x:v>
      </x:c>
      <x:c r="C9" s="19" t="n">
        <x:v>-25.5</x:v>
      </x:c>
      <x:c r="D9" s="4" t="str">
        <x:v>%</x:v>
      </x:c>
      <x:c r="E9" s="16" t="n">
        <x:v>2025</x:v>
      </x:c>
      <x:c r="F9" s="4" t="str">
        <x:v>TW03</x:v>
      </x:c>
      <x:c r="G9" s="24" t="str">
        <x:v>https://www.moi.gov.tw/News_Content.aspx?n=2&amp;s=339138</x:v>
      </x:c>
      <x:c r="H9" s="4" t="str">
        <x:v>【示意】全建物買賣登記同比；獨立來源1；來源A級</x:v>
      </x:c>
      <x:c r="I9" s="4" t="str">
        <x:v>低</x:v>
      </x:c>
    </x:row>
    <x:row r="10" ht="30" customHeight="1">
      <x:c r="A10" s="4" t="str">
        <x:v>TW</x:v>
      </x:c>
      <x:c r="B10" s="4" t="str">
        <x:v>建物繼承登記</x:v>
      </x:c>
      <x:c r="C10" s="17" t="n">
        <x:v>78324</x:v>
      </x:c>
      <x:c r="D10" s="4" t="str">
        <x:v>棟</x:v>
      </x:c>
      <x:c r="E10" s="16" t="n">
        <x:v>2025</x:v>
      </x:c>
      <x:c r="F10" s="4" t="str">
        <x:v>TW03</x:v>
      </x:c>
      <x:c r="G10" s="24" t="str">
        <x:v>https://www.moi.gov.tw/News_Content.aspx?n=2&amp;s=339138</x:v>
      </x:c>
      <x:c r="H10" s="4" t="str">
        <x:v>【示意】全建物繼承；獨立來源1；來源A級</x:v>
      </x:c>
      <x:c r="I10" s="4" t="str">
        <x:v>低</x:v>
      </x:c>
    </x:row>
    <x:row r="11" ht="30" customHeight="1">
      <x:c r="A11" s="4" t="str">
        <x:v>TW</x:v>
      </x:c>
      <x:c r="B11" s="4" t="str">
        <x:v>低度使用住宅</x:v>
      </x:c>
      <x:c r="C11" s="17" t="n">
        <x:v>894582</x:v>
      </x:c>
      <x:c r="D11" s="4" t="str">
        <x:v>宅</x:v>
      </x:c>
      <x:c r="E11" s="16" t="str">
        <x:v>2025下半年</x:v>
      </x:c>
      <x:c r="F11" s="4" t="str">
        <x:v>TW04</x:v>
      </x:c>
      <x:c r="G11" s="24" t="str">
        <x:v>https://www.moi.gov.tw/News_Content.aspx?n=2905&amp;s=339707</x:v>
      </x:c>
      <x:c r="H11" s="4" t="str">
        <x:v>【示意】下半年低用電代理；不是空屋普查；獨立來源1；來源A級</x:v>
      </x:c>
      <x:c r="I11" s="4" t="str">
        <x:v>低</x:v>
      </x:c>
    </x:row>
    <x:row r="12" ht="30" customHeight="1">
      <x:c r="A12" s="4" t="str">
        <x:v>TW</x:v>
      </x:c>
      <x:c r="B12" s="4" t="str">
        <x:v>低度使用住宅比率</x:v>
      </x:c>
      <x:c r="C12" s="19" t="n">
        <x:v>9.4</x:v>
      </x:c>
      <x:c r="D12" s="4" t="str">
        <x:v>%</x:v>
      </x:c>
      <x:c r="E12" s="16" t="str">
        <x:v>2025下半年</x:v>
      </x:c>
      <x:c r="F12" s="4" t="str">
        <x:v>TW04</x:v>
      </x:c>
      <x:c r="G12" s="24" t="str">
        <x:v>https://www.moi.gov.tw/News_Content.aspx?n=2905&amp;s=339707</x:v>
      </x:c>
      <x:c r="H12" s="4" t="str">
        <x:v>【示意】低用電住宅／房屋稅籍住宅；獨立來源1；來源A級</x:v>
      </x:c>
      <x:c r="I12" s="4" t="str">
        <x:v>低</x:v>
      </x:c>
    </x:row>
    <x:row r="13" ht="38" customHeight="1">
      <x:c r="A13" s="4" t="str">
        <x:v>TW</x:v>
      </x:c>
      <x:c r="B13" s="4" t="str">
        <x:v>老宅延壽預算</x:v>
      </x:c>
      <x:c r="C13" s="17" t="n">
        <x:v>5000000000</x:v>
      </x:c>
      <x:c r="D13" s="4" t="str">
        <x:v>TWD</x:v>
      </x:c>
      <x:c r="E13" s="16" t="str">
        <x:v>2025–2027</x:v>
      </x:c>
      <x:c r="F13" s="4" t="str">
        <x:v>TW05</x:v>
      </x:c>
      <x:c r="G13" s="24" t="str">
        <x:v>https://www.ey.gov.tw/Page/5A8A0CB5B41DA11E/2fcc4669-ac6d-43af-bbe5-d1359c21c4c8</x:v>
      </x:c>
      <x:c r="H13" s="4" t="str">
        <x:v>【示意】政策投入總額，不是室內裝修市場營收；獨立來源1；來源A級</x:v>
      </x:c>
      <x:c r="I13" s="4" t="str">
        <x:v>低</x:v>
      </x:c>
    </x:row>
    <x:row r="14" ht="30" customHeight="1">
      <x:c r="A14" s="4" t="str">
        <x:v>TW</x:v>
      </x:c>
      <x:c r="B14" s="4" t="str">
        <x:v>登記室內裝修業</x:v>
      </x:c>
      <x:c r="C14" s="17" t="n">
        <x:v>17000</x:v>
      </x:c>
      <x:c r="D14" s="4" t="str">
        <x:v>家以上</x:v>
      </x:c>
      <x:c r="E14" s="16" t="n">
        <x:v>2026</x:v>
      </x:c>
      <x:c r="F14" s="4" t="str">
        <x:v>TW07</x:v>
      </x:c>
      <x:c r="G14" s="24" t="str">
        <x:v>https://www.moi.gov.tw/News_Content.aspx?n=4&amp;s=337863</x:v>
      </x:c>
      <x:c r="H14" s="4" t="str">
        <x:v>【示意】官方約1.7萬餘家；不等同純設計公司；獨立來源1；來源A級</x:v>
      </x:c>
      <x:c r="I14" s="4" t="str">
        <x:v>低</x:v>
      </x:c>
    </x:row>
    <x:row r="15" ht="30" customHeight="1">
      <x:c r="A15" s="4" t="str">
        <x:v>TW</x:v>
      </x:c>
      <x:c r="B15" s="4" t="str">
        <x:v>室內裝修專業技術人員</x:v>
      </x:c>
      <x:c r="C15" s="17" t="n">
        <x:v>33000</x:v>
      </x:c>
      <x:c r="D15" s="4" t="str">
        <x:v>人約</x:v>
      </x:c>
      <x:c r="E15" s="16" t="n">
        <x:v>2026</x:v>
      </x:c>
      <x:c r="F15" s="4" t="str">
        <x:v>TW07</x:v>
      </x:c>
      <x:c r="G15" s="24" t="str">
        <x:v>https://www.moi.gov.tw/News_Content.aspx?n=4&amp;s=337863</x:v>
      </x:c>
      <x:c r="H15" s="4" t="str">
        <x:v>【示意】登記專業技術人員；非實際就業設計師；獨立來源1；來源A級</x:v>
      </x:c>
      <x:c r="I15" s="4" t="str">
        <x:v>低</x:v>
      </x:c>
    </x:row>
    <x:row r="16" ht="30" customHeight="1">
      <x:c r="A16" s="4" t="str">
        <x:v>TW</x:v>
      </x:c>
      <x:c r="B16" s="4" t="str">
        <x:v>登記裝修業每百萬人</x:v>
      </x:c>
      <x:c r="C16" s="19" t="n">
        <x:v>729.6</x:v>
      </x:c>
      <x:c r="D16" s="4" t="str">
        <x:v>家以上/百萬人</x:v>
      </x:c>
      <x:c r="E16" s="16" t="str">
        <x:v>2025人口／2026業者</x:v>
      </x:c>
      <x:c r="F16" s="4" t="str">
        <x:v>TW07</x:v>
      </x:c>
      <x:c r="G16" s="24" t="str">
        <x:v>https://www.moi.gov.tw/News_Content.aspx?n=4&amp;s=337863</x:v>
      </x:c>
      <x:c r="H16" s="4" t="str">
        <x:v>【示意】研究計算；分母TW02年末人口；不是純設計公司密度；獨立來源1；來源A級</x:v>
      </x:c>
      <x:c r="I16" s="4" t="str">
        <x:v>低</x:v>
      </x:c>
    </x:row>
    <x:row r="17" ht="52" customHeight="1">
      <x:c r="A17" s="4" t="str">
        <x:v>TW</x:v>
      </x:c>
      <x:c r="B17" s="4" t="str">
        <x:v>室裝契約範本簽約金上限</x:v>
      </x:c>
      <x:c r="C17" s="17" t="n">
        <x:v>5</x:v>
      </x:c>
      <x:c r="D17" s="4" t="str">
        <x:v>%</x:v>
      </x:c>
      <x:c r="E17" s="16" t="str">
        <x:v>發布年未載；2026-10-09查詢</x:v>
      </x:c>
      <x:c r="F17" s="4" t="str">
        <x:v>TW09</x:v>
      </x:c>
      <x:c r="G17" s="24" t="str">
        <x:v>https://www.ey.gov.tw/File/EBBE5BC7D35E200E?A=C</x:v>
      </x:c>
      <x:c r="H17" s="4" t="str">
        <x:v>【示意】官方範本條款，不推論為全部私人契約強制比例；獨立來源1；來源A級；查核限制：PDF第2頁第六條：簽約金最高不得逾5%；檔案內容未載2014發布日期，年份只能按未載日期處理。</x:v>
      </x:c>
      <x:c r="I17" s="4" t="str">
        <x:v>低</x:v>
      </x:c>
    </x:row>
    <x:row r="18" ht="30" customHeight="1">
      <x:c r="A18" s="4" t="str">
        <x:v>TW</x:v>
      </x:c>
      <x:c r="B18" s="4" t="str">
        <x:v>特力集團合併營收</x:v>
      </x:c>
      <x:c r="C18" s="17" t="n">
        <x:v>36832000000</x:v>
      </x:c>
      <x:c r="D18" s="4" t="str">
        <x:v>TWD</x:v>
      </x:c>
      <x:c r="E18" s="16" t="n">
        <x:v>2024</x:v>
      </x:c>
      <x:c r="F18" s="4" t="str">
        <x:v>TW12</x:v>
      </x:c>
      <x:c r="G18" s="24" t="str">
        <x:v>https://www.testritegroup.com/uploads/2024_069db0ff1f.pdf</x:v>
      </x:c>
      <x:c r="H18" s="4" t="str">
        <x:v>【示意】全球貿易及零售等，不是台灣裝修TAM；獨立來源1；來源A級</x:v>
      </x:c>
      <x:c r="I18" s="4" t="str">
        <x:v>低</x:v>
      </x:c>
    </x:row>
    <x:row r="19" ht="30" customHeight="1">
      <x:c r="A19" s="4" t="str">
        <x:v>TW</x:v>
      </x:c>
      <x:c r="B19" s="4" t="str">
        <x:v>特力台灣零售營收</x:v>
      </x:c>
      <x:c r="C19" s="17" t="n">
        <x:v>13720000000</x:v>
      </x:c>
      <x:c r="D19" s="4" t="str">
        <x:v>TWD</x:v>
      </x:c>
      <x:c r="E19" s="16" t="n">
        <x:v>2024</x:v>
      </x:c>
      <x:c r="F19" s="4" t="str">
        <x:v>TW12</x:v>
      </x:c>
      <x:c r="G19" s="24" t="str">
        <x:v>https://www.testritegroup.com/uploads/2024_069db0ff1f.pdf</x:v>
      </x:c>
      <x:c r="H19" s="4" t="str">
        <x:v>【示意】企業台灣零售分部，並非全台家居零售市場；獨立來源1；來源A級</x:v>
      </x:c>
      <x:c r="I19" s="4" t="str">
        <x:v>低</x:v>
      </x:c>
    </x:row>
    <x:row r="20" ht="30" customHeight="1">
      <x:c r="A20" s="4" t="str">
        <x:v>TW</x:v>
      </x:c>
      <x:c r="B20" s="4" t="str">
        <x:v>特力集團毛利</x:v>
      </x:c>
      <x:c r="C20" s="17" t="n">
        <x:v>9477000000</x:v>
      </x:c>
      <x:c r="D20" s="4" t="str">
        <x:v>TWD</x:v>
      </x:c>
      <x:c r="E20" s="16" t="n">
        <x:v>2024</x:v>
      </x:c>
      <x:c r="F20" s="4" t="str">
        <x:v>TW12</x:v>
      </x:c>
      <x:c r="G20" s="24" t="str">
        <x:v>https://www.testritegroup.com/uploads/2024_069db0ff1f.pdf</x:v>
      </x:c>
      <x:c r="H20" s="4" t="str">
        <x:v>【示意】合併財報、全業務；獨立來源1；來源A級</x:v>
      </x:c>
      <x:c r="I20" s="4" t="str">
        <x:v>低</x:v>
      </x:c>
    </x:row>
    <x:row r="21" ht="30" customHeight="1">
      <x:c r="A21" s="4" t="str">
        <x:v>TW</x:v>
      </x:c>
      <x:c r="B21" s="4" t="str">
        <x:v>特力屋大型店</x:v>
      </x:c>
      <x:c r="C21" s="17" t="n">
        <x:v>28</x:v>
      </x:c>
      <x:c r="D21" s="4" t="str">
        <x:v>店</x:v>
      </x:c>
      <x:c r="E21" s="16" t="n">
        <x:v>2024</x:v>
      </x:c>
      <x:c r="F21" s="4" t="str">
        <x:v>TW12</x:v>
      </x:c>
      <x:c r="G21" s="24" t="str">
        <x:v>https://www.testritegroup.com/uploads/2024_069db0ff1f.pdf</x:v>
      </x:c>
      <x:c r="H21" s="4" t="str">
        <x:v>【示意】2024年底台灣；獨立來源1；來源A級</x:v>
      </x:c>
      <x:c r="I21" s="4" t="str">
        <x:v>低</x:v>
      </x:c>
    </x:row>
    <x:row r="22" ht="30" customHeight="1">
      <x:c r="A22" s="4" t="str">
        <x:v>TW</x:v>
      </x:c>
      <x:c r="B22" s="4" t="str">
        <x:v>特力屋社區店</x:v>
      </x:c>
      <x:c r="C22" s="17" t="n">
        <x:v>35</x:v>
      </x:c>
      <x:c r="D22" s="4" t="str">
        <x:v>店</x:v>
      </x:c>
      <x:c r="E22" s="16" t="n">
        <x:v>2024</x:v>
      </x:c>
      <x:c r="F22" s="4" t="str">
        <x:v>TW12</x:v>
      </x:c>
      <x:c r="G22" s="24" t="str">
        <x:v>https://www.testritegroup.com/uploads/2024_069db0ff1f.pdf</x:v>
      </x:c>
      <x:c r="H22" s="4" t="str">
        <x:v>【示意】2024年底台灣；獨立來源1；來源A級</x:v>
      </x:c>
      <x:c r="I22" s="4" t="str">
        <x:v>低</x:v>
      </x:c>
    </x:row>
    <x:row r="23" ht="30" customHeight="1">
      <x:c r="A23" s="4" t="str">
        <x:v>TW</x:v>
      </x:c>
      <x:c r="B23" s="4" t="str">
        <x:v>HOLA台灣店</x:v>
      </x:c>
      <x:c r="C23" s="17" t="n">
        <x:v>25</x:v>
      </x:c>
      <x:c r="D23" s="4" t="str">
        <x:v>店</x:v>
      </x:c>
      <x:c r="E23" s="16" t="n">
        <x:v>2024</x:v>
      </x:c>
      <x:c r="F23" s="4" t="str">
        <x:v>TW12</x:v>
      </x:c>
      <x:c r="G23" s="24" t="str">
        <x:v>https://www.testritegroup.com/uploads/2024_069db0ff1f.pdf</x:v>
      </x:c>
      <x:c r="H23" s="4" t="str">
        <x:v>【示意】2024年底台灣；獨立來源1；來源A級</x:v>
      </x:c>
      <x:c r="I23" s="4" t="str">
        <x:v>低</x:v>
      </x:c>
    </x:row>
    <x:row r="24" ht="52" customHeight="1">
      <x:c r="A24" s="4" t="str">
        <x:v>TW</x:v>
      </x:c>
      <x:c r="B24" s="4" t="str">
        <x:v>100用戶無裝修經驗</x:v>
      </x:c>
      <x:c r="C24" s="17" t="n">
        <x:v>77</x:v>
      </x:c>
      <x:c r="D24" s="4" t="str">
        <x:v>%</x:v>
      </x:c>
      <x:c r="E24" s="16" t="str">
        <x:v>2025文章；樣本期間未載</x:v>
      </x:c>
      <x:c r="F24" s="4" t="str">
        <x:v>TW14</x:v>
      </x:c>
      <x:c r="G24" s="24" t="str">
        <x:v>https://www.100.com.tw/article/8712</x:v>
      </x:c>
      <x:c r="H24" s="4" t="str">
        <x:v>【示意】平台後台用戶，非全台人口代表樣本；不是已確認的2025全年成交抽樣；獨立來源1；來源C級；查核限制：L32–40：平台後台77%無裝修經驗、超過50%需求新購住宅，文章標題2025；未揭統計抽樣期間。</x:v>
      </x:c>
      <x:c r="I24" s="4" t="str">
        <x:v>低</x:v>
      </x:c>
    </x:row>
    <x:row r="25" ht="52" customHeight="1">
      <x:c r="A25" s="4" t="str">
        <x:v>TW</x:v>
      </x:c>
      <x:c r="B25" s="4" t="str">
        <x:v>100需求來自新購住宅</x:v>
      </x:c>
      <x:c r="C25" s="14" t="str">
        <x:v>&gt;50</x:v>
      </x:c>
      <x:c r="D25" s="4" t="str">
        <x:v>%</x:v>
      </x:c>
      <x:c r="E25" s="16" t="str">
        <x:v>2025文章；樣本期間未載</x:v>
      </x:c>
      <x:c r="F25" s="4" t="str">
        <x:v>TW14</x:v>
      </x:c>
      <x:c r="G25" s="24" t="str">
        <x:v>https://www.100.com.tw/article/8712</x:v>
      </x:c>
      <x:c r="H25" s="4" t="str">
        <x:v>【示意】平台後台需求，新購可包含中古，不是新屋占比；不是已確認的2025全年成交抽樣；獨立來源1；來源C級；查核限制：L32–40：平台後台77%無裝修經驗、超過50%需求新購住宅，文章標題2025；未揭統計抽樣期間。</x:v>
      </x:c>
      <x:c r="I25" s="4" t="str">
        <x:v>低</x:v>
      </x:c>
    </x:row>
    <x:row r="26" ht="38" customHeight="1">
      <x:c r="A26" s="4" t="str">
        <x:v>TW</x:v>
      </x:c>
      <x:c r="B26" s="4" t="str">
        <x:v>全裝修產值估算</x:v>
      </x:c>
      <x:c r="C26" s="17" t="n">
        <x:v>550000000000</x:v>
      </x:c>
      <x:c r="D26" s="4" t="str">
        <x:v>TWD</x:v>
      </x:c>
      <x:c r="E26" s="16" t="n">
        <x:v>2025</x:v>
      </x:c>
      <x:c r="F26" s="4" t="str">
        <x:v>TW15</x:v>
      </x:c>
      <x:c r="G26" s="24" t="str">
        <x:v>https://house.udn.com/house/story/123589/9245511</x:v>
      </x:c>
      <x:c r="H26" s="4" t="str">
        <x:v>【示意】100平台據財政部推估；原始行業範圍未公開、不能當住宅翻修；獨立來源1；來源C級</x:v>
      </x:c>
      <x:c r="I26" s="4" t="str">
        <x:v>低</x:v>
      </x:c>
    </x:row>
    <x:row r="27" ht="30" customHeight="1">
      <x:c r="A27" s="4" t="str">
        <x:v>TW</x:v>
      </x:c>
      <x:c r="B27" s="4" t="str">
        <x:v>100 APP下載量</x:v>
      </x:c>
      <x:c r="C27" s="14" t="str">
        <x:v>&gt;1580000</x:v>
      </x:c>
      <x:c r="D27" s="4" t="str">
        <x:v>次</x:v>
      </x:c>
      <x:c r="E27" s="16" t="n">
        <x:v>2026</x:v>
      </x:c>
      <x:c r="F27" s="4" t="str">
        <x:v>TW15</x:v>
      </x:c>
      <x:c r="G27" s="24" t="str">
        <x:v>https://house.udn.com/house/story/123589/9245511</x:v>
      </x:c>
      <x:c r="H27" s="4" t="str">
        <x:v>【示意】截至2026-01報導平台自述累計；非活躍用戶；獨立來源1；來源C級</x:v>
      </x:c>
      <x:c r="I27" s="4" t="str">
        <x:v>低</x:v>
      </x:c>
    </x:row>
    <x:row r="28" ht="38" customHeight="1">
      <x:c r="A28" s="4" t="str">
        <x:v>TW</x:v>
      </x:c>
      <x:c r="B28" s="4" t="str">
        <x:v>PULO累計完工屋主</x:v>
      </x:c>
      <x:c r="C28" s="14" t="str">
        <x:v>&gt;2000</x:v>
      </x:c>
      <x:c r="D28" s="4" t="str">
        <x:v>位</x:v>
      </x:c>
      <x:c r="E28" s="16" t="str">
        <x:v>統計截止日未載；2026-10-09查詢</x:v>
      </x:c>
      <x:c r="F28" s="4" t="str">
        <x:v>TW16</x:v>
      </x:c>
      <x:c r="G28" s="24" t="str">
        <x:v>https://www.puloapp.com/home-kb/puloapp-caption/</x:v>
      </x:c>
      <x:c r="H28" s="4" t="str">
        <x:v>【示意】官網未標統計截止日；累積非年度；年份不是2026年度實績；獨立來源1；來源C級；查核限制：L31–35：自2015累計完成超過2,000位屋主；未載統計截止日，2026僅檢索年。</x:v>
      </x:c>
      <x:c r="I28" s="4" t="str">
        <x:v>低</x:v>
      </x:c>
    </x:row>
    <x:row r="29" ht="38" customHeight="1">
      <x:c r="A29" s="4" t="str">
        <x:v>TW</x:v>
      </x:c>
      <x:c r="B29" s="4" t="str">
        <x:v>PULO成交抽成</x:v>
      </x:c>
      <x:c r="C29" s="17" t="n">
        <x:v>0</x:v>
      </x:c>
      <x:c r="D29" s="4" t="str">
        <x:v>%</x:v>
      </x:c>
      <x:c r="E29" s="16" t="str">
        <x:v>統計截止日未載；2026-10-09查詢</x:v>
      </x:c>
      <x:c r="F29" s="4" t="str">
        <x:v>TW17</x:v>
      </x:c>
      <x:c r="G29" s="24" t="str">
        <x:v>https://www.puloapp.com/become-pro/</x:v>
      </x:c>
      <x:c r="H29" s="4" t="str">
        <x:v>【示意】官網宣稱成交不抽成；會員費另計；年份不是2026年度實績；獨立來源1；來源C級；查核限制：L112–114：平台宣稱成交不抽%；未載方案生效日，2026僅檢索年。</x:v>
      </x:c>
      <x:c r="I29" s="4" t="str">
        <x:v>低</x:v>
      </x:c>
    </x:row>
    <x:row r="30" ht="38" customHeight="1">
      <x:c r="A30" s="4" t="str">
        <x:v>TW</x:v>
      </x:c>
      <x:c r="B30" s="4" t="str">
        <x:v>台北商辦裝修成本</x:v>
      </x:c>
      <x:c r="C30" s="20" t="n">
        <x:v>1560.7670104229096</x:v>
      </x:c>
      <x:c r="D30" s="4" t="str">
        <x:v>USD/m²</x:v>
      </x:c>
      <x:c r="E30" s="16" t="n">
        <x:v>2026</x:v>
      </x:c>
      <x:c r="F30" s="4" t="str">
        <x:v>X02</x:v>
      </x:c>
      <x:c r="G30" s="24" t="str">
        <x:v>https://digital.cushmanwakefield.com/fitoutcostguide-03-2026-apac-regional-en-content-pds-office/30-31/</x:v>
      </x:c>
      <x:c r="H30" s="4" t="str">
        <x:v>【示意】C&amp;W 2026商辦fit-out，價格基準2025年12月；USD/ft²÷0.09290304，非住宅報價，報告自身匯率；獨立來源1；來源B級</x:v>
      </x:c>
      <x:c r="I30" s="4" t="str">
        <x:v>低</x:v>
      </x:c>
    </x:row>
    <x:row r="31" ht="38" customHeight="1">
      <x:c r="A31" s="4" t="str">
        <x:v>JP</x:v>
      </x:c>
      <x:c r="B31" s="4" t="str">
        <x:v>住宅翻修市場估算</x:v>
      </x:c>
      <x:c r="C31" s="17" t="n">
        <x:v>7511900000000</x:v>
      </x:c>
      <x:c r="D31" s="4" t="str">
        <x:v>JPY</x:v>
      </x:c>
      <x:c r="E31" s="16" t="n">
        <x:v>2025</x:v>
      </x:c>
      <x:c r="F31" s="4" t="str">
        <x:v>JP01</x:v>
      </x:c>
      <x:c r="G31" s="24" t="str">
        <x:v>https://www.yano.co.jp/press-release/show/press_id/4153</x:v>
      </x:c>
      <x:c r="H31" s="4" t="str">
        <x:v>【示意】居住者自付增改築+設備修繕維持+家具內裝；排除房東出租、公寓公共大修、非住宅；獨立來源1；來源B級</x:v>
      </x:c>
      <x:c r="I31" s="4" t="str">
        <x:v>低</x:v>
      </x:c>
    </x:row>
    <x:row r="32" ht="30" customHeight="1">
      <x:c r="A32" s="4" t="str">
        <x:v>JP</x:v>
      </x:c>
      <x:c r="B32" s="4" t="str">
        <x:v>住宅翻修市場預測</x:v>
      </x:c>
      <x:c r="C32" s="17" t="n">
        <x:v>7700000000000</x:v>
      </x:c>
      <x:c r="D32" s="4" t="str">
        <x:v>JPY</x:v>
      </x:c>
      <x:c r="E32" s="16" t="n">
        <x:v>2026</x:v>
      </x:c>
      <x:c r="F32" s="4" t="str">
        <x:v>JP01</x:v>
      </x:c>
      <x:c r="G32" s="24" t="str">
        <x:v>https://www.yano.co.jp/press-release/show/press_id/4153</x:v>
      </x:c>
      <x:c r="H32" s="4" t="str">
        <x:v>【預測／示意】預測非實績；同矢野口徑，公開摘要取整數；獨立來源1；來源B級</x:v>
      </x:c>
      <x:c r="I32" s="4" t="str">
        <x:v>低</x:v>
      </x:c>
    </x:row>
    <x:row r="33" ht="30" customHeight="1">
      <x:c r="A33" s="4" t="str">
        <x:v>JP</x:v>
      </x:c>
      <x:c r="B33" s="4" t="str">
        <x:v>住宅翻修同比成長</x:v>
      </x:c>
      <x:c r="C33" s="19" t="n">
        <x:v>2.5</x:v>
      </x:c>
      <x:c r="D33" s="4" t="str">
        <x:v>%</x:v>
      </x:c>
      <x:c r="E33" s="16" t="n">
        <x:v>2025</x:v>
      </x:c>
      <x:c r="F33" s="4" t="str">
        <x:v>JP01</x:v>
      </x:c>
      <x:c r="G33" s="24" t="str">
        <x:v>https://www.yano.co.jp/press-release/show/press_id/4153</x:v>
      </x:c>
      <x:c r="H33" s="4" t="str">
        <x:v>【示意】2026報告估計成長，勿用不同版2024數倒算；獨立來源1；來源B級</x:v>
      </x:c>
      <x:c r="I33" s="4" t="str">
        <x:v>低</x:v>
      </x:c>
    </x:row>
    <x:row r="34" ht="30" customHeight="1">
      <x:c r="A34" s="4" t="str">
        <x:v>JP</x:v>
      </x:c>
      <x:c r="B34" s="4" t="str">
        <x:v>住宅翻修市場估算</x:v>
      </x:c>
      <x:c r="C34" s="17" t="n">
        <x:v>7347000000000</x:v>
      </x:c>
      <x:c r="D34" s="4" t="str">
        <x:v>JPY</x:v>
      </x:c>
      <x:c r="E34" s="16" t="n">
        <x:v>2024</x:v>
      </x:c>
      <x:c r="F34" s="4" t="str">
        <x:v>JP02</x:v>
      </x:c>
      <x:c r="G34" s="24" t="str">
        <x:v>https://www.yano.co.jp/press-release/show/press_id/3877</x:v>
      </x:c>
      <x:c r="H34" s="4" t="str">
        <x:v>【示意】2025報告歷史估算；與2026報告基期可能修訂；獨立來源1；來源B級</x:v>
      </x:c>
      <x:c r="I34" s="4" t="str">
        <x:v>低</x:v>
      </x:c>
    </x:row>
    <x:row r="35" ht="30" customHeight="1">
      <x:c r="A35" s="4" t="str">
        <x:v>JP</x:v>
      </x:c>
      <x:c r="B35" s="4" t="str">
        <x:v>住宅存量</x:v>
      </x:c>
      <x:c r="C35" s="17" t="n">
        <x:v>65047000</x:v>
      </x:c>
      <x:c r="D35" s="4" t="str">
        <x:v>戶</x:v>
      </x:c>
      <x:c r="E35" s="16" t="n">
        <x:v>2023</x:v>
      </x:c>
      <x:c r="F35" s="4" t="str">
        <x:v>JP03</x:v>
      </x:c>
      <x:c r="G35" s="24" t="str">
        <x:v>https://www.stat.go.jp/data/jyutaku/2023/pdf/kihon_gaiyou.pdf</x:v>
      </x:c>
      <x:c r="H35" s="4" t="str">
        <x:v>【示意】5年普查確報，包括無居住世帯住宅；近期完整stock基準；獨立來源1；來源A級</x:v>
      </x:c>
      <x:c r="I35" s="4" t="str">
        <x:v>低</x:v>
      </x:c>
    </x:row>
    <x:row r="36" ht="30" customHeight="1">
      <x:c r="A36" s="4" t="str">
        <x:v>JP</x:v>
      </x:c>
      <x:c r="B36" s="4" t="str">
        <x:v>空屋</x:v>
      </x:c>
      <x:c r="C36" s="17" t="n">
        <x:v>9002000</x:v>
      </x:c>
      <x:c r="D36" s="4" t="str">
        <x:v>戶</x:v>
      </x:c>
      <x:c r="E36" s="16" t="n">
        <x:v>2023</x:v>
      </x:c>
      <x:c r="F36" s="4" t="str">
        <x:v>JP03</x:v>
      </x:c>
      <x:c r="G36" s="24" t="str">
        <x:v>https://www.stat.go.jp/data/jyutaku/2023/pdf/kihon_gaiyou.pdf</x:v>
      </x:c>
      <x:c r="H36" s="4" t="str">
        <x:v>【示意】住宅土地調查確報，包括出租待租等；獨立來源1；來源A級</x:v>
      </x:c>
      <x:c r="I36" s="4" t="str">
        <x:v>低</x:v>
      </x:c>
    </x:row>
    <x:row r="37" ht="30" customHeight="1">
      <x:c r="A37" s="4" t="str">
        <x:v>JP</x:v>
      </x:c>
      <x:c r="B37" s="4" t="str">
        <x:v>空屋率</x:v>
      </x:c>
      <x:c r="C37" s="19" t="n">
        <x:v>13.8</x:v>
      </x:c>
      <x:c r="D37" s="4" t="str">
        <x:v>%</x:v>
      </x:c>
      <x:c r="E37" s="16" t="n">
        <x:v>2023</x:v>
      </x:c>
      <x:c r="F37" s="4" t="str">
        <x:v>JP03</x:v>
      </x:c>
      <x:c r="G37" s="24" t="str">
        <x:v>https://www.stat.go.jp/data/jyutaku/2023/pdf/kihon_gaiyou.pdf</x:v>
      </x:c>
      <x:c r="H37" s="4" t="str">
        <x:v>【示意】全部住宅中的空屋；不等同可交易資產；獨立來源1；來源A級</x:v>
      </x:c>
      <x:c r="I37" s="4" t="str">
        <x:v>低</x:v>
      </x:c>
    </x:row>
    <x:row r="38" ht="30" customHeight="1">
      <x:c r="A38" s="4" t="str">
        <x:v>JP</x:v>
      </x:c>
      <x:c r="B38" s="4" t="str">
        <x:v>自有住宅率</x:v>
      </x:c>
      <x:c r="C38" s="19" t="n">
        <x:v>60.9</x:v>
      </x:c>
      <x:c r="D38" s="4" t="str">
        <x:v>%</x:v>
      </x:c>
      <x:c r="E38" s="16" t="n">
        <x:v>2023</x:v>
      </x:c>
      <x:c r="F38" s="4" t="str">
        <x:v>JP03</x:v>
      </x:c>
      <x:c r="G38" s="24" t="str">
        <x:v>https://www.stat.go.jp/data/jyutaku/2023/pdf/kihon_gaiyou.pdf</x:v>
      </x:c>
      <x:c r="H38" s="4" t="str">
        <x:v>【示意】居住世帯住宅分母；獨立來源1；來源A級</x:v>
      </x:c>
      <x:c r="I38" s="4" t="str">
        <x:v>低</x:v>
      </x:c>
    </x:row>
    <x:row r="39" ht="30" customHeight="1">
      <x:c r="A39" s="4" t="str">
        <x:v>JP</x:v>
      </x:c>
      <x:c r="B39" s="4" t="str">
        <x:v>新設住宅開工</x:v>
      </x:c>
      <x:c r="C39" s="17" t="n">
        <x:v>740667</x:v>
      </x:c>
      <x:c r="D39" s="4" t="str">
        <x:v>戶</x:v>
      </x:c>
      <x:c r="E39" s="16" t="n">
        <x:v>2025</x:v>
      </x:c>
      <x:c r="F39" s="4" t="str">
        <x:v>JP04</x:v>
      </x:c>
      <x:c r="G39" s="24" t="str">
        <x:v>https://www.mlit.go.jp/report/press/content/kencha25.pdf</x:v>
      </x:c>
      <x:c r="H39" s="4" t="str">
        <x:v>【示意】曆年開工、不是竣工；獨立來源1；來源A級</x:v>
      </x:c>
      <x:c r="I39" s="4" t="str">
        <x:v>低</x:v>
      </x:c>
    </x:row>
    <x:row r="40" ht="30" customHeight="1">
      <x:c r="A40" s="4" t="str">
        <x:v>JP</x:v>
      </x:c>
      <x:c r="B40" s="4" t="str">
        <x:v>新設住宅開工年增率</x:v>
      </x:c>
      <x:c r="C40" s="19" t="n">
        <x:v>-6.5</x:v>
      </x:c>
      <x:c r="D40" s="4" t="str">
        <x:v>%</x:v>
      </x:c>
      <x:c r="E40" s="16" t="n">
        <x:v>2025</x:v>
      </x:c>
      <x:c r="F40" s="4" t="str">
        <x:v>JP04</x:v>
      </x:c>
      <x:c r="G40" s="24" t="str">
        <x:v>https://www.mlit.go.jp/report/press/content/kencha25.pdf</x:v>
      </x:c>
      <x:c r="H40" s="4" t="str">
        <x:v>【示意】曆年戶數同比；獨立來源1；來源A級</x:v>
      </x:c>
      <x:c r="I40" s="4" t="str">
        <x:v>低</x:v>
      </x:c>
    </x:row>
    <x:row r="41" ht="30" customHeight="1">
      <x:c r="A41" s="4" t="str">
        <x:v>JP</x:v>
      </x:c>
      <x:c r="B41" s="4" t="str">
        <x:v>新設住宅開工面積</x:v>
      </x:c>
      <x:c r="C41" s="17" t="n">
        <x:v>56885000</x:v>
      </x:c>
      <x:c r="D41" s="4" t="str">
        <x:v>m²</x:v>
      </x:c>
      <x:c r="E41" s="16" t="n">
        <x:v>2025</x:v>
      </x:c>
      <x:c r="F41" s="4" t="str">
        <x:v>JP04</x:v>
      </x:c>
      <x:c r="G41" s="24" t="str">
        <x:v>https://www.mlit.go.jp/report/press/content/kencha25.pdf</x:v>
      </x:c>
      <x:c r="H41" s="4" t="str">
        <x:v>【示意】住宅著工床面積；獨立來源1；來源A級</x:v>
      </x:c>
      <x:c r="I41" s="4" t="str">
        <x:v>低</x:v>
      </x:c>
    </x:row>
    <x:row r="42" ht="38" customHeight="1">
      <x:c r="A42" s="4" t="str">
        <x:v>JP</x:v>
      </x:c>
      <x:c r="B42" s="4" t="str">
        <x:v>育兒家庭翻修平均資金</x:v>
      </x:c>
      <x:c r="C42" s="17" t="n">
        <x:v>1490000</x:v>
      </x:c>
      <x:c r="D42" s="4" t="str">
        <x:v>JPY/案</x:v>
      </x:c>
      <x:c r="E42" s="16" t="str">
        <x:v>2025調查</x:v>
      </x:c>
      <x:c r="F42" s="4" t="str">
        <x:v>JP05</x:v>
      </x:c>
      <x:c r="G42" s="24" t="str">
        <x:v>https://www.mlit.go.jp/report/press/content/002012180.pdf</x:v>
      </x:c>
      <x:c r="H42" s="4" t="str">
        <x:v>【示意】三大都市圈育兒家庭；2024-04至2025-03施工；包含小修非全屋平均；獨立來源1；來源A級</x:v>
      </x:c>
      <x:c r="I42" s="4" t="str">
        <x:v>低</x:v>
      </x:c>
    </x:row>
    <x:row r="43" ht="38" customHeight="1">
      <x:c r="A43" s="4" t="str">
        <x:v>JP</x:v>
      </x:c>
      <x:c r="B43" s="4" t="str">
        <x:v>一般內裝無許可輕微工程門檻</x:v>
      </x:c>
      <x:c r="C43" s="17" t="n">
        <x:v>5000000</x:v>
      </x:c>
      <x:c r="D43" s="4" t="str">
        <x:v>JPY</x:v>
      </x:c>
      <x:c r="E43" s="16" t="str">
        <x:v>2026-10-09查詢現行說明</x:v>
      </x:c>
      <x:c r="F43" s="4" t="str">
        <x:v>JP06</x:v>
      </x:c>
      <x:c r="G43" s="24" t="str">
        <x:v>https://www.mlit.go.jp/totikensangyo/const/1_6_bt_000080.html</x:v>
      </x:c>
      <x:c r="H43" s="4" t="str">
        <x:v>【示意】建築一式以外工程每件請負金額 &lt;5,000,000 JPY（含稅）；非其他法令豁免；2026為查詢年，不代表首次施行年；獨立來源1；來源A級</x:v>
      </x:c>
      <x:c r="I43" s="4" t="str">
        <x:v>低</x:v>
      </x:c>
    </x:row>
    <x:row r="44" ht="38" customHeight="1">
      <x:c r="A44" s="4" t="str">
        <x:v>JP</x:v>
      </x:c>
      <x:c r="B44" s="4" t="str">
        <x:v>一般建設業財務條件</x:v>
      </x:c>
      <x:c r="C44" s="17" t="n">
        <x:v>5000000</x:v>
      </x:c>
      <x:c r="D44" s="4" t="str">
        <x:v>JPY</x:v>
      </x:c>
      <x:c r="E44" s="16" t="str">
        <x:v>2026-10-09查詢現行說明</x:v>
      </x:c>
      <x:c r="F44" s="4" t="str">
        <x:v>JP07</x:v>
      </x:c>
      <x:c r="G44" s="24" t="str">
        <x:v>https://www.mlit.go.jp/totikensangyo/const/1_6_bt_000082.html</x:v>
      </x:c>
      <x:c r="H44" s="4" t="str">
        <x:v>【示意】自有資本或資金籌措能力選項；另有技術與管理條件；2026為查詢年，不代表首次施行年；獨立來源1；來源A級</x:v>
      </x:c>
      <x:c r="I44" s="4" t="str">
        <x:v>低</x:v>
      </x:c>
    </x:row>
    <x:row r="45" ht="30" customHeight="1">
      <x:c r="A45" s="4" t="str">
        <x:v>JP</x:v>
      </x:c>
      <x:c r="B45" s="4" t="str">
        <x:v>Nitori合併營收</x:v>
      </x:c>
      <x:c r="C45" s="17" t="n">
        <x:v>928828000000</x:v>
      </x:c>
      <x:c r="D45" s="4" t="str">
        <x:v>JPY</x:v>
      </x:c>
      <x:c r="E45" s="16" t="str">
        <x:v>FY2025-03</x:v>
      </x:c>
      <x:c r="F45" s="4" t="str">
        <x:v>JP11</x:v>
      </x:c>
      <x:c r="G45" s="24" t="str">
        <x:v>https://www.nitorihd.co.jp/ir/performance/pl.html</x:v>
      </x:c>
      <x:c r="H45" s="4" t="str">
        <x:v>【示意】IFRS全球家居零售等，不是日本住宅翻修；獨立來源1；來源A級</x:v>
      </x:c>
      <x:c r="I45" s="4" t="str">
        <x:v>低</x:v>
      </x:c>
    </x:row>
    <x:row r="46" ht="30" customHeight="1">
      <x:c r="A46" s="4" t="str">
        <x:v>JP</x:v>
      </x:c>
      <x:c r="B46" s="4" t="str">
        <x:v>Nitori合併營收</x:v>
      </x:c>
      <x:c r="C46" s="17" t="n">
        <x:v>912248000000</x:v>
      </x:c>
      <x:c r="D46" s="4" t="str">
        <x:v>JPY</x:v>
      </x:c>
      <x:c r="E46" s="16" t="str">
        <x:v>FY2026-03</x:v>
      </x:c>
      <x:c r="F46" s="4" t="str">
        <x:v>JP11</x:v>
      </x:c>
      <x:c r="G46" s="24" t="str">
        <x:v>https://www.nitorihd.co.jp/ir/performance/pl.html</x:v>
      </x:c>
      <x:c r="H46" s="4" t="str">
        <x:v>【示意】IFRS全球家居零售等；獨立來源1；來源A級</x:v>
      </x:c>
      <x:c r="I46" s="4" t="str">
        <x:v>低</x:v>
      </x:c>
    </x:row>
    <x:row r="47" ht="30" customHeight="1">
      <x:c r="A47" s="4" t="str">
        <x:v>JP</x:v>
      </x:c>
      <x:c r="B47" s="4" t="str">
        <x:v>Nitori營業利益</x:v>
      </x:c>
      <x:c r="C47" s="17" t="n">
        <x:v>125526000000</x:v>
      </x:c>
      <x:c r="D47" s="4" t="str">
        <x:v>JPY</x:v>
      </x:c>
      <x:c r="E47" s="16" t="str">
        <x:v>FY2026-03</x:v>
      </x:c>
      <x:c r="F47" s="4" t="str">
        <x:v>JP11</x:v>
      </x:c>
      <x:c r="G47" s="24" t="str">
        <x:v>https://www.nitorihd.co.jp/ir/performance/pl.html</x:v>
      </x:c>
      <x:c r="H47" s="4" t="str">
        <x:v>【示意】IFRS全球集團；獨立來源1；來源A級</x:v>
      </x:c>
      <x:c r="I47" s="4" t="str">
        <x:v>低</x:v>
      </x:c>
    </x:row>
    <x:row r="48" ht="30" customHeight="1">
      <x:c r="A48" s="4" t="str">
        <x:v>JP</x:v>
      </x:c>
      <x:c r="B48" s="4" t="str">
        <x:v>KATITAS營收</x:v>
      </x:c>
      <x:c r="C48" s="17" t="n">
        <x:v>151800000000</x:v>
      </x:c>
      <x:c r="D48" s="4" t="str">
        <x:v>JPY</x:v>
      </x:c>
      <x:c r="E48" s="16" t="str">
        <x:v>FY2026-03</x:v>
      </x:c>
      <x:c r="F48" s="4" t="str">
        <x:v>JP12</x:v>
      </x:c>
      <x:c r="G48" s="24" t="str">
        <x:v>https://katitas.co.jp/ir/business.html</x:v>
      </x:c>
      <x:c r="H48" s="4" t="str">
        <x:v>【示意】買翻賣全屋售價收入，含物件取得價非純裝修；獨立來源1；來源A級</x:v>
      </x:c>
      <x:c r="I48" s="4" t="str">
        <x:v>低</x:v>
      </x:c>
    </x:row>
    <x:row r="49" ht="30" customHeight="1">
      <x:c r="A49" s="4" t="str">
        <x:v>JP</x:v>
      </x:c>
      <x:c r="B49" s="4" t="str">
        <x:v>KATITAS營業利益</x:v>
      </x:c>
      <x:c r="C49" s="17" t="n">
        <x:v>18200000000</x:v>
      </x:c>
      <x:c r="D49" s="4" t="str">
        <x:v>JPY</x:v>
      </x:c>
      <x:c r="E49" s="16" t="str">
        <x:v>FY2026-03</x:v>
      </x:c>
      <x:c r="F49" s="4" t="str">
        <x:v>JP12</x:v>
      </x:c>
      <x:c r="G49" s="24" t="str">
        <x:v>https://katitas.co.jp/ir/business.html</x:v>
      </x:c>
      <x:c r="H49" s="4" t="str">
        <x:v>【示意】官方IR摘要取整數；獨立來源1；來源A級</x:v>
      </x:c>
      <x:c r="I49" s="4" t="str">
        <x:v>低</x:v>
      </x:c>
    </x:row>
    <x:row r="50" ht="30" customHeight="1">
      <x:c r="A50" s="4" t="str">
        <x:v>JP</x:v>
      </x:c>
      <x:c r="B50" s="4" t="str">
        <x:v>KATITAS售屋件數</x:v>
      </x:c>
      <x:c r="C50" s="17" t="n">
        <x:v>8380</x:v>
      </x:c>
      <x:c r="D50" s="4" t="str">
        <x:v>件</x:v>
      </x:c>
      <x:c r="E50" s="16" t="str">
        <x:v>FY2026-03</x:v>
      </x:c>
      <x:c r="F50" s="4" t="str">
        <x:v>JP12</x:v>
      </x:c>
      <x:c r="G50" s="24" t="str">
        <x:v>https://katitas.co.jp/ir/business.html</x:v>
      </x:c>
      <x:c r="H50" s="4" t="str">
        <x:v>【示意】集團再生住宅銷售；獨立來源1；來源A級</x:v>
      </x:c>
      <x:c r="I50" s="4" t="str">
        <x:v>低</x:v>
      </x:c>
    </x:row>
    <x:row r="51" ht="30" customHeight="1">
      <x:c r="A51" s="4" t="str">
        <x:v>JP</x:v>
      </x:c>
      <x:c r="B51" s="4" t="str">
        <x:v>RENOVERU客製60m²價格</x:v>
      </x:c>
      <x:c r="C51" s="14" t="str">
        <x:v>15000000–21000000</x:v>
      </x:c>
      <x:c r="D51" s="4" t="str">
        <x:v>JPY/案</x:v>
      </x:c>
      <x:c r="E51" s="16" t="str">
        <x:v>2026查詢</x:v>
      </x:c>
      <x:c r="F51" s="4" t="str">
        <x:v>JP13</x:v>
      </x:c>
      <x:c r="G51" s="24" t="str">
        <x:v>https://www.renoveru.jp/contents/price</x:v>
      </x:c>
      <x:c r="H51" s="4" t="str">
        <x:v>【示意】首都圈公司客戶實績，非全國均價；稅別未明；獨立來源1；來源C級</x:v>
      </x:c>
      <x:c r="I51" s="4" t="str">
        <x:v>低</x:v>
      </x:c>
    </x:row>
    <x:row r="52" ht="30" customHeight="1">
      <x:c r="A52" s="4" t="str">
        <x:v>JP</x:v>
      </x:c>
      <x:c r="B52" s="4" t="str">
        <x:v>RENOVERU標準70m²價格</x:v>
      </x:c>
      <x:c r="C52" s="14" t="str">
        <x:v>11000000–13000000</x:v>
      </x:c>
      <x:c r="D52" s="4" t="str">
        <x:v>JPY/案</x:v>
      </x:c>
      <x:c r="E52" s="16" t="str">
        <x:v>2026查詢</x:v>
      </x:c>
      <x:c r="F52" s="4" t="str">
        <x:v>JP13</x:v>
      </x:c>
      <x:c r="G52" s="24" t="str">
        <x:v>https://www.renoveru.jp/contents/price</x:v>
      </x:c>
      <x:c r="H52" s="4" t="str">
        <x:v>【示意】The R產品；非市場基本價；獨立來源1；來源C級</x:v>
      </x:c>
      <x:c r="I52" s="4" t="str">
        <x:v>低</x:v>
      </x:c>
    </x:row>
    <x:row r="53" ht="30" customHeight="1">
      <x:c r="A53" s="4" t="str">
        <x:v>JP</x:v>
      </x:c>
      <x:c r="B53" s="4" t="str">
        <x:v>積水ハウス集團翻修營收</x:v>
      </x:c>
      <x:c r="C53" s="17" t="n">
        <x:v>183870000000</x:v>
      </x:c>
      <x:c r="D53" s="4" t="str">
        <x:v>JPY</x:v>
      </x:c>
      <x:c r="E53" s="16" t="str">
        <x:v>2025榜單</x:v>
      </x:c>
      <x:c r="F53" s="4" t="str">
        <x:v>JP15</x:v>
      </x:c>
      <x:c r="G53" s="24" t="str">
        <x:v>https://prtimes.jp/main/html/rd/p/000000232.000074598.html</x:v>
      </x:c>
      <x:c r="H53" s="4" t="str">
        <x:v>【示意】Nikka新聞稿轉引產業新聞調查，決算基期依原榜；獨立來源1；來源C級</x:v>
      </x:c>
      <x:c r="I53" s="4" t="str">
        <x:v>低</x:v>
      </x:c>
    </x:row>
    <x:row r="54" ht="30" customHeight="1">
      <x:c r="A54" s="4" t="str">
        <x:v>JP</x:v>
      </x:c>
      <x:c r="B54" s="4" t="str">
        <x:v>大和ハウス集團翻修營收</x:v>
      </x:c>
      <x:c r="C54" s="17" t="n">
        <x:v>178610000000</x:v>
      </x:c>
      <x:c r="D54" s="4" t="str">
        <x:v>JPY</x:v>
      </x:c>
      <x:c r="E54" s="16" t="str">
        <x:v>2025榜單</x:v>
      </x:c>
      <x:c r="F54" s="4" t="str">
        <x:v>JP15</x:v>
      </x:c>
      <x:c r="G54" s="24" t="str">
        <x:v>https://prtimes.jp/main/html/rd/p/000000232.000074598.html</x:v>
      </x:c>
      <x:c r="H54" s="4" t="str">
        <x:v>【示意】同上，不等同集團總營收；獨立來源1；來源C級</x:v>
      </x:c>
      <x:c r="I54" s="4" t="str">
        <x:v>低</x:v>
      </x:c>
    </x:row>
    <x:row r="55" ht="30" customHeight="1">
      <x:c r="A55" s="4" t="str">
        <x:v>JP</x:v>
      </x:c>
      <x:c r="B55" s="4" t="str">
        <x:v>Nikka店數</x:v>
      </x:c>
      <x:c r="C55" s="17" t="n">
        <x:v>113</x:v>
      </x:c>
      <x:c r="D55" s="4" t="str">
        <x:v>店</x:v>
      </x:c>
      <x:c r="E55" s="16" t="str">
        <x:v>2025-10</x:v>
      </x:c>
      <x:c r="F55" s="4" t="str">
        <x:v>JP15</x:v>
      </x:c>
      <x:c r="G55" s="24" t="str">
        <x:v>https://prtimes.jp/main/html/rd/p/000000232.000074598.html</x:v>
      </x:c>
      <x:c r="H55" s="4" t="str">
        <x:v>【示意】全國門店；獨立來源1；來源C級</x:v>
      </x:c>
      <x:c r="I55" s="4" t="str">
        <x:v>低</x:v>
      </x:c>
    </x:row>
    <x:row r="56" ht="52" customHeight="1">
      <x:c r="A56" s="4" t="str">
        <x:v>JP</x:v>
      </x:c>
      <x:c r="B56" s="4" t="str">
        <x:v>SUUMO排名收錄公司</x:v>
      </x:c>
      <x:c r="C56" s="17" t="n">
        <x:v>932</x:v>
      </x:c>
      <x:c r="D56" s="4" t="str">
        <x:v>家</x:v>
      </x:c>
      <x:c r="E56" s="16" t="str">
        <x:v>2026-09-02至2026-10-06</x:v>
      </x:c>
      <x:c r="F56" s="4" t="str">
        <x:v>JP16</x:v>
      </x:c>
      <x:c r="G56" s="24" t="str">
        <x:v>https://suumo.jp/remodel/rank/kaisha/</x:v>
      </x:c>
      <x:c r="H56" s="4" t="str">
        <x:v>【示意】SUUMO頁面名為2026年9月排行；按各社頁面アクセス數，932社為該排行樣本；獨立來源1；來源C級；查核限制：L34/81–85：932家公司、頁面標2026年9月榜、集計2026-09-02至10-06；アクセス排行榜不是營收／成交排行。</x:v>
      </x:c>
      <x:c r="I56" s="4" t="str">
        <x:v>低</x:v>
      </x:c>
    </x:row>
    <x:row r="57" ht="30" customHeight="1">
      <x:c r="A57" s="4" t="str">
        <x:v>JP</x:v>
      </x:c>
      <x:c r="B57" s="4" t="str">
        <x:v>TOTOリモデルクラブ</x:v>
      </x:c>
      <x:c r="C57" s="17" t="n">
        <x:v>5000</x:v>
      </x:c>
      <x:c r="D57" s="4" t="str">
        <x:v>工事店約</x:v>
      </x:c>
      <x:c r="E57" s="16" t="n">
        <x:v>2025</x:v>
      </x:c>
      <x:c r="F57" s="4" t="str">
        <x:v>JP17</x:v>
      </x:c>
      <x:c r="G57" s="24" t="str">
        <x:v>https://jp.toto.com/assets/files/report2025_52-60.pdf</x:v>
      </x:c>
      <x:c r="H57" s="4" t="str">
        <x:v>【示意】志願加盟協作網絡，非直營店；獨立來源1；來源A級</x:v>
      </x:c>
      <x:c r="I57" s="4" t="str">
        <x:v>低</x:v>
      </x:c>
    </x:row>
    <x:row r="58" ht="38" customHeight="1">
      <x:c r="A58" s="4" t="str">
        <x:v>JP</x:v>
      </x:c>
      <x:c r="B58" s="4" t="str">
        <x:v>公共工事設計勞務單價</x:v>
      </x:c>
      <x:c r="C58" s="17" t="n">
        <x:v>25834</x:v>
      </x:c>
      <x:c r="D58" s="4" t="str">
        <x:v>JPY/日</x:v>
      </x:c>
      <x:c r="E58" s="16" t="n">
        <x:v>2026</x:v>
      </x:c>
      <x:c r="F58" s="4" t="str">
        <x:v>JP18</x:v>
      </x:c>
      <x:c r="G58" s="24" t="str">
        <x:v>https://www.mlit.go.jp/report/press/tochi_fudousan_kensetsugyo14_hh_000001_00337.html</x:v>
      </x:c>
      <x:c r="H58" s="4" t="str">
        <x:v>【示意】全職種全國加權平均；非室裝木工實領/報價；獨立來源1；來源A級</x:v>
      </x:c>
      <x:c r="I58" s="4" t="str">
        <x:v>低</x:v>
      </x:c>
    </x:row>
    <x:row r="59" ht="38" customHeight="1">
      <x:c r="A59" s="4" t="str">
        <x:v>JP</x:v>
      </x:c>
      <x:c r="B59" s="4" t="str">
        <x:v>公共工事設計勞務單價年增</x:v>
      </x:c>
      <x:c r="C59" s="19" t="n">
        <x:v>4.5</x:v>
      </x:c>
      <x:c r="D59" s="4" t="str">
        <x:v>%</x:v>
      </x:c>
      <x:c r="E59" s="16" t="n">
        <x:v>2026</x:v>
      </x:c>
      <x:c r="F59" s="4" t="str">
        <x:v>JP18</x:v>
      </x:c>
      <x:c r="G59" s="24" t="str">
        <x:v>https://www.mlit.go.jp/report/press/tochi_fudousan_kensetsugyo14_hh_000001_00337.html</x:v>
      </x:c>
      <x:c r="H59" s="4" t="str">
        <x:v>【示意】全職種單純平均同比；與加權單價口徑不同；獨立來源1；來源A級</x:v>
      </x:c>
      <x:c r="I59" s="4" t="str">
        <x:v>低</x:v>
      </x:c>
    </x:row>
    <x:row r="60" ht="30" customHeight="1">
      <x:c r="A60" s="4" t="str">
        <x:v>JP</x:v>
      </x:c>
      <x:c r="B60" s="4" t="str">
        <x:v>先進窗戶翻修每戶補助上限</x:v>
      </x:c>
      <x:c r="C60" s="17" t="n">
        <x:v>1000000</x:v>
      </x:c>
      <x:c r="D60" s="4" t="str">
        <x:v>JPY/戶</x:v>
      </x:c>
      <x:c r="E60" s="16" t="n">
        <x:v>2026</x:v>
      </x:c>
      <x:c r="F60" s="4" t="str">
        <x:v>JP19</x:v>
      </x:c>
      <x:c r="G60" s="24" t="str">
        <x:v>https://jutaku-shoene2026.mlit.go.jp/about/reform.html</x:v>
      </x:c>
      <x:c r="H60" s="4" t="str">
        <x:v>【示意】符合工項和產品資格、有預算額度；獨立來源1；來源A級</x:v>
      </x:c>
      <x:c r="I60" s="4" t="str">
        <x:v>低</x:v>
      </x:c>
    </x:row>
    <x:row r="61" ht="30" customHeight="1">
      <x:c r="A61" s="4" t="str">
        <x:v>JP</x:v>
      </x:c>
      <x:c r="B61" s="4" t="str">
        <x:v>窗戶翻修補助總預算</x:v>
      </x:c>
      <x:c r="C61" s="17" t="n">
        <x:v>112500000000</x:v>
      </x:c>
      <x:c r="D61" s="4" t="str">
        <x:v>JPY</x:v>
      </x:c>
      <x:c r="E61" s="16" t="n">
        <x:v>2026</x:v>
      </x:c>
      <x:c r="F61" s="4" t="str">
        <x:v>JP19</x:v>
      </x:c>
      <x:c r="G61" s="24" t="str">
        <x:v>https://jutaku-shoene2026.mlit.go.jp/about/reform.html</x:v>
      </x:c>
      <x:c r="H61" s="4" t="str">
        <x:v>【示意】環境省先進的窗戶翻修事業預算，非已實際支出；獨立來源1；來源A級</x:v>
      </x:c>
      <x:c r="I61" s="4" t="str">
        <x:v>低</x:v>
      </x:c>
    </x:row>
    <x:row r="62" ht="38" customHeight="1">
      <x:c r="A62" s="4" t="str">
        <x:v>JP</x:v>
      </x:c>
      <x:c r="B62" s="4" t="str">
        <x:v>人均GDP</x:v>
      </x:c>
      <x:c r="C62" s="21" t="n">
        <x:v>35951.045</x:v>
      </x:c>
      <x:c r="D62" s="4" t="str">
        <x:v>USD/人</x:v>
      </x:c>
      <x:c r="E62" s="16" t="n">
        <x:v>2025</x:v>
      </x:c>
      <x:c r="F62" s="4" t="str">
        <x:v>MJP</x:v>
      </x:c>
      <x:c r="G62" s="24" t="str">
        <x:v>https://data.worldbank.org/country/japan</x:v>
      </x:c>
      <x:c r="H62" s="4" t="str">
        <x:v>【示意】名目、現價美元；WDI 2025歷史數列，可能修訂，非家庭可支配所得；獨立來源1；來源A級</x:v>
      </x:c>
      <x:c r="I62" s="4" t="str">
        <x:v>低</x:v>
      </x:c>
    </x:row>
    <x:row r="63" ht="38" customHeight="1">
      <x:c r="A63" s="4" t="str">
        <x:v>JP</x:v>
      </x:c>
      <x:c r="B63" s="4" t="str">
        <x:v>人口</x:v>
      </x:c>
      <x:c r="C63" s="17" t="n">
        <x:v>123366734</x:v>
      </x:c>
      <x:c r="D63" s="4" t="str">
        <x:v>人</x:v>
      </x:c>
      <x:c r="E63" s="16" t="n">
        <x:v>2025</x:v>
      </x:c>
      <x:c r="F63" s="4" t="str">
        <x:v>MJP</x:v>
      </x:c>
      <x:c r="G63" s="24" t="str">
        <x:v>https://data.worldbank.org/country/japan</x:v>
      </x:c>
      <x:c r="H63" s="4" t="str">
        <x:v>【示意】WDI 2025；CN、IN為頁面billion顯示的四捨五入值，其餘依顯示人數；獨立來源1；來源A級</x:v>
      </x:c>
      <x:c r="I63" s="4" t="str">
        <x:v>低</x:v>
      </x:c>
    </x:row>
    <x:row r="64" ht="30" customHeight="1">
      <x:c r="A64" s="4" t="str">
        <x:v>JP</x:v>
      </x:c>
      <x:c r="B64" s="4" t="str">
        <x:v>GDP</x:v>
      </x:c>
      <x:c r="C64" s="17" t="n">
        <x:v>4440000000000</x:v>
      </x:c>
      <x:c r="D64" s="4" t="str">
        <x:v>USD</x:v>
      </x:c>
      <x:c r="E64" s="16" t="n">
        <x:v>2025</x:v>
      </x:c>
      <x:c r="F64" s="4" t="str">
        <x:v>MJP</x:v>
      </x:c>
      <x:c r="G64" s="24" t="str">
        <x:v>https://data.worldbank.org/country/japan</x:v>
      </x:c>
      <x:c r="H64" s="4" t="str">
        <x:v>【示意】WDI 2025現價；頁面billion/trillion四捨五入值；獨立來源1；來源A級</x:v>
      </x:c>
      <x:c r="I64" s="4" t="str">
        <x:v>低</x:v>
      </x:c>
    </x:row>
    <x:row r="65" ht="38" customHeight="1">
      <x:c r="A65" s="4" t="str">
        <x:v>JP</x:v>
      </x:c>
      <x:c r="B65" s="4" t="str">
        <x:v>東京商辦裝修成本</x:v>
      </x:c>
      <x:c r="C65" s="20" t="n">
        <x:v>2314.24073959259</x:v>
      </x:c>
      <x:c r="D65" s="4" t="str">
        <x:v>USD/m²</x:v>
      </x:c>
      <x:c r="E65" s="16" t="n">
        <x:v>2026</x:v>
      </x:c>
      <x:c r="F65" s="4" t="str">
        <x:v>X02</x:v>
      </x:c>
      <x:c r="G65" s="24" t="str">
        <x:v>https://digital.cushmanwakefield.com/fitoutcostguide-03-2026-apac-regional-en-content-pds-office/30-31/</x:v>
      </x:c>
      <x:c r="H65" s="4" t="str">
        <x:v>【示意】C&amp;W 2026商辦fit-out，價格基準2025年12月；USD/ft²÷0.09290304，非住宅報價，報告自身匯率；獨立來源1；來源B級</x:v>
      </x:c>
      <x:c r="I65" s="4" t="str">
        <x:v>低</x:v>
      </x:c>
    </x:row>
    <x:row r="66" ht="38" customHeight="1">
      <x:c r="A66" s="4" t="str">
        <x:v>JP</x:v>
      </x:c>
      <x:c r="B66" s="4" t="str">
        <x:v>MUJI營收</x:v>
      </x:c>
      <x:c r="C66" s="17" t="n">
        <x:v>784629</x:v>
      </x:c>
      <x:c r="D66" s="4" t="str">
        <x:v>百萬JPY</x:v>
      </x:c>
      <x:c r="E66" s="16" t="str">
        <x:v>FY2025-08</x:v>
      </x:c>
      <x:c r="F66" s="4" t="str">
        <x:v>X06</x:v>
      </x:c>
      <x:c r="G66" s="24" t="str">
        <x:v>https://www.ryohin-keikaku.jp/pdf/corporate/overview/2025-2026_jp.pdf</x:v>
      </x:c>
      <x:c r="H66" s="4" t="str">
        <x:v>【示意】良品計畫全球合併；生活雜貨含多項商品，不等於家具市場；獨立來源1；來源C級</x:v>
      </x:c>
      <x:c r="I66" s="4" t="str">
        <x:v>低</x:v>
      </x:c>
    </x:row>
    <x:row r="67" ht="38" customHeight="1">
      <x:c r="A67" s="4" t="str">
        <x:v>JP</x:v>
      </x:c>
      <x:c r="B67" s="4" t="str">
        <x:v>MUJI營業利益</x:v>
      </x:c>
      <x:c r="C67" s="17" t="n">
        <x:v>73800</x:v>
      </x:c>
      <x:c r="D67" s="4" t="str">
        <x:v>百萬JPY</x:v>
      </x:c>
      <x:c r="E67" s="16" t="str">
        <x:v>FY2025-08</x:v>
      </x:c>
      <x:c r="F67" s="4" t="str">
        <x:v>X06</x:v>
      </x:c>
      <x:c r="G67" s="24" t="str">
        <x:v>https://www.ryohin-keikaku.jp/pdf/corporate/overview/2025-2026_jp.pdf</x:v>
      </x:c>
      <x:c r="H67" s="4" t="str">
        <x:v>【示意】良品計畫全球合併；生活雜貨含多項商品，不等於家具市場；原公司簡介為738億日圓約數，換成百萬單位不代表精度到百萬；獨立來源1；來源C級</x:v>
      </x:c>
      <x:c r="I67" s="4" t="str">
        <x:v>低</x:v>
      </x:c>
    </x:row>
    <x:row r="68" ht="38" customHeight="1">
      <x:c r="A68" s="4" t="str">
        <x:v>JP</x:v>
      </x:c>
      <x:c r="B68" s="4" t="str">
        <x:v>MUJI生活雜貨銷售</x:v>
      </x:c>
      <x:c r="C68" s="17" t="n">
        <x:v>368184</x:v>
      </x:c>
      <x:c r="D68" s="4" t="str">
        <x:v>百萬JPY</x:v>
      </x:c>
      <x:c r="E68" s="16" t="str">
        <x:v>FY2025-08</x:v>
      </x:c>
      <x:c r="F68" s="4" t="str">
        <x:v>X06</x:v>
      </x:c>
      <x:c r="G68" s="24" t="str">
        <x:v>https://www.ryohin-keikaku.jp/pdf/corporate/overview/2025-2026_jp.pdf</x:v>
      </x:c>
      <x:c r="H68" s="4" t="str">
        <x:v>【示意】良品計畫全球合併；生活雜貨含多項商品，不等於家具市場；獨立來源1；來源C級</x:v>
      </x:c>
      <x:c r="I68" s="4" t="str">
        <x:v>低</x:v>
      </x:c>
    </x:row>
    <x:row r="69" ht="30" customHeight="1">
      <x:c r="A69" s="4" t="str">
        <x:v>KR</x:v>
      </x:c>
      <x:c r="B69" s="4" t="str">
        <x:v>人口</x:v>
      </x:c>
      <x:c r="C69" s="18" t="n">
        <x:v>51.82</x:v>
      </x:c>
      <x:c r="D69" s="4" t="str">
        <x:v>百萬人</x:v>
      </x:c>
      <x:c r="E69" s="16" t="n">
        <x:v>2025</x:v>
      </x:c>
      <x:c r="F69" s="4" t="str">
        <x:v>KR01</x:v>
      </x:c>
      <x:c r="G69" s="24" t="str">
        <x:v>https://eiec.kdi.re.kr/policy/materialView.do?num=284799</x:v>
      </x:c>
      <x:c r="H69" s="4" t="str">
        <x:v>【示意】2025-11-01人口普查；含外籍；獨立來源1；來源A級</x:v>
      </x:c>
      <x:c r="I69" s="4" t="str">
        <x:v>低</x:v>
      </x:c>
    </x:row>
    <x:row r="70" ht="30" customHeight="1">
      <x:c r="A70" s="4" t="str">
        <x:v>KR</x:v>
      </x:c>
      <x:c r="B70" s="4" t="str">
        <x:v>65歲以上人口</x:v>
      </x:c>
      <x:c r="C70" s="18" t="n">
        <x:v>10.72</x:v>
      </x:c>
      <x:c r="D70" s="4" t="str">
        <x:v>百萬人</x:v>
      </x:c>
      <x:c r="E70" s="16" t="n">
        <x:v>2025</x:v>
      </x:c>
      <x:c r="F70" s="4" t="str">
        <x:v>KR01</x:v>
      </x:c>
      <x:c r="G70" s="24" t="str">
        <x:v>https://eiec.kdi.re.kr/policy/materialView.do?num=284799</x:v>
      </x:c>
      <x:c r="H70" s="4" t="str">
        <x:v>【示意】人口普查；獨立來源1；來源A級</x:v>
      </x:c>
      <x:c r="I70" s="4" t="str">
        <x:v>低</x:v>
      </x:c>
    </x:row>
    <x:row r="71" ht="30" customHeight="1">
      <x:c r="A71" s="4" t="str">
        <x:v>KR</x:v>
      </x:c>
      <x:c r="B71" s="4" t="str">
        <x:v>65歲以上占比</x:v>
      </x:c>
      <x:c r="C71" s="19" t="n">
        <x:v>20.7</x:v>
      </x:c>
      <x:c r="D71" s="4" t="str">
        <x:v>%</x:v>
      </x:c>
      <x:c r="E71" s="16" t="n">
        <x:v>2025</x:v>
      </x:c>
      <x:c r="F71" s="4" t="str">
        <x:v>KR01</x:v>
      </x:c>
      <x:c r="G71" s="24" t="str">
        <x:v>https://eiec.kdi.re.kr/policy/materialView.do?num=284799</x:v>
      </x:c>
      <x:c r="H71" s="4" t="str">
        <x:v>【示意】人口普查；獨立來源1；來源A級</x:v>
      </x:c>
      <x:c r="I71" s="4" t="str">
        <x:v>低</x:v>
      </x:c>
    </x:row>
    <x:row r="72" ht="30" customHeight="1">
      <x:c r="A72" s="4" t="str">
        <x:v>KR</x:v>
      </x:c>
      <x:c r="B72" s="4" t="str">
        <x:v>住宅存量</x:v>
      </x:c>
      <x:c r="C72" s="18" t="n">
        <x:v>20.18</x:v>
      </x:c>
      <x:c r="D72" s="4" t="str">
        <x:v>百萬戶</x:v>
      </x:c>
      <x:c r="E72" s="16" t="n">
        <x:v>2025</x:v>
      </x:c>
      <x:c r="F72" s="4" t="str">
        <x:v>KR01</x:v>
      </x:c>
      <x:c r="G72" s="24" t="str">
        <x:v>https://eiec.kdi.re.kr/policy/materialView.do?num=284799</x:v>
      </x:c>
      <x:c r="H72" s="4" t="str">
        <x:v>【示意】不含住宅以外居所；獨立來源1；來源A級</x:v>
      </x:c>
      <x:c r="I72" s="4" t="str">
        <x:v>低</x:v>
      </x:c>
    </x:row>
    <x:row r="73" ht="30" customHeight="1">
      <x:c r="A73" s="4" t="str">
        <x:v>KR</x:v>
      </x:c>
      <x:c r="B73" s="4" t="str">
        <x:v>公寓住宅占比</x:v>
      </x:c>
      <x:c r="C73" s="19" t="n">
        <x:v>65.8</x:v>
      </x:c>
      <x:c r="D73" s="4" t="str">
        <x:v>%</x:v>
      </x:c>
      <x:c r="E73" s="16" t="n">
        <x:v>2025</x:v>
      </x:c>
      <x:c r="F73" s="4" t="str">
        <x:v>KR01</x:v>
      </x:c>
      <x:c r="G73" s="24" t="str">
        <x:v>https://eiec.kdi.re.kr/policy/materialView.do?num=284799</x:v>
      </x:c>
      <x:c r="H73" s="4" t="str">
        <x:v>【示意】公寓戶數／住宅總戶数；獨立來源1；來源A級</x:v>
      </x:c>
      <x:c r="I73" s="4" t="str">
        <x:v>低</x:v>
      </x:c>
    </x:row>
    <x:row r="74" ht="30" customHeight="1">
      <x:c r="A74" s="4" t="str">
        <x:v>KR</x:v>
      </x:c>
      <x:c r="B74" s="4" t="str">
        <x:v>20年以上屋齡占比</x:v>
      </x:c>
      <x:c r="C74" s="17" t="n">
        <x:v>56</x:v>
      </x:c>
      <x:c r="D74" s="4" t="str">
        <x:v>%</x:v>
      </x:c>
      <x:c r="E74" s="16" t="n">
        <x:v>2025</x:v>
      </x:c>
      <x:c r="F74" s="4" t="str">
        <x:v>KR01</x:v>
      </x:c>
      <x:c r="G74" s="24" t="str">
        <x:v>https://eiec.kdi.re.kr/policy/materialView.do?num=284799</x:v>
      </x:c>
      <x:c r="H74" s="4" t="str">
        <x:v>【示意】住宅存量；獨立來源1；來源A級</x:v>
      </x:c>
      <x:c r="I74" s="4" t="str">
        <x:v>低</x:v>
      </x:c>
    </x:row>
    <x:row r="75" ht="30" customHeight="1">
      <x:c r="A75" s="4" t="str">
        <x:v>KR</x:v>
      </x:c>
      <x:c r="B75" s="4" t="str">
        <x:v>30年以上屋齡占比</x:v>
      </x:c>
      <x:c r="C75" s="19" t="n">
        <x:v>30.6</x:v>
      </x:c>
      <x:c r="D75" s="4" t="str">
        <x:v>%</x:v>
      </x:c>
      <x:c r="E75" s="16" t="n">
        <x:v>2025</x:v>
      </x:c>
      <x:c r="F75" s="4" t="str">
        <x:v>KR01</x:v>
      </x:c>
      <x:c r="G75" s="24" t="str">
        <x:v>https://eiec.kdi.re.kr/policy/materialView.do?num=284799</x:v>
      </x:c>
      <x:c r="H75" s="4" t="str">
        <x:v>【示意】住宅存量；獨立來源1；來源A級</x:v>
      </x:c>
      <x:c r="I75" s="4" t="str">
        <x:v>低</x:v>
      </x:c>
    </x:row>
    <x:row r="76" ht="30" customHeight="1">
      <x:c r="A76" s="4" t="str">
        <x:v>KR</x:v>
      </x:c>
      <x:c r="B76" s="4" t="str">
        <x:v>單人戶</x:v>
      </x:c>
      <x:c r="C76" s="18" t="n">
        <x:v>8.24</x:v>
      </x:c>
      <x:c r="D76" s="4" t="str">
        <x:v>百萬戶</x:v>
      </x:c>
      <x:c r="E76" s="16" t="n">
        <x:v>2025</x:v>
      </x:c>
      <x:c r="F76" s="4" t="str">
        <x:v>KR01</x:v>
      </x:c>
      <x:c r="G76" s="24" t="str">
        <x:v>https://eiec.kdi.re.kr/policy/materialView.do?num=284799</x:v>
      </x:c>
      <x:c r="H76" s="4" t="str">
        <x:v>【示意】一般家戶；獨立來源1；來源A級</x:v>
      </x:c>
      <x:c r="I76" s="4" t="str">
        <x:v>低</x:v>
      </x:c>
    </x:row>
    <x:row r="77" ht="30" customHeight="1">
      <x:c r="A77" s="4" t="str">
        <x:v>KR</x:v>
      </x:c>
      <x:c r="B77" s="4" t="str">
        <x:v>單人戶占比</x:v>
      </x:c>
      <x:c r="C77" s="19" t="n">
        <x:v>36.6</x:v>
      </x:c>
      <x:c r="D77" s="4" t="str">
        <x:v>%</x:v>
      </x:c>
      <x:c r="E77" s="16" t="n">
        <x:v>2025</x:v>
      </x:c>
      <x:c r="F77" s="4" t="str">
        <x:v>KR01</x:v>
      </x:c>
      <x:c r="G77" s="24" t="str">
        <x:v>https://eiec.kdi.re.kr/policy/materialView.do?num=284799</x:v>
      </x:c>
      <x:c r="H77" s="4" t="str">
        <x:v>【示意】一般家戶；獨立來源1；來源A級</x:v>
      </x:c>
      <x:c r="I77" s="4" t="str">
        <x:v>低</x:v>
      </x:c>
    </x:row>
    <x:row r="78" ht="30" customHeight="1">
      <x:c r="A78" s="4" t="str">
        <x:v>KR</x:v>
      </x:c>
      <x:c r="B78" s="4" t="str">
        <x:v>30年以上屋齡占比</x:v>
      </x:c>
      <x:c r="C78" s="17" t="n">
        <x:v>28</x:v>
      </x:c>
      <x:c r="D78" s="4" t="str">
        <x:v>%</x:v>
      </x:c>
      <x:c r="E78" s="16" t="n">
        <x:v>2024</x:v>
      </x:c>
      <x:c r="F78" s="4" t="str">
        <x:v>KR02</x:v>
      </x:c>
      <x:c r="G78" s="24" t="str">
        <x:v>https://www.korea.kr/news/policyNewsView.do?newsId=156721680</x:v>
      </x:c>
      <x:c r="H78" s="4" t="str">
        <x:v>【示意】住宅存量；2024基期；獨立來源1；來源A級</x:v>
      </x:c>
      <x:c r="I78" s="4" t="str">
        <x:v>低</x:v>
      </x:c>
    </x:row>
    <x:row r="79" ht="30" customHeight="1">
      <x:c r="A79" s="4" t="str">
        <x:v>KR</x:v>
      </x:c>
      <x:c r="B79" s="4" t="str">
        <x:v>住宅存量</x:v>
      </x:c>
      <x:c r="C79" s="18" t="n">
        <x:v>19.87</x:v>
      </x:c>
      <x:c r="D79" s="4" t="str">
        <x:v>百萬戶</x:v>
      </x:c>
      <x:c r="E79" s="16" t="n">
        <x:v>2024</x:v>
      </x:c>
      <x:c r="F79" s="4" t="str">
        <x:v>KR02</x:v>
      </x:c>
      <x:c r="G79" s="24" t="str">
        <x:v>https://www.korea.kr/news/policyNewsView.do?newsId=156721680</x:v>
      </x:c>
      <x:c r="H79" s="4" t="str">
        <x:v>【示意】不含officetel等非住宅居所；獨立來源1；來源A級</x:v>
      </x:c>
      <x:c r="I79" s="4" t="str">
        <x:v>低</x:v>
      </x:c>
    </x:row>
    <x:row r="80" ht="30" customHeight="1">
      <x:c r="A80" s="4" t="str">
        <x:v>KR</x:v>
      </x:c>
      <x:c r="B80" s="4" t="str">
        <x:v>Hanssem合併營收</x:v>
      </x:c>
      <x:c r="C80" s="17" t="n">
        <x:v>1744538</x:v>
      </x:c>
      <x:c r="D80" s="4" t="str">
        <x:v>百萬KRW</x:v>
      </x:c>
      <x:c r="E80" s="16" t="n">
        <x:v>2025</x:v>
      </x:c>
      <x:c r="F80" s="4" t="str">
        <x:v>KR03</x:v>
      </x:c>
      <x:c r="G80" s="24" t="str">
        <x:v>https://company.hanssem.com/ir/financials/highlights</x:v>
      </x:c>
      <x:c r="H80" s="4" t="str">
        <x:v>【示意】家具、Rehaus、特販等全集團；非純住宅翻修；獨立來源1；來源C級</x:v>
      </x:c>
      <x:c r="I80" s="4" t="str">
        <x:v>低</x:v>
      </x:c>
    </x:row>
    <x:row r="81" ht="30" customHeight="1">
      <x:c r="A81" s="4" t="str">
        <x:v>KR</x:v>
      </x:c>
      <x:c r="B81" s="4" t="str">
        <x:v>Hanssem合併營業利益</x:v>
      </x:c>
      <x:c r="C81" s="17" t="n">
        <x:v>18491</x:v>
      </x:c>
      <x:c r="D81" s="4" t="str">
        <x:v>百萬KRW</x:v>
      </x:c>
      <x:c r="E81" s="16" t="n">
        <x:v>2025</x:v>
      </x:c>
      <x:c r="F81" s="4" t="str">
        <x:v>KR03</x:v>
      </x:c>
      <x:c r="G81" s="24" t="str">
        <x:v>https://company.hanssem.com/ir/financials/highlights</x:v>
      </x:c>
      <x:c r="H81" s="4" t="str">
        <x:v>【示意】集團營業利益；獨立來源1；來源C級</x:v>
      </x:c>
      <x:c r="I81" s="4" t="str">
        <x:v>低</x:v>
      </x:c>
    </x:row>
    <x:row r="82" ht="30" customHeight="1">
      <x:c r="A82" s="4" t="str">
        <x:v>KR</x:v>
      </x:c>
      <x:c r="B82" s="4" t="str">
        <x:v>Hanssem合併营收</x:v>
      </x:c>
      <x:c r="C82" s="17" t="n">
        <x:v>1908391</x:v>
      </x:c>
      <x:c r="D82" s="4" t="str">
        <x:v>百萬KRW</x:v>
      </x:c>
      <x:c r="E82" s="16" t="n">
        <x:v>2024</x:v>
      </x:c>
      <x:c r="F82" s="4" t="str">
        <x:v>KR03</x:v>
      </x:c>
      <x:c r="G82" s="24" t="str">
        <x:v>https://company.hanssem.com/ir/financials/highlights</x:v>
      </x:c>
      <x:c r="H82" s="4" t="str">
        <x:v>【示意】同口徑比較；獨立來源1；來源C級</x:v>
      </x:c>
      <x:c r="I82" s="4" t="str">
        <x:v>低</x:v>
      </x:c>
    </x:row>
    <x:row r="83" ht="30" customHeight="1">
      <x:c r="A83" s="4" t="str">
        <x:v>KR</x:v>
      </x:c>
      <x:c r="B83" s="4" t="str">
        <x:v>Hanssem合併營業利益率</x:v>
      </x:c>
      <x:c r="C83" s="18" t="n">
        <x:v>1.06</x:v>
      </x:c>
      <x:c r="D83" s="4" t="str">
        <x:v>%</x:v>
      </x:c>
      <x:c r="E83" s="16" t="n">
        <x:v>2025</x:v>
      </x:c>
      <x:c r="F83" s="4" t="str">
        <x:v>KR03</x:v>
      </x:c>
      <x:c r="G83" s="24" t="str">
        <x:v>https://company.hanssem.com/ir/financials/highlights</x:v>
      </x:c>
      <x:c r="H83" s="4" t="str">
        <x:v>【示意】研究計算：18491／1744538×100；非工程毛利；獨立來源1；來源C級</x:v>
      </x:c>
      <x:c r="I83" s="4" t="str">
        <x:v>低</x:v>
      </x:c>
    </x:row>
    <x:row r="84" ht="30" customHeight="1">
      <x:c r="A84" s="4" t="str">
        <x:v>KR</x:v>
      </x:c>
      <x:c r="B84" s="4" t="str">
        <x:v>오늘의집營收</x:v>
      </x:c>
      <x:c r="C84" s="17" t="n">
        <x:v>321500</x:v>
      </x:c>
      <x:c r="D84" s="4" t="str">
        <x:v>百萬KRW</x:v>
      </x:c>
      <x:c r="E84" s="16" t="n">
        <x:v>2025</x:v>
      </x:c>
      <x:c r="F84" s="4" t="str">
        <x:v>KR04</x:v>
      </x:c>
      <x:c r="G84" s="24" t="str">
        <x:v>https://ohstory.io/press/pressrelease/15242</x:v>
      </x:c>
      <x:c r="H84" s="4" t="str">
        <x:v>【示意】Bucketplace營收，非GMV；獨立來源1；來源C級</x:v>
      </x:c>
      <x:c r="I84" s="4" t="str">
        <x:v>低</x:v>
      </x:c>
    </x:row>
    <x:row r="85" ht="30" customHeight="1">
      <x:c r="A85" s="4" t="str">
        <x:v>KR</x:v>
      </x:c>
      <x:c r="B85" s="4" t="str">
        <x:v>오늘의집營收年增</x:v>
      </x:c>
      <x:c r="C85" s="19" t="n">
        <x:v>11.7</x:v>
      </x:c>
      <x:c r="D85" s="4" t="str">
        <x:v>%</x:v>
      </x:c>
      <x:c r="E85" s="16" t="n">
        <x:v>2025</x:v>
      </x:c>
      <x:c r="F85" s="4" t="str">
        <x:v>KR04</x:v>
      </x:c>
      <x:c r="G85" s="24" t="str">
        <x:v>https://ohstory.io/press/pressrelease/15242</x:v>
      </x:c>
      <x:c r="H85" s="4" t="str">
        <x:v>【示意】公司公告約值；獨立來源1；來源C級</x:v>
      </x:c>
      <x:c r="I85" s="4" t="str">
        <x:v>低</x:v>
      </x:c>
    </x:row>
    <x:row r="86" ht="30" customHeight="1">
      <x:c r="A86" s="4" t="str">
        <x:v>KR</x:v>
      </x:c>
      <x:c r="B86" s="4" t="str">
        <x:v>오늘의집施工交易營收增長</x:v>
      </x:c>
      <x:c r="C86" s="14" t="str">
        <x:v>&gt;3.5</x:v>
      </x:c>
      <x:c r="D86" s="4" t="str">
        <x:v>倍</x:v>
      </x:c>
      <x:c r="E86" s="16" t="n">
        <x:v>2025</x:v>
      </x:c>
      <x:c r="F86" s="4" t="str">
        <x:v>KR04</x:v>
      </x:c>
      <x:c r="G86" s="24" t="str">
        <x:v>https://ohstory.io/press/pressrelease/15242</x:v>
      </x:c>
      <x:c r="H86" s="4" t="str">
        <x:v>【示意】施工交易營收較2024；非市場成長率；獨立來源1；來源C級</x:v>
      </x:c>
      <x:c r="I86" s="4" t="str">
        <x:v>低</x:v>
      </x:c>
    </x:row>
    <x:row r="87" ht="30" customHeight="1">
      <x:c r="A87" s="4" t="str">
        <x:v>KR</x:v>
      </x:c>
      <x:c r="B87" s="4" t="str">
        <x:v>오늘의집 Standard合作業者</x:v>
      </x:c>
      <x:c r="C87" s="17" t="n">
        <x:v>400</x:v>
      </x:c>
      <x:c r="D87" s="4" t="str">
        <x:v>家</x:v>
      </x:c>
      <x:c r="E87" s="16" t="n">
        <x:v>2025</x:v>
      </x:c>
      <x:c r="F87" s="4" t="str">
        <x:v>KR04</x:v>
      </x:c>
      <x:c r="G87" s="24" t="str">
        <x:v>https://ohstory.io/press/pressrelease/15242</x:v>
      </x:c>
      <x:c r="H87" s="4" t="str">
        <x:v>【示意】約數，公司自報；獨立來源1；來源C級</x:v>
      </x:c>
      <x:c r="I87" s="4" t="str">
        <x:v>低</x:v>
      </x:c>
    </x:row>
    <x:row r="88" ht="38" customHeight="1">
      <x:c r="A88" s="4" t="str">
        <x:v>KR</x:v>
      </x:c>
      <x:c r="B88" s="4" t="str">
        <x:v>實內建築承包登記資本門檻</x:v>
      </x:c>
      <x:c r="C88" s="17" t="n">
        <x:v>150000000</x:v>
      </x:c>
      <x:c r="D88" s="4" t="str">
        <x:v>KRW</x:v>
      </x:c>
      <x:c r="E88" s="16" t="str">
        <x:v>2022修訂版</x:v>
      </x:c>
      <x:c r="F88" s="4" t="str">
        <x:v>KR05</x:v>
      </x:c>
      <x:c r="G88" s="24" t="str">
        <x:v>https://www.law.go.kr/LSW/flDownload.do?bylClsCd=110201&amp;flSeq=129840259&amp;gubun=</x:v>
      </x:c>
      <x:c r="H88" s="4" t="str">
        <x:v>【示意】歷史法規附表；非2026最新確認，須專業複核；獨立來源1；來源A級</x:v>
      </x:c>
      <x:c r="I88" s="4" t="str">
        <x:v>低</x:v>
      </x:c>
    </x:row>
    <x:row r="89" ht="38" customHeight="1">
      <x:c r="A89" s="4" t="str">
        <x:v>KR</x:v>
      </x:c>
      <x:c r="B89" s="4" t="str">
        <x:v>實內建築承包登記技術人員</x:v>
      </x:c>
      <x:c r="C89" s="17" t="n">
        <x:v>2</x:v>
      </x:c>
      <x:c r="D89" s="4" t="str">
        <x:v>人以上</x:v>
      </x:c>
      <x:c r="E89" s="16" t="str">
        <x:v>2022修訂版</x:v>
      </x:c>
      <x:c r="F89" s="4" t="str">
        <x:v>KR05</x:v>
      </x:c>
      <x:c r="G89" s="24" t="str">
        <x:v>https://www.law.go.kr/LSW/flDownload.do?bylClsCd=110201&amp;flSeq=129840259&amp;gubun=</x:v>
      </x:c>
      <x:c r="H89" s="4" t="str">
        <x:v>【示意】歷史法規附表；須專業複核；獨立來源1；來源A級</x:v>
      </x:c>
      <x:c r="I89" s="4" t="str">
        <x:v>低</x:v>
      </x:c>
    </x:row>
    <x:row r="90" ht="30" customHeight="1">
      <x:c r="A90" s="4" t="str">
        <x:v>KR</x:v>
      </x:c>
      <x:c r="B90" s="4" t="str">
        <x:v>FDI認定通常最低投資</x:v>
      </x:c>
      <x:c r="C90" s="17" t="n">
        <x:v>100000000</x:v>
      </x:c>
      <x:c r="D90" s="4" t="str">
        <x:v>KRW</x:v>
      </x:c>
      <x:c r="E90" s="16" t="str">
        <x:v>查閱2026</x:v>
      </x:c>
      <x:c r="F90" s="4" t="str">
        <x:v>KR06</x:v>
      </x:c>
      <x:c r="G90" s="24" t="str">
        <x:v>https://www.investkorea.org/ik-en/cntnts/i-334/web.do</x:v>
      </x:c>
      <x:c r="H90" s="4" t="str">
        <x:v>【示意】投資額與10%持股並列之FDI認定，不等於一般公司成立門檻；獨立來源1；來源A級</x:v>
      </x:c>
      <x:c r="I90" s="4" t="str">
        <x:v>低</x:v>
      </x:c>
    </x:row>
    <x:row r="91" ht="52" customHeight="1">
      <x:c r="A91" s="4" t="str">
        <x:v>KR</x:v>
      </x:c>
      <x:c r="B91" s="4" t="str">
        <x:v>名目GDP</x:v>
      </x:c>
      <x:c r="C91" s="19" t="n">
        <x:v>2676.7</x:v>
      </x:c>
      <x:c r="D91" s="4" t="str">
        <x:v>兆KRW</x:v>
      </x:c>
      <x:c r="E91" s="16" t="n">
        <x:v>2025</x:v>
      </x:c>
      <x:c r="F91" s="4" t="str">
        <x:v>KR08</x:v>
      </x:c>
      <x:c r="G91" s="24" t="str">
        <x:v>https://www.bok.or.kr/portal/bbs/B0000501/view.do?depth=201264&amp;menuNo=201264&amp;nttId=10098382&amp;oldMenuNo=201150&amp;programType=newsData&amp;relate=Y</x:v>
      </x:c>
      <x:c r="H91" s="4" t="str">
        <x:v>【示意】2025國民帳暫定；獨立來源1；來源A級</x:v>
      </x:c>
      <x:c r="I91" s="4" t="str">
        <x:v>低</x:v>
      </x:c>
    </x:row>
    <x:row r="92" ht="52" customHeight="1">
      <x:c r="A92" s="4" t="str">
        <x:v>KR</x:v>
      </x:c>
      <x:c r="B92" s="4" t="str">
        <x:v>人均GNI</x:v>
      </x:c>
      <x:c r="C92" s="17" t="n">
        <x:v>36963</x:v>
      </x:c>
      <x:c r="D92" s="4" t="str">
        <x:v>USD／人</x:v>
      </x:c>
      <x:c r="E92" s="16" t="n">
        <x:v>2025</x:v>
      </x:c>
      <x:c r="F92" s="4" t="str">
        <x:v>KR08</x:v>
      </x:c>
      <x:c r="G92" s="24" t="str">
        <x:v>https://www.bok.or.kr/portal/bbs/B0000501/view.do?depth=201264&amp;menuNo=201264&amp;nttId=10098382&amp;oldMenuNo=201150&amp;programType=newsData&amp;relate=Y</x:v>
      </x:c>
      <x:c r="H92" s="4" t="str">
        <x:v>【示意】GNI不是GDP，不填入GDP比較欄；獨立來源1；來源A級</x:v>
      </x:c>
      <x:c r="I92" s="4" t="str">
        <x:v>低</x:v>
      </x:c>
    </x:row>
    <x:row r="93" ht="52" customHeight="1">
      <x:c r="A93" s="4" t="str">
        <x:v>KR</x:v>
      </x:c>
      <x:c r="B93" s="4" t="str">
        <x:v>實質GDP成長</x:v>
      </x:c>
      <x:c r="C93" s="19" t="n">
        <x:v>1.1</x:v>
      </x:c>
      <x:c r="D93" s="4" t="str">
        <x:v>%</x:v>
      </x:c>
      <x:c r="E93" s="16" t="n">
        <x:v>2025</x:v>
      </x:c>
      <x:c r="F93" s="4" t="str">
        <x:v>KR08</x:v>
      </x:c>
      <x:c r="G93" s="24" t="str">
        <x:v>https://www.bok.or.kr/portal/bbs/B0000501/view.do?depth=201264&amp;menuNo=201264&amp;nttId=10098382&amp;oldMenuNo=201150&amp;programType=newsData&amp;relate=Y</x:v>
      </x:c>
      <x:c r="H93" s="4" t="str">
        <x:v>【示意】2025國民帳暫定；獨立來源1；來源A級</x:v>
      </x:c>
      <x:c r="I93" s="4" t="str">
        <x:v>低</x:v>
      </x:c>
    </x:row>
    <x:row r="94" ht="30" customHeight="1">
      <x:c r="A94" s="4" t="str">
        <x:v>KR</x:v>
      </x:c>
      <x:c r="B94" s="4" t="str">
        <x:v>室內裝修消費爭議申請</x:v>
      </x:c>
      <x:c r="C94" s="17" t="n">
        <x:v>551</x:v>
      </x:c>
      <x:c r="D94" s="4" t="str">
        <x:v>件</x:v>
      </x:c>
      <x:c r="E94" s="16" t="n">
        <x:v>2024</x:v>
      </x:c>
      <x:c r="F94" s="4" t="str">
        <x:v>KR09</x:v>
      </x:c>
      <x:c r="G94" s="24" t="str">
        <x:v>https://www.khan.co.kr/article/202610071201001</x:v>
      </x:c>
      <x:c r="H94" s="4" t="str">
        <x:v>【示意】韓國消費者院數據由主流媒體轉引；獨立來源1；來源B級</x:v>
      </x:c>
      <x:c r="I94" s="4" t="str">
        <x:v>低</x:v>
      </x:c>
    </x:row>
    <x:row r="95" ht="30" customHeight="1">
      <x:c r="A95" s="4" t="str">
        <x:v>KR</x:v>
      </x:c>
      <x:c r="B95" s="4" t="str">
        <x:v>室內裝修消費爭議申請</x:v>
      </x:c>
      <x:c r="C95" s="17" t="n">
        <x:v>795</x:v>
      </x:c>
      <x:c r="D95" s="4" t="str">
        <x:v>件</x:v>
      </x:c>
      <x:c r="E95" s="16" t="n">
        <x:v>2025</x:v>
      </x:c>
      <x:c r="F95" s="4" t="str">
        <x:v>KR09</x:v>
      </x:c>
      <x:c r="G95" s="24" t="str">
        <x:v>https://www.khan.co.kr/article/202610071201001</x:v>
      </x:c>
      <x:c r="H95" s="4" t="str">
        <x:v>【示意】同系列；非全市場發生率；獨立來源1；來源B級</x:v>
      </x:c>
      <x:c r="I95" s="4" t="str">
        <x:v>低</x:v>
      </x:c>
    </x:row>
    <x:row r="96" ht="66" customHeight="1">
      <x:c r="A96" s="4" t="str">
        <x:v>KR</x:v>
      </x:c>
      <x:c r="B96" s="4" t="str">
        <x:v>室內裝修消費爭議申請</x:v>
      </x:c>
      <x:c r="C96" s="17" t="n">
        <x:v>430</x:v>
      </x:c>
      <x:c r="D96" s="4" t="str">
        <x:v>件</x:v>
      </x:c>
      <x:c r="E96" s="16" t="str">
        <x:v>2026H1</x:v>
      </x:c>
      <x:c r="F96" s="4" t="str">
        <x:v>KR09</x:v>
      </x:c>
      <x:c r="G96" s="24" t="str">
        <x:v>https://www.khan.co.kr/article/202610071201001</x:v>
      </x:c>
      <x:c r="H96" s="4" t="str">
        <x:v>【示意】2026年1–6月消費者院接收的室內裝修消費爭議申請；非全年。；獨立來源1；來源B級；查核限制：L214、230–232；2026-10-07 引用韓國消費者院：2024 年 551 件、2025 年 795 件、2026 上半年 430 件；2023–2026H1 瑕疵修補不滿 56.9%。 逐列核對值：430 件；原單位換算見定義。</x:v>
      </x:c>
      <x:c r="I96" s="4" t="str">
        <x:v>低</x:v>
      </x:c>
    </x:row>
    <x:row r="97" ht="30" customHeight="1">
      <x:c r="A97" s="4" t="str">
        <x:v>KR</x:v>
      </x:c>
      <x:c r="B97" s="4" t="str">
        <x:v>裝修申請中瑕疵修補不滿占比</x:v>
      </x:c>
      <x:c r="C97" s="19" t="n">
        <x:v>56.9</x:v>
      </x:c>
      <x:c r="D97" s="4" t="str">
        <x:v>%</x:v>
      </x:c>
      <x:c r="E97" s="16" t="str">
        <x:v>2023–2026H1</x:v>
      </x:c>
      <x:c r="F97" s="4" t="str">
        <x:v>KR09</x:v>
      </x:c>
      <x:c r="G97" s="24" t="str">
        <x:v>https://www.khan.co.kr/article/202610071201001</x:v>
      </x:c>
      <x:c r="H97" s="4" t="str">
        <x:v>【示意】2243件申請的原因分類；獨立來源1；來源B級</x:v>
      </x:c>
      <x:c r="I97" s="4" t="str">
        <x:v>低</x:v>
      </x:c>
    </x:row>
    <x:row r="98" ht="30" customHeight="1">
      <x:c r="A98" s="4" t="str">
        <x:v>KR</x:v>
      </x:c>
      <x:c r="B98" s="4" t="str">
        <x:v>Hyundai Livart合併營收</x:v>
      </x:c>
      <x:c r="C98" s="17" t="n">
        <x:v>1546206</x:v>
      </x:c>
      <x:c r="D98" s="4" t="str">
        <x:v>百萬KRW</x:v>
      </x:c>
      <x:c r="E98" s="16" t="n">
        <x:v>2025</x:v>
      </x:c>
      <x:c r="F98" s="4" t="str">
        <x:v>KR14</x:v>
      </x:c>
      <x:c r="G98" s="24" t="str">
        <x:v>https://company.hyundailivart.co.kr/ko/statements</x:v>
      </x:c>
      <x:c r="H98" s="4" t="str">
        <x:v>【示意】家具等全集團；非純室內設計；獨立來源1；來源C級</x:v>
      </x:c>
      <x:c r="I98" s="4" t="str">
        <x:v>低</x:v>
      </x:c>
    </x:row>
    <x:row r="99" ht="30" customHeight="1">
      <x:c r="A99" s="4" t="str">
        <x:v>KR</x:v>
      </x:c>
      <x:c r="B99" s="4" t="str">
        <x:v>Hyundai Livart合併毛利</x:v>
      </x:c>
      <x:c r="C99" s="17" t="n">
        <x:v>268091</x:v>
      </x:c>
      <x:c r="D99" s="4" t="str">
        <x:v>百萬KRW</x:v>
      </x:c>
      <x:c r="E99" s="16" t="n">
        <x:v>2025</x:v>
      </x:c>
      <x:c r="F99" s="4" t="str">
        <x:v>KR14</x:v>
      </x:c>
      <x:c r="G99" s="24" t="str">
        <x:v>https://company.hyundailivart.co.kr/ko/statements</x:v>
      </x:c>
      <x:c r="H99" s="4" t="str">
        <x:v>【示意】全年合併；獨立來源1；來源C級</x:v>
      </x:c>
      <x:c r="I99" s="4" t="str">
        <x:v>低</x:v>
      </x:c>
    </x:row>
    <x:row r="100" ht="30" customHeight="1">
      <x:c r="A100" s="4" t="str">
        <x:v>KR</x:v>
      </x:c>
      <x:c r="B100" s="4" t="str">
        <x:v>Hyundai Livart合併營業利益</x:v>
      </x:c>
      <x:c r="C100" s="17" t="n">
        <x:v>15717</x:v>
      </x:c>
      <x:c r="D100" s="4" t="str">
        <x:v>百萬KRW</x:v>
      </x:c>
      <x:c r="E100" s="16" t="n">
        <x:v>2025</x:v>
      </x:c>
      <x:c r="F100" s="4" t="str">
        <x:v>KR14</x:v>
      </x:c>
      <x:c r="G100" s="24" t="str">
        <x:v>https://company.hyundailivart.co.kr/ko/statements</x:v>
      </x:c>
      <x:c r="H100" s="4" t="str">
        <x:v>【示意】全年合併；獨立來源1；來源C級</x:v>
      </x:c>
      <x:c r="I100" s="4" t="str">
        <x:v>低</x:v>
      </x:c>
    </x:row>
    <x:row r="101" ht="30" customHeight="1">
      <x:c r="A101" s="4" t="str">
        <x:v>KR</x:v>
      </x:c>
      <x:c r="B101" s="4" t="str">
        <x:v>LX Hausys營收</x:v>
      </x:c>
      <x:c r="C101" s="17" t="n">
        <x:v>31787</x:v>
      </x:c>
      <x:c r="D101" s="4" t="str">
        <x:v>億KRW</x:v>
      </x:c>
      <x:c r="E101" s="16" t="n">
        <x:v>2025</x:v>
      </x:c>
      <x:c r="F101" s="4" t="str">
        <x:v>KR18</x:v>
      </x:c>
      <x:c r="G101" s="24" t="str">
        <x:v>https://ir.gsifn.io/lghausys/fn_statements.html?koreng=1</x:v>
      </x:c>
      <x:c r="H101" s="4" t="str">
        <x:v>【示意】公司官方嵌入財報；含非家居材料；獨立來源1；來源C級</x:v>
      </x:c>
      <x:c r="I101" s="4" t="str">
        <x:v>低</x:v>
      </x:c>
    </x:row>
    <x:row r="102" ht="30" customHeight="1">
      <x:c r="A102" s="4" t="str">
        <x:v>KR</x:v>
      </x:c>
      <x:c r="B102" s="4" t="str">
        <x:v>LX Hausys營業利益</x:v>
      </x:c>
      <x:c r="C102" s="17" t="n">
        <x:v>131</x:v>
      </x:c>
      <x:c r="D102" s="4" t="str">
        <x:v>億KRW</x:v>
      </x:c>
      <x:c r="E102" s="16" t="n">
        <x:v>2025</x:v>
      </x:c>
      <x:c r="F102" s="4" t="str">
        <x:v>KR18</x:v>
      </x:c>
      <x:c r="G102" s="24" t="str">
        <x:v>https://ir.gsifn.io/lghausys/fn_statements.html?koreng=1</x:v>
      </x:c>
      <x:c r="H102" s="4" t="str">
        <x:v>【示意】全集團口徑；獨立來源1；來源C級</x:v>
      </x:c>
      <x:c r="I102" s="4" t="str">
        <x:v>低</x:v>
      </x:c>
    </x:row>
    <x:row r="103" ht="38" customHeight="1">
      <x:c r="A103" s="4" t="str">
        <x:v>KR</x:v>
      </x:c>
      <x:c r="B103" s="4" t="str">
        <x:v>人均GDP</x:v>
      </x:c>
      <x:c r="C103" s="21" t="n">
        <x:v>36226.966</x:v>
      </x:c>
      <x:c r="D103" s="4" t="str">
        <x:v>USD/人</x:v>
      </x:c>
      <x:c r="E103" s="16" t="n">
        <x:v>2025</x:v>
      </x:c>
      <x:c r="F103" s="4" t="str">
        <x:v>MKR</x:v>
      </x:c>
      <x:c r="G103" s="24" t="str">
        <x:v>https://data.worldbank.org/country/korea-rep</x:v>
      </x:c>
      <x:c r="H103" s="4" t="str">
        <x:v>【示意】名目、現價美元；WDI 2025歷史數列，可能修訂，非家庭可支配所得；獨立來源1；來源A級</x:v>
      </x:c>
      <x:c r="I103" s="4" t="str">
        <x:v>低</x:v>
      </x:c>
    </x:row>
    <x:row r="104" ht="38" customHeight="1">
      <x:c r="A104" s="4" t="str">
        <x:v>KR</x:v>
      </x:c>
      <x:c r="B104" s="4" t="str">
        <x:v>人口</x:v>
      </x:c>
      <x:c r="C104" s="17" t="n">
        <x:v>51684564</x:v>
      </x:c>
      <x:c r="D104" s="4" t="str">
        <x:v>人</x:v>
      </x:c>
      <x:c r="E104" s="16" t="n">
        <x:v>2025</x:v>
      </x:c>
      <x:c r="F104" s="4" t="str">
        <x:v>MKR</x:v>
      </x:c>
      <x:c r="G104" s="24" t="str">
        <x:v>https://data.worldbank.org/country/korea-rep</x:v>
      </x:c>
      <x:c r="H104" s="4" t="str">
        <x:v>【示意】WDI 2025；CN、IN為頁面billion顯示的四捨五入值，其餘依顯示人數；獨立來源1；來源A級</x:v>
      </x:c>
      <x:c r="I104" s="4" t="str">
        <x:v>低</x:v>
      </x:c>
    </x:row>
    <x:row r="105" ht="30" customHeight="1">
      <x:c r="A105" s="4" t="str">
        <x:v>KR</x:v>
      </x:c>
      <x:c r="B105" s="4" t="str">
        <x:v>GDP</x:v>
      </x:c>
      <x:c r="C105" s="17" t="n">
        <x:v>1870000000000</x:v>
      </x:c>
      <x:c r="D105" s="4" t="str">
        <x:v>USD</x:v>
      </x:c>
      <x:c r="E105" s="16" t="n">
        <x:v>2025</x:v>
      </x:c>
      <x:c r="F105" s="4" t="str">
        <x:v>MKR</x:v>
      </x:c>
      <x:c r="G105" s="24" t="str">
        <x:v>https://data.worldbank.org/country/korea-rep</x:v>
      </x:c>
      <x:c r="H105" s="4" t="str">
        <x:v>【示意】WDI 2025現價；頁面billion/trillion四捨五入值；獨立來源1；來源A級</x:v>
      </x:c>
      <x:c r="I105" s="4" t="str">
        <x:v>低</x:v>
      </x:c>
    </x:row>
    <x:row r="106" ht="38" customHeight="1">
      <x:c r="A106" s="4" t="str">
        <x:v>KR</x:v>
      </x:c>
      <x:c r="B106" s="4" t="str">
        <x:v>首爾商辦裝修成本</x:v>
      </x:c>
      <x:c r="C106" s="20" t="n">
        <x:v>1399.3083541722638</x:v>
      </x:c>
      <x:c r="D106" s="4" t="str">
        <x:v>USD/m²</x:v>
      </x:c>
      <x:c r="E106" s="16" t="n">
        <x:v>2026</x:v>
      </x:c>
      <x:c r="F106" s="4" t="str">
        <x:v>X02</x:v>
      </x:c>
      <x:c r="G106" s="24" t="str">
        <x:v>https://digital.cushmanwakefield.com/fitoutcostguide-03-2026-apac-regional-en-content-pds-office/30-31/</x:v>
      </x:c>
      <x:c r="H106" s="4" t="str">
        <x:v>【示意】C&amp;W 2026商辦fit-out，價格基準2025年12月；USD/ft²÷0.09290304，非住宅報價，報告自身匯率；獨立來源1；來源B級</x:v>
      </x:c>
      <x:c r="I106" s="4" t="str">
        <x:v>低</x:v>
      </x:c>
    </x:row>
    <x:row r="107" ht="38" customHeight="1">
      <x:c r="A107" s="4" t="str">
        <x:v>SG</x:v>
      </x:c>
      <x:c r="B107" s="4" t="str">
        <x:v>人均GDP</x:v>
      </x:c>
      <x:c r="C107" s="21" t="n">
        <x:v>98813.979</x:v>
      </x:c>
      <x:c r="D107" s="4" t="str">
        <x:v>USD/人</x:v>
      </x:c>
      <x:c r="E107" s="16" t="n">
        <x:v>2025</x:v>
      </x:c>
      <x:c r="F107" s="4" t="str">
        <x:v>MSG</x:v>
      </x:c>
      <x:c r="G107" s="24" t="str">
        <x:v>https://data.worldbank.org/country/singapore</x:v>
      </x:c>
      <x:c r="H107" s="4" t="str">
        <x:v>【示意】名目、現價美元；WDI 2025歷史數列，可能修訂，非家庭可支配所得；獨立來源1；來源A級</x:v>
      </x:c>
      <x:c r="I107" s="4" t="str">
        <x:v>低</x:v>
      </x:c>
    </x:row>
    <x:row r="108" ht="38" customHeight="1">
      <x:c r="A108" s="4" t="str">
        <x:v>SG</x:v>
      </x:c>
      <x:c r="B108" s="4" t="str">
        <x:v>人口</x:v>
      </x:c>
      <x:c r="C108" s="17" t="n">
        <x:v>6111175</x:v>
      </x:c>
      <x:c r="D108" s="4" t="str">
        <x:v>人</x:v>
      </x:c>
      <x:c r="E108" s="16" t="n">
        <x:v>2025</x:v>
      </x:c>
      <x:c r="F108" s="4" t="str">
        <x:v>MSG</x:v>
      </x:c>
      <x:c r="G108" s="24" t="str">
        <x:v>https://data.worldbank.org/country/singapore</x:v>
      </x:c>
      <x:c r="H108" s="4" t="str">
        <x:v>【示意】WDI 2025；CN、IN為頁面billion顯示的四捨五入值，其餘依顯示人數；獨立來源1；來源A級</x:v>
      </x:c>
      <x:c r="I108" s="4" t="str">
        <x:v>低</x:v>
      </x:c>
    </x:row>
    <x:row r="109" ht="30" customHeight="1">
      <x:c r="A109" s="4" t="str">
        <x:v>SG</x:v>
      </x:c>
      <x:c r="B109" s="4" t="str">
        <x:v>GDP</x:v>
      </x:c>
      <x:c r="C109" s="17" t="n">
        <x:v>603870000000</x:v>
      </x:c>
      <x:c r="D109" s="4" t="str">
        <x:v>USD</x:v>
      </x:c>
      <x:c r="E109" s="16" t="n">
        <x:v>2025</x:v>
      </x:c>
      <x:c r="F109" s="4" t="str">
        <x:v>MSG</x:v>
      </x:c>
      <x:c r="G109" s="24" t="str">
        <x:v>https://data.worldbank.org/country/singapore</x:v>
      </x:c>
      <x:c r="H109" s="4" t="str">
        <x:v>【示意】WDI 2025現價；頁面billion/trillion四捨五入值；獨立來源1；來源A級</x:v>
      </x:c>
      <x:c r="I109" s="4" t="str">
        <x:v>低</x:v>
      </x:c>
    </x:row>
    <x:row r="110" ht="38" customHeight="1">
      <x:c r="A110" s="4" t="str">
        <x:v>SG</x:v>
      </x:c>
      <x:c r="B110" s="4" t="str">
        <x:v>HDB住宅完工</x:v>
      </x:c>
      <x:c r="C110" s="17" t="n">
        <x:v>20294</x:v>
      </x:c>
      <x:c r="D110" s="4" t="str">
        <x:v>戶</x:v>
      </x:c>
      <x:c r="E110" s="16" t="str">
        <x:v>FY2024</x:v>
      </x:c>
      <x:c r="F110" s="4" t="str">
        <x:v>SG01</x:v>
      </x:c>
      <x:c r="G110" s="24" t="str">
        <x:v>https://www.hdb.gov.sg/-/media/hdb-pulse/reports/annual-reports-and-financial-statements/HDB_Key-Statistics-2025.pdf</x:v>
      </x:c>
      <x:c r="H110" s="4" t="str">
        <x:v>【示意】HDB會計年度截至2025-03-31；不含DBSS；獨立來源1；來源A級</x:v>
      </x:c>
      <x:c r="I110" s="4" t="str">
        <x:v>低</x:v>
      </x:c>
    </x:row>
    <x:row r="111" ht="38" customHeight="1">
      <x:c r="A111" s="4" t="str">
        <x:v>SG</x:v>
      </x:c>
      <x:c r="B111" s="4" t="str">
        <x:v>HDB住宅施工中</x:v>
      </x:c>
      <x:c r="C111" s="17" t="n">
        <x:v>91941</x:v>
      </x:c>
      <x:c r="D111" s="4" t="str">
        <x:v>戶</x:v>
      </x:c>
      <x:c r="E111" s="16" t="str">
        <x:v>FY2024末</x:v>
      </x:c>
      <x:c r="F111" s="4" t="str">
        <x:v>SG01</x:v>
      </x:c>
      <x:c r="G111" s="24" t="str">
        <x:v>https://www.hdb.gov.sg/-/media/hdb-pulse/reports/annual-reports-and-financial-statements/HDB_Key-Statistics-2025.pdf</x:v>
      </x:c>
      <x:c r="H111" s="4" t="str">
        <x:v>【示意】不含DBSS；獨立來源1；來源A級</x:v>
      </x:c>
      <x:c r="I111" s="4" t="str">
        <x:v>低</x:v>
      </x:c>
    </x:row>
    <x:row r="112" ht="38" customHeight="1">
      <x:c r="A112" s="4" t="str">
        <x:v>SG</x:v>
      </x:c>
      <x:c r="B112" s="4" t="str">
        <x:v>HDB新屋訂購</x:v>
      </x:c>
      <x:c r="C112" s="17" t="n">
        <x:v>24220</x:v>
      </x:c>
      <x:c r="D112" s="4" t="str">
        <x:v>戶</x:v>
      </x:c>
      <x:c r="E112" s="16" t="str">
        <x:v>FY2024</x:v>
      </x:c>
      <x:c r="F112" s="4" t="str">
        <x:v>SG01</x:v>
      </x:c>
      <x:c r="G112" s="24" t="str">
        <x:v>https://www.hdb.gov.sg/-/media/hdb-pulse/reports/annual-reports-and-financial-statements/HDB_Key-Statistics-2025.pdf</x:v>
      </x:c>
      <x:c r="H112" s="4" t="str">
        <x:v>【預測／示意】部分選屋仍進行，含預計bookings；非交屋；獨立來源1；來源A級</x:v>
      </x:c>
      <x:c r="I112" s="4" t="str">
        <x:v>低</x:v>
      </x:c>
    </x:row>
    <x:row r="113" ht="38" customHeight="1">
      <x:c r="A113" s="4" t="str">
        <x:v>SG</x:v>
      </x:c>
      <x:c r="B113" s="4" t="str">
        <x:v>HDB轉售登記</x:v>
      </x:c>
      <x:c r="C113" s="17" t="n">
        <x:v>28508</x:v>
      </x:c>
      <x:c r="D113" s="4" t="str">
        <x:v>件</x:v>
      </x:c>
      <x:c r="E113" s="16" t="str">
        <x:v>FY2024</x:v>
      </x:c>
      <x:c r="F113" s="4" t="str">
        <x:v>SG01</x:v>
      </x:c>
      <x:c r="G113" s="24" t="str">
        <x:v>https://www.hdb.gov.sg/-/media/hdb-pulse/reports/annual-reports-and-financial-statements/HDB_Key-Statistics-2025.pdf</x:v>
      </x:c>
      <x:c r="H113" s="4" t="str">
        <x:v>【示意】登記案件；非全國住宅交易；獨立來源1；來源A級</x:v>
      </x:c>
      <x:c r="I113" s="4" t="str">
        <x:v>低</x:v>
      </x:c>
    </x:row>
    <x:row r="114" ht="38" customHeight="1">
      <x:c r="A114" s="4" t="str">
        <x:v>SG</x:v>
      </x:c>
      <x:c r="B114" s="4" t="str">
        <x:v>HDB出租整戶有效案件</x:v>
      </x:c>
      <x:c r="C114" s="17" t="n">
        <x:v>59567</x:v>
      </x:c>
      <x:c r="D114" s="4" t="str">
        <x:v>件</x:v>
      </x:c>
      <x:c r="E114" s="16" t="str">
        <x:v>2025-03-31</x:v>
      </x:c>
      <x:c r="F114" s="4" t="str">
        <x:v>SG01</x:v>
      </x:c>
      <x:c r="G114" s="24" t="str">
        <x:v>https://www.hdb.gov.sg/-/media/hdb-pulse/reports/annual-reports-and-financial-statements/HDB_Key-Statistics-2025.pdf</x:v>
      </x:c>
      <x:c r="H114" s="4" t="str">
        <x:v>【示意】Active cases renting out of flat；獨立來源1；來源A級</x:v>
      </x:c>
      <x:c r="I114" s="4" t="str">
        <x:v>低</x:v>
      </x:c>
    </x:row>
    <x:row r="115" ht="38" customHeight="1">
      <x:c r="A115" s="4" t="str">
        <x:v>SG</x:v>
      </x:c>
      <x:c r="B115" s="4" t="str">
        <x:v>4-room BTO裝修預算（預測）</x:v>
      </x:c>
      <x:c r="C115" s="14" t="str">
        <x:v>51000–61800</x:v>
      </x:c>
      <x:c r="D115" s="4" t="str">
        <x:v>SGD／案</x:v>
      </x:c>
      <x:c r="E115" s="16" t="n">
        <x:v>2025</x:v>
      </x:c>
      <x:c r="F115" s="4" t="str">
        <x:v>SG03</x:v>
      </x:c>
      <x:c r="G115" s="24" t="str">
        <x:v>https://qanvast.com/sg/articles/how-much-is-a-3-4-and-5-room-hdb-flat-renovation-in-2025-3384</x:v>
      </x:c>
      <x:c r="H115" s="4" t="str">
        <x:v>【預測／示意】Qanvast 2024樣本中位數区間加2–3%；非全國平均；獨立來源1；來源C級</x:v>
      </x:c>
      <x:c r="I115" s="4" t="str">
        <x:v>低</x:v>
      </x:c>
    </x:row>
    <x:row r="116" ht="38" customHeight="1">
      <x:c r="A116" s="4" t="str">
        <x:v>SG</x:v>
      </x:c>
      <x:c r="B116" s="4" t="str">
        <x:v>4-room轉售HDB裝修預算（預測）</x:v>
      </x:c>
      <x:c r="C116" s="14" t="str">
        <x:v>64300–80300</x:v>
      </x:c>
      <x:c r="D116" s="4" t="str">
        <x:v>SGD／案</x:v>
      </x:c>
      <x:c r="E116" s="16" t="n">
        <x:v>2025</x:v>
      </x:c>
      <x:c r="F116" s="4" t="str">
        <x:v>SG03</x:v>
      </x:c>
      <x:c r="G116" s="24" t="str">
        <x:v>https://qanvast.com/sg/articles/how-much-is-a-3-4-and-5-room-hdb-flat-renovation-in-2025-3384</x:v>
      </x:c>
      <x:c r="H116" s="4" t="str">
        <x:v>【預測／示意】Qanvast 2024樣本推算2025；獨立來源1；來源C級</x:v>
      </x:c>
      <x:c r="I116" s="4" t="str">
        <x:v>低</x:v>
      </x:c>
    </x:row>
    <x:row r="117" ht="38" customHeight="1">
      <x:c r="A117" s="4" t="str">
        <x:v>SG</x:v>
      </x:c>
      <x:c r="B117" s="4" t="str">
        <x:v>5-room轉售HDB裝修預算（預測）</x:v>
      </x:c>
      <x:c r="C117" s="14" t="str">
        <x:v>84300–97000</x:v>
      </x:c>
      <x:c r="D117" s="4" t="str">
        <x:v>SGD／案</x:v>
      </x:c>
      <x:c r="E117" s="16" t="n">
        <x:v>2025</x:v>
      </x:c>
      <x:c r="F117" s="4" t="str">
        <x:v>SG03</x:v>
      </x:c>
      <x:c r="G117" s="24" t="str">
        <x:v>https://qanvast.com/sg/articles/how-much-is-a-3-4-and-5-room-hdb-flat-renovation-in-2025-3384</x:v>
      </x:c>
      <x:c r="H117" s="4" t="str">
        <x:v>【預測／示意】Qanvast 2024樣本推算2025；獨立來源1；來源C級</x:v>
      </x:c>
      <x:c r="I117" s="4" t="str">
        <x:v>低</x:v>
      </x:c>
    </x:row>
    <x:row r="118" ht="38" customHeight="1">
      <x:c r="A118" s="4" t="str">
        <x:v>SG</x:v>
      </x:c>
      <x:c r="B118" s="4" t="str">
        <x:v>BTO裝修樣本數</x:v>
      </x:c>
      <x:c r="C118" s="17" t="n">
        <x:v>259</x:v>
      </x:c>
      <x:c r="D118" s="4" t="str">
        <x:v>案</x:v>
      </x:c>
      <x:c r="E118" s="16" t="n">
        <x:v>2024</x:v>
      </x:c>
      <x:c r="F118" s="4" t="str">
        <x:v>SG03</x:v>
      </x:c>
      <x:c r="G118" s="24" t="str">
        <x:v>https://qanvast.com/sg/articles/how-much-is-a-3-4-and-5-room-hdb-flat-renovation-in-2025-3384</x:v>
      </x:c>
      <x:c r="H118" s="4" t="str">
        <x:v>【示意】Qanvast平台非隨機樣本；獨立來源1；來源C級</x:v>
      </x:c>
      <x:c r="I118" s="4" t="str">
        <x:v>低</x:v>
      </x:c>
    </x:row>
    <x:row r="119" ht="38" customHeight="1">
      <x:c r="A119" s="4" t="str">
        <x:v>SG</x:v>
      </x:c>
      <x:c r="B119" s="4" t="str">
        <x:v>轉售HDB裝修樣本數</x:v>
      </x:c>
      <x:c r="C119" s="17" t="n">
        <x:v>302</x:v>
      </x:c>
      <x:c r="D119" s="4" t="str">
        <x:v>案</x:v>
      </x:c>
      <x:c r="E119" s="16" t="n">
        <x:v>2024</x:v>
      </x:c>
      <x:c r="F119" s="4" t="str">
        <x:v>SG03</x:v>
      </x:c>
      <x:c r="G119" s="24" t="str">
        <x:v>https://qanvast.com/sg/articles/how-much-is-a-3-4-and-5-room-hdb-flat-renovation-in-2025-3384</x:v>
      </x:c>
      <x:c r="H119" s="4" t="str">
        <x:v>【示意】Qanvast平台非隨機樣本；獨立來源1；來源C級</x:v>
      </x:c>
      <x:c r="I119" s="4" t="str">
        <x:v>低</x:v>
      </x:c>
    </x:row>
    <x:row r="120" ht="38" customHeight="1">
      <x:c r="A120" s="4" t="str">
        <x:v>SG</x:v>
      </x:c>
      <x:c r="B120" s="4" t="str">
        <x:v>4-room轉售裝修期程（預期）</x:v>
      </x:c>
      <x:c r="C120" s="14" t="str">
        <x:v>10–12</x:v>
      </x:c>
      <x:c r="D120" s="4" t="str">
        <x:v>週</x:v>
      </x:c>
      <x:c r="E120" s="16" t="n">
        <x:v>2025</x:v>
      </x:c>
      <x:c r="F120" s="4" t="str">
        <x:v>SG03</x:v>
      </x:c>
      <x:c r="G120" s="24" t="str">
        <x:v>https://qanvast.com/sg/articles/how-much-is-a-3-4-and-5-room-hdb-flat-renovation-in-2025-3384</x:v>
      </x:c>
      <x:c r="H120" s="4" t="str">
        <x:v>【預測／示意】平台市場旅程工期，不取代HDB許可期限；獨立來源1；來源C級</x:v>
      </x:c>
      <x:c r="I120" s="4" t="str">
        <x:v>低</x:v>
      </x:c>
    </x:row>
    <x:row r="121" ht="52" customHeight="1">
      <x:c r="A121" s="4" t="str">
        <x:v>SG</x:v>
      </x:c>
      <x:c r="B121" s="4" t="str">
        <x:v>CASE裝修承包商投訴</x:v>
      </x:c>
      <x:c r="C121" s="17" t="n">
        <x:v>962</x:v>
      </x:c>
      <x:c r="D121" s="4" t="str">
        <x:v>件</x:v>
      </x:c>
      <x:c r="E121" s="16" t="n">
        <x:v>2024</x:v>
      </x:c>
      <x:c r="F121" s="4" t="str">
        <x:v>SG04</x:v>
      </x:c>
      <x:c r="G121" s="24" t="str">
        <x:v>https://www.case.org.sg/wp-content/uploads/2025/02/Media-Release-CASE-sees-prepayment-losses-more-than-quadruple-in-2024-entertainment-related-complaints-nearly-triple.pdf</x:v>
      </x:c>
      <x:c r="H121" s="4" t="str">
        <x:v>【示意】CASE接收申訴；無總完工案件分母；獨立來源1；來源B級</x:v>
      </x:c>
      <x:c r="I121" s="4" t="str">
        <x:v>低</x:v>
      </x:c>
    </x:row>
    <x:row r="122" ht="52" customHeight="1">
      <x:c r="A122" s="4" t="str">
        <x:v>SG</x:v>
      </x:c>
      <x:c r="B122" s="4" t="str">
        <x:v>CASE裝修承包商投訴</x:v>
      </x:c>
      <x:c r="C122" s="17" t="n">
        <x:v>1168</x:v>
      </x:c>
      <x:c r="D122" s="4" t="str">
        <x:v>件</x:v>
      </x:c>
      <x:c r="E122" s="16" t="n">
        <x:v>2023</x:v>
      </x:c>
      <x:c r="F122" s="4" t="str">
        <x:v>SG04</x:v>
      </x:c>
      <x:c r="G122" s="24" t="str">
        <x:v>https://www.case.org.sg/wp-content/uploads/2025/02/Media-Release-CASE-sees-prepayment-losses-more-than-quadruple-in-2024-entertainment-related-complaints-nearly-triple.pdf</x:v>
      </x:c>
      <x:c r="H122" s="4" t="str">
        <x:v>【示意】比較基期；獨立來源1；來源B級</x:v>
      </x:c>
      <x:c r="I122" s="4" t="str">
        <x:v>低</x:v>
      </x:c>
    </x:row>
    <x:row r="123" ht="52" customHeight="1">
      <x:c r="A123" s="4" t="str">
        <x:v>SG</x:v>
      </x:c>
      <x:c r="B123" s="4" t="str">
        <x:v>CASE裝修預付款損失</x:v>
      </x:c>
      <x:c r="C123" s="18" t="n">
        <x:v>728813.76</x:v>
      </x:c>
      <x:c r="D123" s="4" t="str">
        <x:v>SGD</x:v>
      </x:c>
      <x:c r="E123" s="16" t="n">
        <x:v>2024</x:v>
      </x:c>
      <x:c r="F123" s="4" t="str">
        <x:v>SG04</x:v>
      </x:c>
      <x:c r="G123" s="24" t="str">
        <x:v>https://www.case.org.sg/wp-content/uploads/2025/02/Media-Release-CASE-sees-prepayment-losses-more-than-quadruple-in-2024-entertainment-related-complaints-nearly-triple.pdf</x:v>
      </x:c>
      <x:c r="H123" s="4" t="str">
        <x:v>【示意】已報告損失，非全產業損失估計；獨立來源1；來源B級</x:v>
      </x:c>
      <x:c r="I123" s="4" t="str">
        <x:v>低</x:v>
      </x:c>
    </x:row>
    <x:row r="124" ht="52" customHeight="1">
      <x:c r="A124" s="4" t="str">
        <x:v>SG</x:v>
      </x:c>
      <x:c r="B124" s="4" t="str">
        <x:v>CASE家具投訴</x:v>
      </x:c>
      <x:c r="C124" s="17" t="n">
        <x:v>720</x:v>
      </x:c>
      <x:c r="D124" s="4" t="str">
        <x:v>件</x:v>
      </x:c>
      <x:c r="E124" s="16" t="n">
        <x:v>2024</x:v>
      </x:c>
      <x:c r="F124" s="4" t="str">
        <x:v>SG04</x:v>
      </x:c>
      <x:c r="G124" s="24" t="str">
        <x:v>https://www.case.org.sg/wp-content/uploads/2025/02/Media-Release-CASE-sees-prepayment-losses-more-than-quadruple-in-2024-entertainment-related-complaints-nearly-triple.pdf</x:v>
      </x:c>
      <x:c r="H124" s="4" t="str">
        <x:v>【示意】與裝修承包商分類分開；獨立來源1；來源B級</x:v>
      </x:c>
      <x:c r="I124" s="4" t="str">
        <x:v>低</x:v>
      </x:c>
    </x:row>
    <x:row r="125" ht="52" customHeight="1">
      <x:c r="A125" s="4" t="str">
        <x:v>SG</x:v>
      </x:c>
      <x:c r="B125" s="4" t="str">
        <x:v>非CaseTrust承包商占裝修申訴</x:v>
      </x:c>
      <x:c r="C125" s="17" t="n">
        <x:v>97</x:v>
      </x:c>
      <x:c r="D125" s="4" t="str">
        <x:v>%</x:v>
      </x:c>
      <x:c r="E125" s="16" t="n">
        <x:v>2024</x:v>
      </x:c>
      <x:c r="F125" s="4" t="str">
        <x:v>SG04</x:v>
      </x:c>
      <x:c r="G125" s="24" t="str">
        <x:v>https://www.case.org.sg/wp-content/uploads/2025/02/Media-Release-CASE-sees-prepayment-losses-more-than-quadruple-in-2024-entertainment-related-complaints-nearly-triple.pdf</x:v>
      </x:c>
      <x:c r="H125" s="4" t="str">
        <x:v>【示意】約數；不能推導CaseTrust因果效果；獨立來源1；來源B級</x:v>
      </x:c>
      <x:c r="I125" s="4" t="str">
        <x:v>低</x:v>
      </x:c>
    </x:row>
    <x:row r="126" ht="38" customHeight="1">
      <x:c r="A126" s="4" t="str">
        <x:v>SG</x:v>
      </x:c>
      <x:c r="B126" s="4" t="str">
        <x:v>全用途fit-out市場（預測）</x:v>
      </x:c>
      <x:c r="C126" s="14" t="str">
        <x:v>4.2–6.5</x:v>
      </x:c>
      <x:c r="D126" s="4" t="str">
        <x:v>十億SGD</x:v>
      </x:c>
      <x:c r="E126" s="16" t="str">
        <x:v>2024f</x:v>
      </x:c>
      <x:c r="F126" s="4" t="str">
        <x:v>SG07</x:v>
      </x:c>
      <x:c r="G126" s="24" t="str">
        <x:v>https://links.sgx.com/FileOpen/Final%20Offer%20Document_0.ashx?App=IPO&amp;FileID=6584</x:v>
      </x:c>
      <x:c r="H126" s="4" t="str">
        <x:v>【預測／示意】Converging Knowledge，公共／商業／住宅等內裝；非住宅翻修；獨立來源1；來源B級</x:v>
      </x:c>
      <x:c r="I126" s="4" t="str">
        <x:v>低</x:v>
      </x:c>
    </x:row>
    <x:row r="127" ht="38" customHeight="1">
      <x:c r="A127" s="4" t="str">
        <x:v>SG</x:v>
      </x:c>
      <x:c r="B127" s="4" t="str">
        <x:v>全用途fit-out市場（預測）</x:v>
      </x:c>
      <x:c r="C127" s="14" t="str">
        <x:v>4.8–7.4</x:v>
      </x:c>
      <x:c r="D127" s="4" t="str">
        <x:v>十億SGD</x:v>
      </x:c>
      <x:c r="E127" s="16" t="str">
        <x:v>2027f</x:v>
      </x:c>
      <x:c r="F127" s="4" t="str">
        <x:v>SG07</x:v>
      </x:c>
      <x:c r="G127" s="24" t="str">
        <x:v>https://links.sgx.com/FileOpen/Final%20Offer%20Document_0.ashx?App=IPO&amp;FileID=6584</x:v>
      </x:c>
      <x:c r="H127" s="4" t="str">
        <x:v>【預測／示意】Converging Knowledge事前預測；勿線性外推2030；獨立來源1；來源B級</x:v>
      </x:c>
      <x:c r="I127" s="4" t="str">
        <x:v>低</x:v>
      </x:c>
    </x:row>
    <x:row r="128" ht="38" customHeight="1">
      <x:c r="A128" s="4" t="str">
        <x:v>SG</x:v>
      </x:c>
      <x:c r="B128" s="4" t="str">
        <x:v>Attika營收</x:v>
      </x:c>
      <x:c r="C128" s="17" t="n">
        <x:v>26968529</x:v>
      </x:c>
      <x:c r="D128" s="4" t="str">
        <x:v>SGD</x:v>
      </x:c>
      <x:c r="E128" s="16" t="n">
        <x:v>2023</x:v>
      </x:c>
      <x:c r="F128" s="4" t="str">
        <x:v>SG07</x:v>
      </x:c>
      <x:c r="G128" s="24" t="str">
        <x:v>https://links.sgx.com/FileOpen/Final%20Offer%20Document_0.ashx?App=IPO&amp;FileID=6584</x:v>
      </x:c>
      <x:c r="H128" s="4" t="str">
        <x:v>【示意】歷史財務示例；新加坡fit-out承包，不代表住宅；獨立來源1；來源A級</x:v>
      </x:c>
      <x:c r="I128" s="4" t="str">
        <x:v>低</x:v>
      </x:c>
    </x:row>
    <x:row r="129" ht="38" customHeight="1">
      <x:c r="A129" s="4" t="str">
        <x:v>SG</x:v>
      </x:c>
      <x:c r="B129" s="4" t="str">
        <x:v>Attika毛利率</x:v>
      </x:c>
      <x:c r="C129" s="19" t="n">
        <x:v>21.7</x:v>
      </x:c>
      <x:c r="D129" s="4" t="str">
        <x:v>%</x:v>
      </x:c>
      <x:c r="E129" s="16" t="n">
        <x:v>2023</x:v>
      </x:c>
      <x:c r="F129" s="4" t="str">
        <x:v>SG07</x:v>
      </x:c>
      <x:c r="G129" s="24" t="str">
        <x:v>https://links.sgx.com/FileOpen/Final%20Offer%20Document_0.ashx?App=IPO&amp;FileID=6584</x:v>
      </x:c>
      <x:c r="H129" s="4" t="str">
        <x:v>【示意】招股書歷史比率，不代表現況；獨立來源1；來源A級</x:v>
      </x:c>
      <x:c r="I129" s="4" t="str">
        <x:v>低</x:v>
      </x:c>
    </x:row>
    <x:row r="130" ht="38" customHeight="1">
      <x:c r="A130" s="4" t="str">
        <x:v>SG</x:v>
      </x:c>
      <x:c r="B130" s="4" t="str">
        <x:v>Attika毛利率</x:v>
      </x:c>
      <x:c r="C130" s="19" t="n">
        <x:v>11.9</x:v>
      </x:c>
      <x:c r="D130" s="4" t="str">
        <x:v>%</x:v>
      </x:c>
      <x:c r="E130" s="16" t="str">
        <x:v>2024Q1</x:v>
      </x:c>
      <x:c r="F130" s="4" t="str">
        <x:v>SG07</x:v>
      </x:c>
      <x:c r="G130" s="24" t="str">
        <x:v>https://links.sgx.com/FileOpen/Final%20Offer%20Document_0.ashx?App=IPO&amp;FileID=6584</x:v>
      </x:c>
      <x:c r="H130" s="4" t="str">
        <x:v>【示意】2024第一季未經審核期間；非全年；獨立來源1；來源A級</x:v>
      </x:c>
      <x:c r="I130" s="4" t="str">
        <x:v>低</x:v>
      </x:c>
    </x:row>
    <x:row r="131" ht="38" customHeight="1">
      <x:c r="A131" s="4" t="str">
        <x:v>SG</x:v>
      </x:c>
      <x:c r="B131" s="4" t="str">
        <x:v>人均GDP</x:v>
      </x:c>
      <x:c r="C131" s="17" t="n">
        <x:v>129194</x:v>
      </x:c>
      <x:c r="D131" s="4" t="str">
        <x:v>SGD／人</x:v>
      </x:c>
      <x:c r="E131" s="16" t="n">
        <x:v>2025</x:v>
      </x:c>
      <x:c r="F131" s="4" t="str">
        <x:v>SG08</x:v>
      </x:c>
      <x:c r="G131" s="24" t="str">
        <x:v>https://www.singstat.gov.sg/find-data/explore-data-themes/economy-prices/national-accounts/latest-news-data</x:v>
      </x:c>
      <x:c r="H131" s="4" t="str">
        <x:v>【示意】當期市價；美元及新台幣另見固定匯率換算表；獨立來源1；來源A級</x:v>
      </x:c>
      <x:c r="I131" s="4" t="str">
        <x:v>低</x:v>
      </x:c>
    </x:row>
    <x:row r="132" ht="38" customHeight="1">
      <x:c r="A132" s="4" t="str">
        <x:v>SG</x:v>
      </x:c>
      <x:c r="B132" s="4" t="str">
        <x:v>名目GDP</x:v>
      </x:c>
      <x:c r="C132" s="19" t="n">
        <x:v>789529.2</x:v>
      </x:c>
      <x:c r="D132" s="4" t="str">
        <x:v>百萬SGD</x:v>
      </x:c>
      <x:c r="E132" s="16" t="n">
        <x:v>2025</x:v>
      </x:c>
      <x:c r="F132" s="4" t="str">
        <x:v>SG08</x:v>
      </x:c>
      <x:c r="G132" s="24" t="str">
        <x:v>https://www.singstat.gov.sg/find-data/explore-data-themes/economy-prices/national-accounts/latest-news-data</x:v>
      </x:c>
      <x:c r="H132" s="4" t="str">
        <x:v>【示意】當期市價；獨立來源1；來源A級</x:v>
      </x:c>
      <x:c r="I132" s="4" t="str">
        <x:v>低</x:v>
      </x:c>
    </x:row>
    <x:row r="133" ht="38" customHeight="1">
      <x:c r="A133" s="4" t="str">
        <x:v>SG</x:v>
      </x:c>
      <x:c r="B133" s="4" t="str">
        <x:v>人均GDP</x:v>
      </x:c>
      <x:c r="C133" s="17" t="n">
        <x:v>126803</x:v>
      </x:c>
      <x:c r="D133" s="4" t="str">
        <x:v>SGD／人</x:v>
      </x:c>
      <x:c r="E133" s="16" t="n">
        <x:v>2024</x:v>
      </x:c>
      <x:c r="F133" s="4" t="str">
        <x:v>SG08</x:v>
      </x:c>
      <x:c r="G133" s="24" t="str">
        <x:v>https://www.singstat.gov.sg/find-data/explore-data-themes/economy-prices/national-accounts/latest-news-data</x:v>
      </x:c>
      <x:c r="H133" s="4" t="str">
        <x:v>【示意】頁面前一期年度值；獨立來源1；來源A級</x:v>
      </x:c>
      <x:c r="I133" s="4" t="str">
        <x:v>低</x:v>
      </x:c>
    </x:row>
    <x:row r="134" ht="38" customHeight="1">
      <x:c r="A134" s="4" t="str">
        <x:v>SG</x:v>
      </x:c>
      <x:c r="B134" s="4" t="str">
        <x:v>建造業移工配額</x:v>
      </x:c>
      <x:c r="C134" s="17" t="n">
        <x:v>5</x:v>
      </x:c>
      <x:c r="D134" s="4" t="str">
        <x:v>名Work Permit／本地合格雇員</x:v>
      </x:c>
      <x:c r="E134" s="16" t="str">
        <x:v>查閱2026</x:v>
      </x:c>
      <x:c r="F134" s="4" t="str">
        <x:v>SG09</x:v>
      </x:c>
      <x:c r="G134" s="24" t="str">
        <x:v>https://www.mom.gov.sg/passes-and-permits/work-permit-for-foreign-worker/sector-specific-rules/construction-sector-requirements</x:v>
      </x:c>
      <x:c r="H134" s="4" t="str">
        <x:v>【示意】適用建造業認定並達LQS；非所有設計公司；獨立來源1；來源A級</x:v>
      </x:c>
      <x:c r="I134" s="4" t="str">
        <x:v>低</x:v>
      </x:c>
    </x:row>
    <x:row r="135" ht="38" customHeight="1">
      <x:c r="A135" s="4" t="str">
        <x:v>SG</x:v>
      </x:c>
      <x:c r="B135" s="4" t="str">
        <x:v>台灣等NAS較高技能移工月徵費</x:v>
      </x:c>
      <x:c r="C135" s="17" t="n">
        <x:v>300</x:v>
      </x:c>
      <x:c r="D135" s="4" t="str">
        <x:v>SGD／人月</x:v>
      </x:c>
      <x:c r="E135" s="16" t="str">
        <x:v>2024起</x:v>
      </x:c>
      <x:c r="F135" s="4" t="str">
        <x:v>SG09</x:v>
      </x:c>
      <x:c r="G135" s="24" t="str">
        <x:v>https://www.mom.gov.sg/passes-and-permits/work-permit-for-foreign-worker/sector-specific-rules/construction-sector-requirements</x:v>
      </x:c>
      <x:c r="H135" s="4" t="str">
        <x:v>【示意】勞工徵費，不是工資；獨立來源1；來源A級</x:v>
      </x:c>
      <x:c r="I135" s="4" t="str">
        <x:v>低</x:v>
      </x:c>
    </x:row>
    <x:row r="136" ht="38" customHeight="1">
      <x:c r="A136" s="4" t="str">
        <x:v>SG</x:v>
      </x:c>
      <x:c r="B136" s="4" t="str">
        <x:v>台灣等NAS基本技能移工月徵費</x:v>
      </x:c>
      <x:c r="C136" s="17" t="n">
        <x:v>700</x:v>
      </x:c>
      <x:c r="D136" s="4" t="str">
        <x:v>SGD／人月</x:v>
      </x:c>
      <x:c r="E136" s="16" t="str">
        <x:v>2024起</x:v>
      </x:c>
      <x:c r="F136" s="4" t="str">
        <x:v>SG09</x:v>
      </x:c>
      <x:c r="G136" s="24" t="str">
        <x:v>https://www.mom.gov.sg/passes-and-permits/work-permit-for-foreign-worker/sector-specific-rules/construction-sector-requirements</x:v>
      </x:c>
      <x:c r="H136" s="4" t="str">
        <x:v>【示意】勞工徵費，不是工資；獨立來源1；來源A級</x:v>
      </x:c>
      <x:c r="I136" s="4" t="str">
        <x:v>低</x:v>
      </x:c>
    </x:row>
    <x:row r="137" ht="30" customHeight="1">
      <x:c r="A137" s="4" t="str">
        <x:v>SG</x:v>
      </x:c>
      <x:c r="B137" s="4" t="str">
        <x:v>Qanvast累計使用屋主</x:v>
      </x:c>
      <x:c r="C137" s="14" t="str">
        <x:v>&gt;95000</x:v>
      </x:c>
      <x:c r="D137" s="4" t="str">
        <x:v>人／戶</x:v>
      </x:c>
      <x:c r="E137" s="16" t="str">
        <x:v>查閱2026</x:v>
      </x:c>
      <x:c r="F137" s="4" t="str">
        <x:v>SG10</x:v>
      </x:c>
      <x:c r="G137" s="24" t="str">
        <x:v>https://qanvast.com/sg</x:v>
      </x:c>
      <x:c r="H137" s="4" t="str">
        <x:v>【示意】網站自述累計找設計師；非年度MAU／成交戶；獨立來源1；來源C級</x:v>
      </x:c>
      <x:c r="I137" s="4" t="str">
        <x:v>低</x:v>
      </x:c>
    </x:row>
    <x:row r="138" ht="30" customHeight="1">
      <x:c r="A138" s="4" t="str">
        <x:v>SG</x:v>
      </x:c>
      <x:c r="B138" s="4" t="str">
        <x:v>Qanvast保證上限</x:v>
      </x:c>
      <x:c r="C138" s="17" t="n">
        <x:v>150000</x:v>
      </x:c>
      <x:c r="D138" s="4" t="str">
        <x:v>SGD</x:v>
      </x:c>
      <x:c r="E138" s="16" t="str">
        <x:v>查閱2026</x:v>
      </x:c>
      <x:c r="F138" s="4" t="str">
        <x:v>SG10</x:v>
      </x:c>
      <x:c r="G138" s="24" t="str">
        <x:v>https://qanvast.com/sg</x:v>
      </x:c>
      <x:c r="H138" s="4" t="str">
        <x:v>【示意】合約額50%與15萬取低；倒閉適用條件依條款；獨立來源1；來源C級</x:v>
      </x:c>
      <x:c r="I138" s="4" t="str">
        <x:v>低</x:v>
      </x:c>
    </x:row>
    <x:row r="139" ht="38" customHeight="1">
      <x:c r="A139" s="4" t="str">
        <x:v>SG</x:v>
      </x:c>
      <x:c r="B139" s="4" t="str">
        <x:v>全用途翻新市場（歷史估計）</x:v>
      </x:c>
      <x:c r="C139" s="19" t="n">
        <x:v>4179.5</x:v>
      </x:c>
      <x:c r="D139" s="4" t="str">
        <x:v>百萬SGD</x:v>
      </x:c>
      <x:c r="E139" s="16" t="n">
        <x:v>2022</x:v>
      </x:c>
      <x:c r="F139" s="4" t="str">
        <x:v>SG11</x:v>
      </x:c>
      <x:c r="G139" s="24" t="str">
        <x:v>https://www.sec.gov/Archives/edgar/data/2002236/000121390024045316/ea0206536-fwp_springview.htm</x:v>
      </x:c>
      <x:c r="H139" s="4" t="str">
        <x:v>【示意】Frost &amp; Sullivan renovation by revenue，住宅+其他；不含另列A&amp;A；獨立來源1；來源B級</x:v>
      </x:c>
      <x:c r="I139" s="4" t="str">
        <x:v>低</x:v>
      </x:c>
    </x:row>
    <x:row r="140" ht="38" customHeight="1">
      <x:c r="A140" s="4" t="str">
        <x:v>SG</x:v>
      </x:c>
      <x:c r="B140" s="4" t="str">
        <x:v>全用途翻新市場（預測）</x:v>
      </x:c>
      <x:c r="C140" s="19" t="n">
        <x:v>4630.2</x:v>
      </x:c>
      <x:c r="D140" s="4" t="str">
        <x:v>百萬SGD</x:v>
      </x:c>
      <x:c r="E140" s="16" t="str">
        <x:v>2024E</x:v>
      </x:c>
      <x:c r="F140" s="4" t="str">
        <x:v>SG11</x:v>
      </x:c>
      <x:c r="G140" s="24" t="str">
        <x:v>https://www.sec.gov/Archives/edgar/data/2002236/000121390024045316/ea0206536-fwp_springview.htm</x:v>
      </x:c>
      <x:c r="H140" s="4" t="str">
        <x:v>【預測／示意】2024招股簡報內事前預測，非2024實績；住宅+其他；獨立來源1；來源B級</x:v>
      </x:c>
      <x:c r="I140" s="4" t="str">
        <x:v>低</x:v>
      </x:c>
    </x:row>
    <x:row r="141" ht="38" customHeight="1">
      <x:c r="A141" s="4" t="str">
        <x:v>SG</x:v>
      </x:c>
      <x:c r="B141" s="4" t="str">
        <x:v>全用途翻新市場（預測）</x:v>
      </x:c>
      <x:c r="C141" s="19" t="n">
        <x:v>5378.5</x:v>
      </x:c>
      <x:c r="D141" s="4" t="str">
        <x:v>百萬SGD</x:v>
      </x:c>
      <x:c r="E141" s="16" t="str">
        <x:v>2027E</x:v>
      </x:c>
      <x:c r="F141" s="4" t="str">
        <x:v>SG11</x:v>
      </x:c>
      <x:c r="G141" s="24" t="str">
        <x:v>https://www.sec.gov/Archives/edgar/data/2002236/000121390024045316/ea0206536-fwp_springview.htm</x:v>
      </x:c>
      <x:c r="H141" s="4" t="str">
        <x:v>【預測／示意】Frost &amp; Sullivan事前預測，非官方實績；獨立來源1；來源B級</x:v>
      </x:c>
      <x:c r="I141" s="4" t="str">
        <x:v>低</x:v>
      </x:c>
    </x:row>
    <x:row r="142" ht="30" customHeight="1">
      <x:c r="A142" s="4" t="str">
        <x:v>SG</x:v>
      </x:c>
      <x:c r="B142" s="4" t="str">
        <x:v>HDB新屋核准裝修完成期限</x:v>
      </x:c>
      <x:c r="C142" s="17" t="n">
        <x:v>3</x:v>
      </x:c>
      <x:c r="D142" s="4" t="str">
        <x:v>月</x:v>
      </x:c>
      <x:c r="E142" s="16" t="str">
        <x:v>查閱2026</x:v>
      </x:c>
      <x:c r="F142" s="4" t="str">
        <x:v>SG13</x:v>
      </x:c>
      <x:c r="G142" s="24" t="str">
        <x:v>https://www.mynicehome.gov.sg/get-settled-in/hdb-renovation-guide/</x:v>
      </x:c>
      <x:c r="H142" s="4" t="str">
        <x:v>【示意】自許可起，正式以實際許可為準；獨立來源1；來源A級</x:v>
      </x:c>
      <x:c r="I142" s="4" t="str">
        <x:v>低</x:v>
      </x:c>
    </x:row>
    <x:row r="143" ht="30" customHeight="1">
      <x:c r="A143" s="4" t="str">
        <x:v>SG</x:v>
      </x:c>
      <x:c r="B143" s="4" t="str">
        <x:v>HDB既有屋核准裝修完成期限</x:v>
      </x:c>
      <x:c r="C143" s="17" t="n">
        <x:v>1</x:v>
      </x:c>
      <x:c r="D143" s="4" t="str">
        <x:v>月</x:v>
      </x:c>
      <x:c r="E143" s="16" t="str">
        <x:v>查閱2026</x:v>
      </x:c>
      <x:c r="F143" s="4" t="str">
        <x:v>SG13</x:v>
      </x:c>
      <x:c r="G143" s="24" t="str">
        <x:v>https://www.mynicehome.gov.sg/get-settled-in/hdb-renovation-guide/</x:v>
      </x:c>
      <x:c r="H143" s="4" t="str">
        <x:v>【示意】自許可起，正式以實際許可為準；獨立來源1；來源A級</x:v>
      </x:c>
      <x:c r="I143" s="4" t="str">
        <x:v>低</x:v>
      </x:c>
    </x:row>
    <x:row r="144" ht="38" customHeight="1">
      <x:c r="A144" s="4" t="str">
        <x:v>SG</x:v>
      </x:c>
      <x:c r="B144" s="4" t="str">
        <x:v>新加坡商辦裝修成本</x:v>
      </x:c>
      <x:c r="C144" s="20" t="n">
        <x:v>1506.947458339361</x:v>
      </x:c>
      <x:c r="D144" s="4" t="str">
        <x:v>USD/m²</x:v>
      </x:c>
      <x:c r="E144" s="16" t="n">
        <x:v>2026</x:v>
      </x:c>
      <x:c r="F144" s="4" t="str">
        <x:v>X02</x:v>
      </x:c>
      <x:c r="G144" s="24" t="str">
        <x:v>https://digital.cushmanwakefield.com/fitoutcostguide-03-2026-apac-regional-en-content-pds-office/30-31/</x:v>
      </x:c>
      <x:c r="H144" s="4" t="str">
        <x:v>【示意】C&amp;W 2026商辦fit-out，價格基準2025年12月；USD/ft²÷0.09290304，非住宅報價，報告自身匯率；獨立來源1；來源B級</x:v>
      </x:c>
      <x:c r="I144" s="4" t="str">
        <x:v>低</x:v>
      </x:c>
    </x:row>
    <x:row r="145" ht="38" customHeight="1">
      <x:c r="A145" s="4" t="str">
        <x:v>HK</x:v>
      </x:c>
      <x:c r="B145" s="4" t="str">
        <x:v>家居裝修投訴</x:v>
      </x:c>
      <x:c r="C145" s="17" t="n">
        <x:v>1205</x:v>
      </x:c>
      <x:c r="D145" s="4" t="str">
        <x:v>宗</x:v>
      </x:c>
      <x:c r="E145" s="16" t="str">
        <x:v>2017–2023</x:v>
      </x:c>
      <x:c r="F145" s="4" t="str">
        <x:v>HK01</x:v>
      </x:c>
      <x:c r="G145" s="24" t="str">
        <x:v>https://www.consumer.org.hk/tc/press-release/p-home-renovation-study-report</x:v>
      </x:c>
      <x:c r="H145" s="4" t="str">
        <x:v>【示意】七年累積，非2024單年；獨立來源1；來源B級</x:v>
      </x:c>
      <x:c r="I145" s="4" t="str">
        <x:v>低</x:v>
      </x:c>
    </x:row>
    <x:row r="146" ht="38" customHeight="1">
      <x:c r="A146" s="4" t="str">
        <x:v>HK</x:v>
      </x:c>
      <x:c r="B146" s="4" t="str">
        <x:v>家居裝修投訴涉及金額下限</x:v>
      </x:c>
      <x:c r="C146" s="17" t="n">
        <x:v>270000000</x:v>
      </x:c>
      <x:c r="D146" s="4" t="str">
        <x:v>HKD</x:v>
      </x:c>
      <x:c r="E146" s="16" t="str">
        <x:v>2017–2023</x:v>
      </x:c>
      <x:c r="F146" s="4" t="str">
        <x:v>HK01</x:v>
      </x:c>
      <x:c r="G146" s="24" t="str">
        <x:v>https://www.consumer.org.hk/tc/press-release/p-home-renovation-study-report</x:v>
      </x:c>
      <x:c r="H146" s="4" t="str">
        <x:v>【示意】超過此金額，非市場總產值；獨立來源1；來源B級</x:v>
      </x:c>
      <x:c r="I146" s="4" t="str">
        <x:v>低</x:v>
      </x:c>
    </x:row>
    <x:row r="147" ht="52" customHeight="1">
      <x:c r="A147" s="4" t="str">
        <x:v>HK</x:v>
      </x:c>
      <x:c r="B147" s="4" t="str">
        <x:v>裝修資訊來自親友比率</x:v>
      </x:c>
      <x:c r="C147" s="17" t="n">
        <x:v>93</x:v>
      </x:c>
      <x:c r="D147" s="4" t="str">
        <x:v>%</x:v>
      </x:c>
      <x:c r="E147" s="16" t="str">
        <x:v>2024年發布（研究期2022-04至2024-01）</x:v>
      </x:c>
      <x:c r="F147" s="4" t="str">
        <x:v>HK01</x:v>
      </x:c>
      <x:c r="G147" s="24" t="str">
        <x:v>https://www.consumer.org.hk/tc/press-release/p-home-renovation-study-report</x:v>
      </x:c>
      <x:c r="H147" s="4" t="str">
        <x:v>【示意】消委會505名符合條件消費者認知調查；資訊來源可複選；不是全港住戶普查或2024年度市場比例；研究期由HK13核實。；獨立來源1；來源B級；查核限制：新聞稿 L210有93%；L274為505人調查；HK13 L210載研究期2022年4月至2024年1月，並非2024年年度普查。</x:v>
      </x:c>
      <x:c r="I147" s="4" t="str">
        <x:v>低</x:v>
      </x:c>
    </x:row>
    <x:row r="148" ht="52" customHeight="1">
      <x:c r="A148" s="4" t="str">
        <x:v>HK</x:v>
      </x:c>
      <x:c r="B148" s="4" t="str">
        <x:v>裝修資訊來自網路比率</x:v>
      </x:c>
      <x:c r="C148" s="17" t="n">
        <x:v>50</x:v>
      </x:c>
      <x:c r="D148" s="4" t="str">
        <x:v>%</x:v>
      </x:c>
      <x:c r="E148" s="16" t="str">
        <x:v>2024年發布（研究期2022-04至2024-01）</x:v>
      </x:c>
      <x:c r="F148" s="4" t="str">
        <x:v>HK01</x:v>
      </x:c>
      <x:c r="G148" s="24" t="str">
        <x:v>https://www.consumer.org.hk/tc/press-release/p-home-renovation-study-report</x:v>
      </x:c>
      <x:c r="H148" s="4" t="str">
        <x:v>【示意】消委會505名符合條件消費者認知調查；資訊來源可複選；不是全港住戶普查或2024年度市場比例；研究期由HK13核實。；獨立來源1；來源B級；查核限制：新聞稿 L210有50%；L274為505人調查；HK13 L210載研究期2022年4月至2024年1月。</x:v>
      </x:c>
      <x:c r="I148" s="4" t="str">
        <x:v>低</x:v>
      </x:c>
    </x:row>
    <x:row r="149" ht="30" customHeight="1">
      <x:c r="A149" s="4" t="str">
        <x:v>HK</x:v>
      </x:c>
      <x:c r="B149" s="4" t="str">
        <x:v>私人住宅落成量</x:v>
      </x:c>
      <x:c r="C149" s="17" t="n">
        <x:v>24260</x:v>
      </x:c>
      <x:c r="D149" s="4" t="str">
        <x:v>戶</x:v>
      </x:c>
      <x:c r="E149" s="16" t="n">
        <x:v>2024</x:v>
      </x:c>
      <x:c r="F149" s="4" t="str">
        <x:v>HK02</x:v>
      </x:c>
      <x:c r="G149" s="24" t="str">
        <x:v>https://www.rvd.gov.hk/doc/tc/HKPR2025_Preliminary_Findings_TC.pdf</x:v>
      </x:c>
      <x:c r="H149" s="4" t="str">
        <x:v>【示意】獲發佔用許可證，不包括村屋；獨立來源1；來源A級</x:v>
      </x:c>
      <x:c r="I149" s="4" t="str">
        <x:v>低</x:v>
      </x:c>
    </x:row>
    <x:row r="150" ht="30" customHeight="1">
      <x:c r="A150" s="4" t="str">
        <x:v>HK</x:v>
      </x:c>
      <x:c r="B150" s="4" t="str">
        <x:v>私人住宅落成量年增率</x:v>
      </x:c>
      <x:c r="C150" s="17" t="n">
        <x:v>75</x:v>
      </x:c>
      <x:c r="D150" s="4" t="str">
        <x:v>%</x:v>
      </x:c>
      <x:c r="E150" s="16" t="n">
        <x:v>2024</x:v>
      </x:c>
      <x:c r="F150" s="4" t="str">
        <x:v>HK02</x:v>
      </x:c>
      <x:c r="G150" s="24" t="str">
        <x:v>https://www.rvd.gov.hk/doc/tc/HKPR2025_Preliminary_Findings_TC.pdf</x:v>
      </x:c>
      <x:c r="H150" s="4" t="str">
        <x:v>【示意】報告四捨五入；獨立來源1；來源A級</x:v>
      </x:c>
      <x:c r="I150" s="4" t="str">
        <x:v>低</x:v>
      </x:c>
    </x:row>
    <x:row r="151" ht="30" customHeight="1">
      <x:c r="A151" s="4" t="str">
        <x:v>HK</x:v>
      </x:c>
      <x:c r="B151" s="4" t="str">
        <x:v>私人住宅淨入住量</x:v>
      </x:c>
      <x:c r="C151" s="17" t="n">
        <x:v>17310</x:v>
      </x:c>
      <x:c r="D151" s="4" t="str">
        <x:v>戶</x:v>
      </x:c>
      <x:c r="E151" s="16" t="n">
        <x:v>2024</x:v>
      </x:c>
      <x:c r="F151" s="4" t="str">
        <x:v>HK02</x:v>
      </x:c>
      <x:c r="G151" s="24" t="str">
        <x:v>https://www.rvd.gov.hk/doc/tc/HKPR2025_Preliminary_Findings_TC.pdf</x:v>
      </x:c>
      <x:c r="H151" s="4" t="str">
        <x:v>【示意】落成+年初空置-拆卸-年底空置；獨立來源1；來源A級</x:v>
      </x:c>
      <x:c r="I151" s="4" t="str">
        <x:v>低</x:v>
      </x:c>
    </x:row>
    <x:row r="152" ht="30" customHeight="1">
      <x:c r="A152" s="4" t="str">
        <x:v>HK</x:v>
      </x:c>
      <x:c r="B152" s="4" t="str">
        <x:v>私人住宅空置率</x:v>
      </x:c>
      <x:c r="C152" s="19" t="n">
        <x:v>4.5</x:v>
      </x:c>
      <x:c r="D152" s="4" t="str">
        <x:v>%</x:v>
      </x:c>
      <x:c r="E152" s="16" t="n">
        <x:v>2024</x:v>
      </x:c>
      <x:c r="F152" s="4" t="str">
        <x:v>HK02</x:v>
      </x:c>
      <x:c r="G152" s="24" t="str">
        <x:v>https://www.rvd.gov.hk/doc/tc/HKPR2025_Preliminary_Findings_TC.pdf</x:v>
      </x:c>
      <x:c r="H152" s="4" t="str">
        <x:v>【示意】報告2024年底；獨立來源1；來源A級</x:v>
      </x:c>
      <x:c r="I152" s="4" t="str">
        <x:v>低</x:v>
      </x:c>
    </x:row>
    <x:row r="153" ht="30" customHeight="1">
      <x:c r="A153" s="4" t="str">
        <x:v>HK</x:v>
      </x:c>
      <x:c r="B153" s="4" t="str">
        <x:v>私人住宅空置量</x:v>
      </x:c>
      <x:c r="C153" s="17" t="n">
        <x:v>57900</x:v>
      </x:c>
      <x:c r="D153" s="4" t="str">
        <x:v>戶</x:v>
      </x:c>
      <x:c r="E153" s="16" t="n">
        <x:v>2024</x:v>
      </x:c>
      <x:c r="F153" s="4" t="str">
        <x:v>HK02</x:v>
      </x:c>
      <x:c r="G153" s="24" t="str">
        <x:v>https://www.rvd.gov.hk/doc/tc/HKPR2025_Preliminary_Findings_TC.pdf</x:v>
      </x:c>
      <x:c r="H153" s="4" t="str">
        <x:v>【示意】包括正在裝修的空置住宅；獨立來源1；來源A級</x:v>
      </x:c>
      <x:c r="I153" s="4" t="str">
        <x:v>低</x:v>
      </x:c>
    </x:row>
    <x:row r="154" ht="30" customHeight="1">
      <x:c r="A154" s="4" t="str">
        <x:v>HK</x:v>
      </x:c>
      <x:c r="B154" s="4" t="str">
        <x:v>私人住宅售價按年變動</x:v>
      </x:c>
      <x:c r="C154" s="19" t="n">
        <x:v>-7.2</x:v>
      </x:c>
      <x:c r="D154" s="4" t="str">
        <x:v>%</x:v>
      </x:c>
      <x:c r="E154" s="16" t="n">
        <x:v>2024</x:v>
      </x:c>
      <x:c r="F154" s="4" t="str">
        <x:v>HK02</x:v>
      </x:c>
      <x:c r="G154" s="24" t="str">
        <x:v>https://www.rvd.gov.hk/doc/tc/HKPR2025_Preliminary_Findings_TC.pdf</x:v>
      </x:c>
      <x:c r="H154" s="4" t="str">
        <x:v>【示意】2024年12月對上年12月；獨立來源1；來源A級</x:v>
      </x:c>
      <x:c r="I154" s="4" t="str">
        <x:v>低</x:v>
      </x:c>
    </x:row>
    <x:row r="155" ht="30" customHeight="1">
      <x:c r="A155" s="4" t="str">
        <x:v>HK</x:v>
      </x:c>
      <x:c r="B155" s="4" t="str">
        <x:v>私人住宅租金按年變動</x:v>
      </x:c>
      <x:c r="C155" s="19" t="n">
        <x:v>3.3</x:v>
      </x:c>
      <x:c r="D155" s="4" t="str">
        <x:v>%</x:v>
      </x:c>
      <x:c r="E155" s="16" t="n">
        <x:v>2024</x:v>
      </x:c>
      <x:c r="F155" s="4" t="str">
        <x:v>HK02</x:v>
      </x:c>
      <x:c r="G155" s="24" t="str">
        <x:v>https://www.rvd.gov.hk/doc/tc/HKPR2025_Preliminary_Findings_TC.pdf</x:v>
      </x:c>
      <x:c r="H155" s="4" t="str">
        <x:v>【示意】2024年12月對上年12月；獨立來源1；來源A級</x:v>
      </x:c>
      <x:c r="I155" s="4" t="str">
        <x:v>低</x:v>
      </x:c>
    </x:row>
    <x:row r="156" ht="52" customHeight="1">
      <x:c r="A156" s="4" t="str">
        <x:v>HK</x:v>
      </x:c>
      <x:c r="B156" s="4" t="str">
        <x:v>人均GDP</x:v>
      </x:c>
      <x:c r="C156" s="17" t="n">
        <x:v>54101</x:v>
      </x:c>
      <x:c r="D156" s="4" t="str">
        <x:v>USD/人</x:v>
      </x:c>
      <x:c r="E156" s="16" t="n">
        <x:v>2024</x:v>
      </x:c>
      <x:c r="F156" s="4" t="str">
        <x:v>HK07</x:v>
      </x:c>
      <x:c r="G156" s="24" t="str">
        <x:v>https://www.mofa.go.jp/mofaj/area/hongkong/data.html</x:v>
      </x:c>
      <x:c r="H156" s="4" t="str">
        <x:v>【示意】日本外務省頁所列2024人均GDP；原幣421,990港元、該頁美元換算率7.80；未確認數值出處為香港統計處，不作此歸屬。；獨立來源1；來源A級；查核限制：外務省頁 L113–124：2024年一人GDP 421,990港元／54,101美元；頁面自述換算7.80。</x:v>
      </x:c>
      <x:c r="I156" s="4" t="str">
        <x:v>低</x:v>
      </x:c>
    </x:row>
    <x:row r="157" ht="30" customHeight="1">
      <x:c r="A157" s="4" t="str">
        <x:v>HK</x:v>
      </x:c>
      <x:c r="B157" s="4" t="str">
        <x:v>SLD集團營收</x:v>
      </x:c>
      <x:c r="C157" s="17" t="n">
        <x:v>422703000</x:v>
      </x:c>
      <x:c r="D157" s="4" t="str">
        <x:v>HKD</x:v>
      </x:c>
      <x:c r="E157" s="16" t="n">
        <x:v>2025</x:v>
      </x:c>
      <x:c r="F157" s="4" t="str">
        <x:v>HK10</x:v>
      </x:c>
      <x:c r="G157" s="24" t="str">
        <x:v>https://api.aconnect.com.hk/Attachment/158306</x:v>
      </x:c>
      <x:c r="H157" s="4" t="str">
        <x:v>【示意】全球合併，含設計及家居產品貿易；獨立來源1；來源A級</x:v>
      </x:c>
      <x:c r="I157" s="4" t="str">
        <x:v>低</x:v>
      </x:c>
    </x:row>
    <x:row r="158" ht="30" customHeight="1">
      <x:c r="A158" s="4" t="str">
        <x:v>HK</x:v>
      </x:c>
      <x:c r="B158" s="4" t="str">
        <x:v>SLD集團營收</x:v>
      </x:c>
      <x:c r="C158" s="17" t="n">
        <x:v>367695000</x:v>
      </x:c>
      <x:c r="D158" s="4" t="str">
        <x:v>HKD</x:v>
      </x:c>
      <x:c r="E158" s="16" t="n">
        <x:v>2024</x:v>
      </x:c>
      <x:c r="F158" s="4" t="str">
        <x:v>HK10</x:v>
      </x:c>
      <x:c r="G158" s="24" t="str">
        <x:v>https://api.aconnect.com.hk/Attachment/158306</x:v>
      </x:c>
      <x:c r="H158" s="4" t="str">
        <x:v>【示意】全球合併，非香港市場；獨立來源1；來源A級</x:v>
      </x:c>
      <x:c r="I158" s="4" t="str">
        <x:v>低</x:v>
      </x:c>
    </x:row>
    <x:row r="159" ht="30" customHeight="1">
      <x:c r="A159" s="4" t="str">
        <x:v>HK</x:v>
      </x:c>
      <x:c r="B159" s="4" t="str">
        <x:v>SLD集團服務收入</x:v>
      </x:c>
      <x:c r="C159" s="17" t="n">
        <x:v>283764000</x:v>
      </x:c>
      <x:c r="D159" s="4" t="str">
        <x:v>HKD</x:v>
      </x:c>
      <x:c r="E159" s="16" t="n">
        <x:v>2025</x:v>
      </x:c>
      <x:c r="F159" s="4" t="str">
        <x:v>HK10</x:v>
      </x:c>
      <x:c r="G159" s="24" t="str">
        <x:v>https://api.aconnect.com.hk/Attachment/158306</x:v>
      </x:c>
      <x:c r="H159" s="4" t="str">
        <x:v>【示意】各地室內設計、陳設設計及產品設計服務；獨立來源1；來源A級</x:v>
      </x:c>
      <x:c r="I159" s="4" t="str">
        <x:v>低</x:v>
      </x:c>
    </x:row>
    <x:row r="160" ht="30" customHeight="1">
      <x:c r="A160" s="4" t="str">
        <x:v>HK</x:v>
      </x:c>
      <x:c r="B160" s="4" t="str">
        <x:v>SLD集團中國大陸收入</x:v>
      </x:c>
      <x:c r="C160" s="17" t="n">
        <x:v>367059000</x:v>
      </x:c>
      <x:c r="D160" s="4" t="str">
        <x:v>HKD</x:v>
      </x:c>
      <x:c r="E160" s="16" t="n">
        <x:v>2025</x:v>
      </x:c>
      <x:c r="F160" s="4" t="str">
        <x:v>HK10</x:v>
      </x:c>
      <x:c r="G160" s="24" t="str">
        <x:v>https://api.aconnect.com.hk/Attachment/158306</x:v>
      </x:c>
      <x:c r="H160" s="4" t="str">
        <x:v>【示意】全球合併收入地理分項；獨立來源1；來源A級</x:v>
      </x:c>
      <x:c r="I160" s="4" t="str">
        <x:v>低</x:v>
      </x:c>
    </x:row>
    <x:row r="161" ht="30" customHeight="1">
      <x:c r="A161" s="4" t="str">
        <x:v>HK</x:v>
      </x:c>
      <x:c r="B161" s="4" t="str">
        <x:v>SLD集團全年淨利</x:v>
      </x:c>
      <x:c r="C161" s="17" t="n">
        <x:v>10080000</x:v>
      </x:c>
      <x:c r="D161" s="4" t="str">
        <x:v>HKD</x:v>
      </x:c>
      <x:c r="E161" s="16" t="n">
        <x:v>2025</x:v>
      </x:c>
      <x:c r="F161" s="4" t="str">
        <x:v>HK10</x:v>
      </x:c>
      <x:c r="G161" s="24" t="str">
        <x:v>https://api.aconnect.com.hk/Attachment/158306</x:v>
      </x:c>
      <x:c r="H161" s="4" t="str">
        <x:v>【示意】全年合併淨利，非擁有人應佔淨利；獨立來源1；來源A級</x:v>
      </x:c>
      <x:c r="I161" s="4" t="str">
        <x:v>低</x:v>
      </x:c>
    </x:row>
    <x:row r="162" ht="30" customHeight="1">
      <x:c r="A162" s="4" t="str">
        <x:v>HK</x:v>
      </x:c>
      <x:c r="B162" s="4" t="str">
        <x:v>SLD全職員工</x:v>
      </x:c>
      <x:c r="C162" s="17" t="n">
        <x:v>413</x:v>
      </x:c>
      <x:c r="D162" s="4" t="str">
        <x:v>人</x:v>
      </x:c>
      <x:c r="E162" s="16" t="n">
        <x:v>2025</x:v>
      </x:c>
      <x:c r="F162" s="4" t="str">
        <x:v>HK10</x:v>
      </x:c>
      <x:c r="G162" s="24" t="str">
        <x:v>https://api.aconnect.com.hk/Attachment/158306</x:v>
      </x:c>
      <x:c r="H162" s="4" t="str">
        <x:v>【示意】全球員工，不是香港設計師數；獨立來源1；來源A級</x:v>
      </x:c>
      <x:c r="I162" s="4" t="str">
        <x:v>低</x:v>
      </x:c>
    </x:row>
    <x:row r="163" ht="38" customHeight="1">
      <x:c r="A163" s="4" t="str">
        <x:v>HK</x:v>
      </x:c>
      <x:c r="B163" s="4" t="str">
        <x:v>預防性維修資助計劃涵蓋住宅</x:v>
      </x:c>
      <x:c r="C163" s="17" t="n">
        <x:v>7600</x:v>
      </x:c>
      <x:c r="D163" s="4" t="str">
        <x:v>戶以上</x:v>
      </x:c>
      <x:c r="E163" s="16" t="n">
        <x:v>2025</x:v>
      </x:c>
      <x:c r="F163" s="4" t="str">
        <x:v>HK11</x:v>
      </x:c>
      <x:c r="G163" s="24" t="str">
        <x:v>https://www.ura.org.hk/tc/news-centre/managing-director-s-blog/mdblog_20250614</x:v>
      </x:c>
      <x:c r="H163" s="4" t="str">
        <x:v>【示意】截至2025年5月申請，不是已完成室內翻修；獨立來源1；來源A級</x:v>
      </x:c>
      <x:c r="I163" s="4" t="str">
        <x:v>低</x:v>
      </x:c>
    </x:row>
    <x:row r="164" ht="38" customHeight="1">
      <x:c r="A164" s="4" t="str">
        <x:v>HK</x:v>
      </x:c>
      <x:c r="B164" s="4" t="str">
        <x:v>樓宇維修保養計畫周期</x:v>
      </x:c>
      <x:c r="C164" s="17" t="n">
        <x:v>10</x:v>
      </x:c>
      <x:c r="D164" s="4" t="str">
        <x:v>年</x:v>
      </x:c>
      <x:c r="E164" s="16" t="n">
        <x:v>2025</x:v>
      </x:c>
      <x:c r="F164" s="4" t="str">
        <x:v>HK11</x:v>
      </x:c>
      <x:c r="G164" s="24" t="str">
        <x:v>https://www.ura.org.hk/tc/news-centre/managing-director-s-blog/mdblog_20250614</x:v>
      </x:c>
      <x:c r="H164" s="4" t="str">
        <x:v>【示意】市建局計劃，不是家戶室內重新裝潢週期；獨立來源1；來源A級</x:v>
      </x:c>
      <x:c r="I164" s="4" t="str">
        <x:v>低</x:v>
      </x:c>
    </x:row>
    <x:row r="165" ht="52" customHeight="1">
      <x:c r="A165" s="4" t="str">
        <x:v>HK</x:v>
      </x:c>
      <x:c r="B165" s="4" t="str">
        <x:v>Arcadis建造投標價格指數年變動</x:v>
      </x:c>
      <x:c r="C165" s="19" t="n">
        <x:v>-1.5</x:v>
      </x:c>
      <x:c r="D165" s="4" t="str">
        <x:v>%</x:v>
      </x:c>
      <x:c r="E165" s="16" t="n">
        <x:v>2025</x:v>
      </x:c>
      <x:c r="F165" s="4" t="str">
        <x:v>HK12</x:v>
      </x:c>
      <x:c r="G165" s="24" t="str">
        <x:v>https://media.arcadis.com/-/media/project/arcadiscom/com/perspectives/asia/publications/cch/2026/cnhk-cost-handbook-2026-cn.pdf?rev=2ca3da9efc8d465dab292a4fbd8c847b</x:v>
      </x:c>
      <x:c r="H165" s="4" t="str">
        <x:v>【示意】香港總體建造，不是單純住宅裝修價格指數；獨立來源1；來源B級</x:v>
      </x:c>
      <x:c r="I165" s="4" t="str">
        <x:v>低</x:v>
      </x:c>
    </x:row>
    <x:row r="166" ht="52" customHeight="1">
      <x:c r="A166" s="4" t="str">
        <x:v>HK</x:v>
      </x:c>
      <x:c r="B166" s="4" t="str">
        <x:v>一般寫字樓装修成本低值</x:v>
      </x:c>
      <x:c r="C166" s="17" t="n">
        <x:v>7400</x:v>
      </x:c>
      <x:c r="D166" s="4" t="str">
        <x:v>HKD/m²</x:v>
      </x:c>
      <x:c r="E166" s="16" t="str">
        <x:v>2025Q4</x:v>
      </x:c>
      <x:c r="F166" s="4" t="str">
        <x:v>HK12</x:v>
      </x:c>
      <x:c r="G166" s="24" t="str">
        <x:v>https://media.arcadis.com/-/media/project/arcadiscom/com/perspectives/asia/publications/cch/2026/cnhk-cost-handbook-2026-cn.pdf?rev=2ca3da9efc8d465dab292a4fbd8c847b</x:v>
      </x:c>
      <x:c r="H166" s="4" t="str">
        <x:v>【示意】含家具隔間電氣與小幅空調消防改動；不含電話資料線辦公設備；獨立來源1；來源B級</x:v>
      </x:c>
      <x:c r="I166" s="4" t="str">
        <x:v>低</x:v>
      </x:c>
    </x:row>
    <x:row r="167" ht="52" customHeight="1">
      <x:c r="A167" s="4" t="str">
        <x:v>HK</x:v>
      </x:c>
      <x:c r="B167" s="4" t="str">
        <x:v>一般寫字樓装修成本高值</x:v>
      </x:c>
      <x:c r="C167" s="17" t="n">
        <x:v>11400</x:v>
      </x:c>
      <x:c r="D167" s="4" t="str">
        <x:v>HKD/m²</x:v>
      </x:c>
      <x:c r="E167" s="16" t="str">
        <x:v>2025Q4</x:v>
      </x:c>
      <x:c r="F167" s="4" t="str">
        <x:v>HK12</x:v>
      </x:c>
      <x:c r="G167" s="24" t="str">
        <x:v>https://media.arcadis.com/-/media/project/arcadiscom/com/perspectives/asia/publications/cch/2026/cnhk-cost-handbook-2026-cn.pdf?rev=2ca3da9efc8d465dab292a4fbd8c847b</x:v>
      </x:c>
      <x:c r="H167" s="4" t="str">
        <x:v>【示意】與低值相同口徑，不可當住宅價；獨立來源1；來源B級</x:v>
      </x:c>
      <x:c r="I167" s="4" t="str">
        <x:v>低</x:v>
      </x:c>
    </x:row>
    <x:row r="168" ht="52" customHeight="1">
      <x:c r="A168" s="4" t="str">
        <x:v>HK</x:v>
      </x:c>
      <x:c r="B168" s="4" t="str">
        <x:v>一般餐廳装修成本低值</x:v>
      </x:c>
      <x:c r="C168" s="17" t="n">
        <x:v>13300</x:v>
      </x:c>
      <x:c r="D168" s="4" t="str">
        <x:v>HKD/m²</x:v>
      </x:c>
      <x:c r="E168" s="16" t="str">
        <x:v>2025Q4</x:v>
      </x:c>
      <x:c r="F168" s="4" t="str">
        <x:v>HK12</x:v>
      </x:c>
      <x:c r="G168" s="24" t="str">
        <x:v>https://media.arcadis.com/-/media/project/arcadiscom/com/perspectives/asia/publications/cch/2026/cnhk-cost-handbook-2026-cn.pdf?rev=2ca3da9efc8d465dab292a4fbd8c847b</x:v>
      </x:c>
      <x:c r="H168" s="4" t="str">
        <x:v>【示意】含家具及局部機電；不含煙道營運設備；獨立來源1；來源B級</x:v>
      </x:c>
      <x:c r="I168" s="4" t="str">
        <x:v>低</x:v>
      </x:c>
    </x:row>
    <x:row r="169" ht="52" customHeight="1">
      <x:c r="A169" s="4" t="str">
        <x:v>HK</x:v>
      </x:c>
      <x:c r="B169" s="4" t="str">
        <x:v>一般餐廳装修成本高值</x:v>
      </x:c>
      <x:c r="C169" s="17" t="n">
        <x:v>20700</x:v>
      </x:c>
      <x:c r="D169" s="4" t="str">
        <x:v>HKD/m²</x:v>
      </x:c>
      <x:c r="E169" s="16" t="str">
        <x:v>2025Q4</x:v>
      </x:c>
      <x:c r="F169" s="4" t="str">
        <x:v>HK12</x:v>
      </x:c>
      <x:c r="G169" s="24" t="str">
        <x:v>https://media.arcadis.com/-/media/project/arcadiscom/com/perspectives/asia/publications/cch/2026/cnhk-cost-handbook-2026-cn.pdf?rev=2ca3da9efc8d465dab292a4fbd8c847b</x:v>
      </x:c>
      <x:c r="H169" s="4" t="str">
        <x:v>【示意】不含煙道與營運設備；獨立來源1；來源B級</x:v>
      </x:c>
      <x:c r="I169" s="4" t="str">
        <x:v>低</x:v>
      </x:c>
    </x:row>
    <x:row r="170" ht="38" customHeight="1">
      <x:c r="A170" s="4" t="str">
        <x:v>HK</x:v>
      </x:c>
      <x:c r="B170" s="4" t="str">
        <x:v>人均GDP</x:v>
      </x:c>
      <x:c r="C170" s="21" t="n">
        <x:v>56983.066</x:v>
      </x:c>
      <x:c r="D170" s="4" t="str">
        <x:v>USD/人</x:v>
      </x:c>
      <x:c r="E170" s="16" t="n">
        <x:v>2025</x:v>
      </x:c>
      <x:c r="F170" s="4" t="str">
        <x:v>MHK</x:v>
      </x:c>
      <x:c r="G170" s="24" t="str">
        <x:v>https://data.worldbank.org/country/hong-kong-sar-china</x:v>
      </x:c>
      <x:c r="H170" s="4" t="str">
        <x:v>【示意】名目、現價美元；WDI 2025歷史數列，可能修訂，非家庭可支配所得；獨立來源1；來源A級</x:v>
      </x:c>
      <x:c r="I170" s="4" t="str">
        <x:v>低</x:v>
      </x:c>
    </x:row>
    <x:row r="171" ht="38" customHeight="1">
      <x:c r="A171" s="4" t="str">
        <x:v>HK</x:v>
      </x:c>
      <x:c r="B171" s="4" t="str">
        <x:v>人口</x:v>
      </x:c>
      <x:c r="C171" s="17" t="n">
        <x:v>7498900</x:v>
      </x:c>
      <x:c r="D171" s="4" t="str">
        <x:v>人</x:v>
      </x:c>
      <x:c r="E171" s="16" t="n">
        <x:v>2025</x:v>
      </x:c>
      <x:c r="F171" s="4" t="str">
        <x:v>MHK</x:v>
      </x:c>
      <x:c r="G171" s="24" t="str">
        <x:v>https://data.worldbank.org/country/hong-kong-sar-china</x:v>
      </x:c>
      <x:c r="H171" s="4" t="str">
        <x:v>【示意】WDI 2025；CN、IN為頁面billion顯示的四捨五入值，其餘依顯示人數；獨立來源1；來源A級</x:v>
      </x:c>
      <x:c r="I171" s="4" t="str">
        <x:v>低</x:v>
      </x:c>
    </x:row>
    <x:row r="172" ht="30" customHeight="1">
      <x:c r="A172" s="4" t="str">
        <x:v>HK</x:v>
      </x:c>
      <x:c r="B172" s="4" t="str">
        <x:v>GDP</x:v>
      </x:c>
      <x:c r="C172" s="17" t="n">
        <x:v>427310000000</x:v>
      </x:c>
      <x:c r="D172" s="4" t="str">
        <x:v>USD</x:v>
      </x:c>
      <x:c r="E172" s="16" t="n">
        <x:v>2025</x:v>
      </x:c>
      <x:c r="F172" s="4" t="str">
        <x:v>MHK</x:v>
      </x:c>
      <x:c r="G172" s="24" t="str">
        <x:v>https://data.worldbank.org/country/hong-kong-sar-china</x:v>
      </x:c>
      <x:c r="H172" s="4" t="str">
        <x:v>【示意】WDI 2025現價；頁面billion/trillion四捨五入值；獨立來源1；來源A級</x:v>
      </x:c>
      <x:c r="I172" s="4" t="str">
        <x:v>低</x:v>
      </x:c>
    </x:row>
    <x:row r="173" ht="38" customHeight="1">
      <x:c r="A173" s="4" t="str">
        <x:v>HK</x:v>
      </x:c>
      <x:c r="B173" s="4" t="str">
        <x:v>香港商辦裝修成本</x:v>
      </x:c>
      <x:c r="C173" s="20" t="n">
        <x:v>1722.2256666735555</x:v>
      </x:c>
      <x:c r="D173" s="4" t="str">
        <x:v>USD/m²</x:v>
      </x:c>
      <x:c r="E173" s="16" t="n">
        <x:v>2026</x:v>
      </x:c>
      <x:c r="F173" s="4" t="str">
        <x:v>X02</x:v>
      </x:c>
      <x:c r="G173" s="24" t="str">
        <x:v>https://digital.cushmanwakefield.com/fitoutcostguide-03-2026-apac-regional-en-content-pds-office/30-31/</x:v>
      </x:c>
      <x:c r="H173" s="4" t="str">
        <x:v>【示意】C&amp;W 2026商辦fit-out，價格基準2025年12月；USD/ft²÷0.09290304，非住宅報價，報告自身匯率；獨立來源1；來源B級</x:v>
      </x:c>
      <x:c r="I173" s="4" t="str">
        <x:v>低</x:v>
      </x:c>
    </x:row>
    <x:row r="174" ht="30" customHeight="1">
      <x:c r="A174" s="4" t="str">
        <x:v>CN</x:v>
      </x:c>
      <x:c r="B174" s="4" t="str">
        <x:v>住宅竣工面積</x:v>
      </x:c>
      <x:c r="C174" s="17" t="n">
        <x:v>53741</x:v>
      </x:c>
      <x:c r="D174" s="4" t="str">
        <x:v>萬m²</x:v>
      </x:c>
      <x:c r="E174" s="16" t="n">
        <x:v>2024</x:v>
      </x:c>
      <x:c r="F174" s="4" t="str">
        <x:v>CN01</x:v>
      </x:c>
      <x:c r="G174" s="24" t="str">
        <x:v>https://www.stats.gov.cn/sj/zxfb/202501/t20250117_1958328.html</x:v>
      </x:c>
      <x:c r="H174" s="4" t="str">
        <x:v>【示意】全國房地產開發企業；不是竣工戶數、也不是沿海翻修面積；獨立來源1；來源A級</x:v>
      </x:c>
      <x:c r="I174" s="4" t="str">
        <x:v>低</x:v>
      </x:c>
    </x:row>
    <x:row r="175" ht="30" customHeight="1">
      <x:c r="A175" s="4" t="str">
        <x:v>CN</x:v>
      </x:c>
      <x:c r="B175" s="4" t="str">
        <x:v>住宅竣工面積年變動</x:v>
      </x:c>
      <x:c r="C175" s="19" t="n">
        <x:v>-27.4</x:v>
      </x:c>
      <x:c r="D175" s="4" t="str">
        <x:v>%</x:v>
      </x:c>
      <x:c r="E175" s="16" t="n">
        <x:v>2024</x:v>
      </x:c>
      <x:c r="F175" s="4" t="str">
        <x:v>CN01</x:v>
      </x:c>
      <x:c r="G175" s="24" t="str">
        <x:v>https://www.stats.gov.cn/sj/zxfb/202501/t20250117_1958328.html</x:v>
      </x:c>
      <x:c r="H175" s="4" t="str">
        <x:v>【示意】全國可比口徑；獨立來源1；來源A級</x:v>
      </x:c>
      <x:c r="I175" s="4" t="str">
        <x:v>低</x:v>
      </x:c>
    </x:row>
    <x:row r="176" ht="30" customHeight="1">
      <x:c r="A176" s="4" t="str">
        <x:v>CN</x:v>
      </x:c>
      <x:c r="B176" s="4" t="str">
        <x:v>住宅新開工面積</x:v>
      </x:c>
      <x:c r="C176" s="17" t="n">
        <x:v>53660</x:v>
      </x:c>
      <x:c r="D176" s="4" t="str">
        <x:v>萬m²</x:v>
      </x:c>
      <x:c r="E176" s="16" t="n">
        <x:v>2024</x:v>
      </x:c>
      <x:c r="F176" s="4" t="str">
        <x:v>CN01</x:v>
      </x:c>
      <x:c r="G176" s="24" t="str">
        <x:v>https://www.stats.gov.cn/sj/zxfb/202501/t20250117_1958328.html</x:v>
      </x:c>
      <x:c r="H176" s="4" t="str">
        <x:v>【示意】全國房地產開發企業；獨立來源1；來源A級</x:v>
      </x:c>
      <x:c r="I176" s="4" t="str">
        <x:v>低</x:v>
      </x:c>
    </x:row>
    <x:row r="177" ht="30" customHeight="1">
      <x:c r="A177" s="4" t="str">
        <x:v>CN</x:v>
      </x:c>
      <x:c r="B177" s="4" t="str">
        <x:v>住宅新開工面積年變動</x:v>
      </x:c>
      <x:c r="C177" s="17" t="n">
        <x:v>-23</x:v>
      </x:c>
      <x:c r="D177" s="4" t="str">
        <x:v>%</x:v>
      </x:c>
      <x:c r="E177" s="16" t="n">
        <x:v>2024</x:v>
      </x:c>
      <x:c r="F177" s="4" t="str">
        <x:v>CN01</x:v>
      </x:c>
      <x:c r="G177" s="24" t="str">
        <x:v>https://www.stats.gov.cn/sj/zxfb/202501/t20250117_1958328.html</x:v>
      </x:c>
      <x:c r="H177" s="4" t="str">
        <x:v>【示意】全國可比口徑；獨立來源1；來源A級</x:v>
      </x:c>
      <x:c r="I177" s="4" t="str">
        <x:v>低</x:v>
      </x:c>
    </x:row>
    <x:row r="178" ht="30" customHeight="1">
      <x:c r="A178" s="4" t="str">
        <x:v>CN</x:v>
      </x:c>
      <x:c r="B178" s="4" t="str">
        <x:v>新建商品住宅銷售面積年變動</x:v>
      </x:c>
      <x:c r="C178" s="19" t="n">
        <x:v>-14.1</x:v>
      </x:c>
      <x:c r="D178" s="4" t="str">
        <x:v>%</x:v>
      </x:c>
      <x:c r="E178" s="16" t="n">
        <x:v>2024</x:v>
      </x:c>
      <x:c r="F178" s="4" t="str">
        <x:v>CN01</x:v>
      </x:c>
      <x:c r="G178" s="24" t="str">
        <x:v>https://www.stats.gov.cn/sj/zxfb/202501/t20250117_1958328.html</x:v>
      </x:c>
      <x:c r="H178" s="4" t="str">
        <x:v>【示意】全國，不是住宅翻修產值；獨立來源1；來源A級</x:v>
      </x:c>
      <x:c r="I178" s="4" t="str">
        <x:v>低</x:v>
      </x:c>
    </x:row>
    <x:row r="179" ht="30" customHeight="1">
      <x:c r="A179" s="4" t="str">
        <x:v>CN</x:v>
      </x:c>
      <x:c r="B179" s="4" t="str">
        <x:v>新建商品住宅銷售額年變動</x:v>
      </x:c>
      <x:c r="C179" s="19" t="n">
        <x:v>-17.6</x:v>
      </x:c>
      <x:c r="D179" s="4" t="str">
        <x:v>%</x:v>
      </x:c>
      <x:c r="E179" s="16" t="n">
        <x:v>2024</x:v>
      </x:c>
      <x:c r="F179" s="4" t="str">
        <x:v>CN01</x:v>
      </x:c>
      <x:c r="G179" s="24" t="str">
        <x:v>https://www.stats.gov.cn/sj/zxfb/202501/t20250117_1958328.html</x:v>
      </x:c>
      <x:c r="H179" s="4" t="str">
        <x:v>【示意】全國可比口徑；獨立來源1；來源A級</x:v>
      </x:c>
      <x:c r="I179" s="4" t="str">
        <x:v>低</x:v>
      </x:c>
    </x:row>
    <x:row r="180" ht="38" customHeight="1">
      <x:c r="A180" s="4" t="str">
        <x:v>CN</x:v>
      </x:c>
      <x:c r="B180" s="4" t="str">
        <x:v>貝殼家裝家居季度收入</x:v>
      </x:c>
      <x:c r="C180" s="17" t="n">
        <x:v>3200000000</x:v>
      </x:c>
      <x:c r="D180" s="4" t="str">
        <x:v>CNY</x:v>
      </x:c>
      <x:c r="E180" s="16" t="str">
        <x:v>2026Q2</x:v>
      </x:c>
      <x:c r="F180" s="4" t="str">
        <x:v>CN03</x:v>
      </x:c>
      <x:c r="G180" s="24" t="str">
        <x:v>https://investors.ke.com/zh-hans/news-releases/news-release-details/ke-holdings-inc-announces-second-quarter-2026-unaudited</x:v>
      </x:c>
      <x:c r="H180" s="4" t="str">
        <x:v>【示意】含設計施工與家具家電，公告約數；獨立來源1；來源C級</x:v>
      </x:c>
      <x:c r="I180" s="4" t="str">
        <x:v>低</x:v>
      </x:c>
    </x:row>
    <x:row r="181" ht="38" customHeight="1">
      <x:c r="A181" s="4" t="str">
        <x:v>CN</x:v>
      </x:c>
      <x:c r="B181" s="4" t="str">
        <x:v>貝殼家裝家居季度收入年變動</x:v>
      </x:c>
      <x:c r="C181" s="19" t="n">
        <x:v>-30.1</x:v>
      </x:c>
      <x:c r="D181" s="4" t="str">
        <x:v>%</x:v>
      </x:c>
      <x:c r="E181" s="16" t="str">
        <x:v>2026Q2</x:v>
      </x:c>
      <x:c r="F181" s="4" t="str">
        <x:v>CN03</x:v>
      </x:c>
      <x:c r="G181" s="24" t="str">
        <x:v>https://investors.ke.com/zh-hans/news-releases/news-release-details/ke-holdings-inc-announces-second-quarter-2026-unaudited</x:v>
      </x:c>
      <x:c r="H181" s="4" t="str">
        <x:v>【示意】公司稱主動優化獲客渠道组合及放緩非房仲渠道；獨立來源1；來源C級</x:v>
      </x:c>
      <x:c r="I181" s="4" t="str">
        <x:v>低</x:v>
      </x:c>
    </x:row>
    <x:row r="182" ht="52" customHeight="1">
      <x:c r="A182" s="4" t="str">
        <x:v>CN</x:v>
      </x:c>
      <x:c r="B182" s="4" t="str">
        <x:v>貝殼家裝家居貢獻利潤率</x:v>
      </x:c>
      <x:c r="C182" s="19" t="n">
        <x:v>39.6</x:v>
      </x:c>
      <x:c r="D182" s="4" t="str">
        <x:v>%</x:v>
      </x:c>
      <x:c r="E182" s="16" t="str">
        <x:v>2026Q2</x:v>
      </x:c>
      <x:c r="F182" s="4" t="str">
        <x:v>CN03</x:v>
      </x:c>
      <x:c r="G182" s="24" t="str">
        <x:v>https://investors.ke.com/zh-hans/news-releases/news-release-details/ke-holdings-inc-announces-second-quarter-2026-unaudited</x:v>
      </x:c>
      <x:c r="H182" s="4" t="str">
        <x:v>【示意】公司分部淨收入減直接歸屬變動成本，再除分部淨收入；家裝成本主要含材料及裝修工人薪酬；不含完整總部/行銷固定費用，非部門淨利率。；獨立來源1；來源C級；查核限制：同公告L67：貢獻利潤率39.6%；CN02年報PDF第33／246頁解釋直接歸属變動成本。</x:v>
      </x:c>
      <x:c r="I182" s="4" t="str">
        <x:v>低</x:v>
      </x:c>
    </x:row>
    <x:row r="183" ht="38" customHeight="1">
      <x:c r="A183" s="4" t="str">
        <x:v>CN</x:v>
      </x:c>
      <x:c r="B183" s="4" t="str">
        <x:v>齊屹科技合併營收</x:v>
      </x:c>
      <x:c r="C183" s="17" t="n">
        <x:v>1055639000</x:v>
      </x:c>
      <x:c r="D183" s="4" t="str">
        <x:v>CNY</x:v>
      </x:c>
      <x:c r="E183" s="16" t="n">
        <x:v>2024</x:v>
      </x:c>
      <x:c r="F183" s="4" t="str">
        <x:v>CN04</x:v>
      </x:c>
      <x:c r="G183" s="24" t="str">
        <x:v>https://www1.hkexnews.hk/listedco/listconews/sehk/2025/0425/2025042501676_c.pdf</x:v>
      </x:c>
      <x:c r="H183" s="4" t="str">
        <x:v>【示意】SaaS行銷+室內設計施工+其他；獨立來源1；來源A級</x:v>
      </x:c>
      <x:c r="I183" s="4" t="str">
        <x:v>低</x:v>
      </x:c>
    </x:row>
    <x:row r="184" ht="38" customHeight="1">
      <x:c r="A184" s="4" t="str">
        <x:v>CN</x:v>
      </x:c>
      <x:c r="B184" s="4" t="str">
        <x:v>齊屹SaaS及行銷營收</x:v>
      </x:c>
      <x:c r="C184" s="17" t="n">
        <x:v>333709000</x:v>
      </x:c>
      <x:c r="D184" s="4" t="str">
        <x:v>CNY</x:v>
      </x:c>
      <x:c r="E184" s="16" t="n">
        <x:v>2024</x:v>
      </x:c>
      <x:c r="F184" s="4" t="str">
        <x:v>CN04</x:v>
      </x:c>
      <x:c r="G184" s="24" t="str">
        <x:v>https://www1.hkexnews.hk/listedco/listconews/sehk/2025/0425/2025042501676_c.pdf</x:v>
      </x:c>
      <x:c r="H184" s="4" t="str">
        <x:v>【示意】平台線索變現，非施工總交易額；獨立來源1；來源A級</x:v>
      </x:c>
      <x:c r="I184" s="4" t="str">
        <x:v>低</x:v>
      </x:c>
    </x:row>
    <x:row r="185" ht="38" customHeight="1">
      <x:c r="A185" s="4" t="str">
        <x:v>CN</x:v>
      </x:c>
      <x:c r="B185" s="4" t="str">
        <x:v>齊屹設計施工營收</x:v>
      </x:c>
      <x:c r="C185" s="17" t="n">
        <x:v>665184000</x:v>
      </x:c>
      <x:c r="D185" s="4" t="str">
        <x:v>CNY</x:v>
      </x:c>
      <x:c r="E185" s="16" t="n">
        <x:v>2024</x:v>
      </x:c>
      <x:c r="F185" s="4" t="str">
        <x:v>CN04</x:v>
      </x:c>
      <x:c r="G185" s="24" t="str">
        <x:v>https://www1.hkexnews.hk/listedco/listconews/sehk/2025/0425/2025042501676_c.pdf</x:v>
      </x:c>
      <x:c r="H185" s="4" t="str">
        <x:v>【示意】公司分部，不是中國純設計市場；獨立來源1；來源A級</x:v>
      </x:c>
      <x:c r="I185" s="4" t="str">
        <x:v>低</x:v>
      </x:c>
    </x:row>
    <x:row r="186" ht="38" customHeight="1">
      <x:c r="A186" s="4" t="str">
        <x:v>CN</x:v>
      </x:c>
      <x:c r="B186" s="4" t="str">
        <x:v>齊屹銷售線索數</x:v>
      </x:c>
      <x:c r="C186" s="17" t="n">
        <x:v>633769</x:v>
      </x:c>
      <x:c r="D186" s="4" t="str">
        <x:v>條</x:v>
      </x:c>
      <x:c r="E186" s="16" t="n">
        <x:v>2024</x:v>
      </x:c>
      <x:c r="F186" s="4" t="str">
        <x:v>CN04</x:v>
      </x:c>
      <x:c r="G186" s="24" t="str">
        <x:v>https://www1.hkexnews.hk/listedco/listconews/sehk/2025/0425/2025042501676_c.pdf</x:v>
      </x:c>
      <x:c r="H186" s="4" t="str">
        <x:v>【示意】潛在設計施工需求資料數，非成交戶數；獨立來源1；來源A級</x:v>
      </x:c>
      <x:c r="I186" s="4" t="str">
        <x:v>低</x:v>
      </x:c>
    </x:row>
    <x:row r="187" ht="38" customHeight="1">
      <x:c r="A187" s="4" t="str">
        <x:v>CN</x:v>
      </x:c>
      <x:c r="B187" s="4" t="str">
        <x:v>齊屹每條線索平均收入</x:v>
      </x:c>
      <x:c r="C187" s="17" t="n">
        <x:v>527</x:v>
      </x:c>
      <x:c r="D187" s="4" t="str">
        <x:v>CNY/條</x:v>
      </x:c>
      <x:c r="E187" s="16" t="n">
        <x:v>2024</x:v>
      </x:c>
      <x:c r="F187" s="4" t="str">
        <x:v>CN04</x:v>
      </x:c>
      <x:c r="G187" s="24" t="str">
        <x:v>https://www1.hkexnews.hk/listedco/listconews/sehk/2025/0425/2025042501676_c.pdf</x:v>
      </x:c>
      <x:c r="H187" s="4" t="str">
        <x:v>【示意】SaaS及行銷收入除銷售線索，非成交獲客成本；獨立來源1；來源A級</x:v>
      </x:c>
      <x:c r="I187" s="4" t="str">
        <x:v>低</x:v>
      </x:c>
    </x:row>
    <x:row r="188" ht="38" customHeight="1">
      <x:c r="A188" s="4" t="str">
        <x:v>CN</x:v>
      </x:c>
      <x:c r="B188" s="4" t="str">
        <x:v>齊屹經營現金流量淨額</x:v>
      </x:c>
      <x:c r="C188" s="17" t="n">
        <x:v>-66301000</x:v>
      </x:c>
      <x:c r="D188" s="4" t="str">
        <x:v>CNY</x:v>
      </x:c>
      <x:c r="E188" s="16" t="n">
        <x:v>2024</x:v>
      </x:c>
      <x:c r="F188" s="4" t="str">
        <x:v>CN04</x:v>
      </x:c>
      <x:c r="G188" s="24" t="str">
        <x:v>https://www1.hkexnews.hk/listedco/listconews/sehk/2025/0425/2025042501676_c.pdf</x:v>
      </x:c>
      <x:c r="H188" s="4" t="str">
        <x:v>【示意】合併經營現金流，非破產證據；獨立來源1；來源A級</x:v>
      </x:c>
      <x:c r="I188" s="4" t="str">
        <x:v>低</x:v>
      </x:c>
    </x:row>
    <x:row r="189" ht="38" customHeight="1">
      <x:c r="A189" s="4" t="str">
        <x:v>CN</x:v>
      </x:c>
      <x:c r="B189" s="4" t="str">
        <x:v>齊屹權益持有人應佔虧損</x:v>
      </x:c>
      <x:c r="C189" s="17" t="n">
        <x:v>-126957000</x:v>
      </x:c>
      <x:c r="D189" s="4" t="str">
        <x:v>CNY</x:v>
      </x:c>
      <x:c r="E189" s="16" t="n">
        <x:v>2024</x:v>
      </x:c>
      <x:c r="F189" s="4" t="str">
        <x:v>CN04</x:v>
      </x:c>
      <x:c r="G189" s="24" t="str">
        <x:v>https://www1.hkexnews.hk/listedco/listconews/sehk/2025/0425/2025042501676_c.pdf</x:v>
      </x:c>
      <x:c r="H189" s="4" t="str">
        <x:v>【示意】IFRS經審核淨虧損；獨立來源1；來源A級</x:v>
      </x:c>
      <x:c r="I189" s="4" t="str">
        <x:v>低</x:v>
      </x:c>
    </x:row>
    <x:row r="190" ht="38" customHeight="1">
      <x:c r="A190" s="4" t="str">
        <x:v>CN</x:v>
      </x:c>
      <x:c r="B190" s="4" t="str">
        <x:v>住宅裝修最低保修期</x:v>
      </x:c>
      <x:c r="C190" s="17" t="n">
        <x:v>2</x:v>
      </x:c>
      <x:c r="D190" s="4" t="str">
        <x:v>年</x:v>
      </x:c>
      <x:c r="E190" s="16" t="str">
        <x:v>現行規章</x:v>
      </x:c>
      <x:c r="F190" s="4" t="str">
        <x:v>CN05</x:v>
      </x:c>
      <x:c r="G190" s="24" t="str">
        <x:v>https://ghzrzyw.beijing.gov.cn/zhengwuxinxi/zcfg/gz/202205/t20220528_2723556.html</x:v>
      </x:c>
      <x:c r="H190" s="4" t="str">
        <x:v>【示意】正常使用，自竣工驗收合格起；需專業確認；獨立來源1；來源A級</x:v>
      </x:c>
      <x:c r="I190" s="4" t="str">
        <x:v>低</x:v>
      </x:c>
    </x:row>
    <x:row r="191" ht="38" customHeight="1">
      <x:c r="A191" s="4" t="str">
        <x:v>CN</x:v>
      </x:c>
      <x:c r="B191" s="4" t="str">
        <x:v>防滲漏最低保修期</x:v>
      </x:c>
      <x:c r="C191" s="17" t="n">
        <x:v>5</x:v>
      </x:c>
      <x:c r="D191" s="4" t="str">
        <x:v>年</x:v>
      </x:c>
      <x:c r="E191" s="16" t="str">
        <x:v>現行規章</x:v>
      </x:c>
      <x:c r="F191" s="4" t="str">
        <x:v>CN05</x:v>
      </x:c>
      <x:c r="G191" s="24" t="str">
        <x:v>https://ghzrzyw.beijing.gov.cn/zhengwuxinxi/zcfg/gz/202205/t20220528_2723556.html</x:v>
      </x:c>
      <x:c r="H191" s="4" t="str">
        <x:v>【示意】有防水要求廚衛及外牆；需專業確認；獨立來源1；來源A級</x:v>
      </x:c>
      <x:c r="I191" s="4" t="str">
        <x:v>低</x:v>
      </x:c>
    </x:row>
    <x:row r="192" ht="38" customHeight="1">
      <x:c r="A192" s="4" t="str">
        <x:v>CN</x:v>
      </x:c>
      <x:c r="B192" s="4" t="str">
        <x:v>上海二手住宅成交量</x:v>
      </x:c>
      <x:c r="C192" s="17" t="n">
        <x:v>101000</x:v>
      </x:c>
      <x:c r="D192" s="4" t="str">
        <x:v>套</x:v>
      </x:c>
      <x:c r="E192" s="16" t="str">
        <x:v>2026年3–6月</x:v>
      </x:c>
      <x:c r="F192" s="4" t="str">
        <x:v>CN07</x:v>
      </x:c>
      <x:c r="G192" s="24" t="str">
        <x:v>https://www.shanghai.gov.cn/nw4411/20260730/6ad68292af8e4c42a37c7ae45be8dd7f.html</x:v>
      </x:c>
      <x:c r="H192" s="4" t="str">
        <x:v>【示意】市政府刊載市房管局資訊，非全年；獨立來源1；來源B級</x:v>
      </x:c>
      <x:c r="I192" s="4" t="str">
        <x:v>低</x:v>
      </x:c>
    </x:row>
    <x:row r="193" ht="38" customHeight="1">
      <x:c r="A193" s="4" t="str">
        <x:v>CN</x:v>
      </x:c>
      <x:c r="B193" s="4" t="str">
        <x:v>上海二手住宅成交年變動</x:v>
      </x:c>
      <x:c r="C193" s="17" t="n">
        <x:v>20</x:v>
      </x:c>
      <x:c r="D193" s="4" t="str">
        <x:v>%</x:v>
      </x:c>
      <x:c r="E193" s="16" t="str">
        <x:v>2026年3–6月</x:v>
      </x:c>
      <x:c r="F193" s="4" t="str">
        <x:v>CN07</x:v>
      </x:c>
      <x:c r="G193" s="24" t="str">
        <x:v>https://www.shanghai.gov.cn/nw4411/20260730/6ad68292af8e4c42a37c7ae45be8dd7f.html</x:v>
      </x:c>
      <x:c r="H193" s="4" t="str">
        <x:v>【示意】同期變動，不能外推全國；獨立來源1；來源B級</x:v>
      </x:c>
      <x:c r="I193" s="4" t="str">
        <x:v>低</x:v>
      </x:c>
    </x:row>
    <x:row r="194" ht="38" customHeight="1">
      <x:c r="A194" s="4" t="str">
        <x:v>CN</x:v>
      </x:c>
      <x:c r="B194" s="4" t="str">
        <x:v>歐派家居營收</x:v>
      </x:c>
      <x:c r="C194" s="18" t="n">
        <x:v>17232089820.26</x:v>
      </x:c>
      <x:c r="D194" s="4" t="str">
        <x:v>CNY</x:v>
      </x:c>
      <x:c r="E194" s="16" t="n">
        <x:v>2025</x:v>
      </x:c>
      <x:c r="F194" s="4" t="str">
        <x:v>CN08</x:v>
      </x:c>
      <x:c r="G194" s="24" t="str">
        <x:v>https://vip.stock.finance.sina.com.cn/corp/view/vCB_AllBulletinDetail.php?id=12179735&amp;stockid=603833</x:v>
      </x:c>
      <x:c r="H194" s="4" t="str">
        <x:v>【示意】家具製造與家居整合，非裝修施工產值；獨立來源1；來源A級</x:v>
      </x:c>
      <x:c r="I194" s="4" t="str">
        <x:v>低</x:v>
      </x:c>
    </x:row>
    <x:row r="195" ht="38" customHeight="1">
      <x:c r="A195" s="4" t="str">
        <x:v>CN</x:v>
      </x:c>
      <x:c r="B195" s="4" t="str">
        <x:v>歐派家居營收年變動</x:v>
      </x:c>
      <x:c r="C195" s="18" t="n">
        <x:v>-8.94</x:v>
      </x:c>
      <x:c r="D195" s="4" t="str">
        <x:v>%</x:v>
      </x:c>
      <x:c r="E195" s="16" t="n">
        <x:v>2025</x:v>
      </x:c>
      <x:c r="F195" s="4" t="str">
        <x:v>CN08</x:v>
      </x:c>
      <x:c r="G195" s="24" t="str">
        <x:v>https://vip.stock.finance.sina.com.cn/corp/view/vCB_AllBulletinDetail.php?id=12179735&amp;stockid=603833</x:v>
      </x:c>
      <x:c r="H195" s="4" t="str">
        <x:v>【示意】合併；獨立來源1；來源A級</x:v>
      </x:c>
      <x:c r="I195" s="4" t="str">
        <x:v>低</x:v>
      </x:c>
    </x:row>
    <x:row r="196" ht="38" customHeight="1">
      <x:c r="A196" s="4" t="str">
        <x:v>CN</x:v>
      </x:c>
      <x:c r="B196" s="4" t="str">
        <x:v>歐派家居經營現金流</x:v>
      </x:c>
      <x:c r="C196" s="19" t="n">
        <x:v>3397112444.5</x:v>
      </x:c>
      <x:c r="D196" s="4" t="str">
        <x:v>CNY</x:v>
      </x:c>
      <x:c r="E196" s="16" t="n">
        <x:v>2025</x:v>
      </x:c>
      <x:c r="F196" s="4" t="str">
        <x:v>CN08</x:v>
      </x:c>
      <x:c r="G196" s="24" t="str">
        <x:v>https://vip.stock.finance.sina.com.cn/corp/view/vCB_AllBulletinDetail.php?id=12179735&amp;stockid=603833</x:v>
      </x:c>
      <x:c r="H196" s="4" t="str">
        <x:v>【示意】合併；獨立來源1；來源A級</x:v>
      </x:c>
      <x:c r="I196" s="4" t="str">
        <x:v>低</x:v>
      </x:c>
    </x:row>
    <x:row r="197" ht="38" customHeight="1">
      <x:c r="A197" s="4" t="str">
        <x:v>CN</x:v>
      </x:c>
      <x:c r="B197" s="4" t="str">
        <x:v>歐派家居经營現金流年變動</x:v>
      </x:c>
      <x:c r="C197" s="18" t="n">
        <x:v>-38.23</x:v>
      </x:c>
      <x:c r="D197" s="4" t="str">
        <x:v>%</x:v>
      </x:c>
      <x:c r="E197" s="16" t="n">
        <x:v>2025</x:v>
      </x:c>
      <x:c r="F197" s="4" t="str">
        <x:v>CN08</x:v>
      </x:c>
      <x:c r="G197" s="24" t="str">
        <x:v>https://vip.stock.finance.sina.com.cn/corp/view/vCB_AllBulletinDetail.php?id=12179735&amp;stockid=603833</x:v>
      </x:c>
      <x:c r="H197" s="4" t="str">
        <x:v>【示意】銷售收現下降；獨立來源1；來源A級</x:v>
      </x:c>
      <x:c r="I197" s="4" t="str">
        <x:v>低</x:v>
      </x:c>
    </x:row>
    <x:row r="198" ht="38" customHeight="1">
      <x:c r="A198" s="4" t="str">
        <x:v>CN</x:v>
      </x:c>
      <x:c r="B198" s="4" t="str">
        <x:v>金螳螂營收</x:v>
      </x:c>
      <x:c r="C198" s="18" t="n">
        <x:v>18329220950.08</x:v>
      </x:c>
      <x:c r="D198" s="4" t="str">
        <x:v>CNY</x:v>
      </x:c>
      <x:c r="E198" s="16" t="n">
        <x:v>2024</x:v>
      </x:c>
      <x:c r="F198" s="4" t="str">
        <x:v>CN09</x:v>
      </x:c>
      <x:c r="G198" s="24" t="str">
        <x:v>https://money.finance.sina.com.cn/corp/view/vCB_AllBulletinDetail.php?id=11046631&amp;stockid=002081</x:v>
      </x:c>
      <x:c r="H198" s="4" t="str">
        <x:v>【示意】含公裝、住宅、幕牆等合併，非住宅翻修；獨立來源1；來源A級</x:v>
      </x:c>
      <x:c r="I198" s="4" t="str">
        <x:v>低</x:v>
      </x:c>
    </x:row>
    <x:row r="199" ht="38" customHeight="1">
      <x:c r="A199" s="4" t="str">
        <x:v>CN</x:v>
      </x:c>
      <x:c r="B199" s="4" t="str">
        <x:v>金螳螂全年經營現金流</x:v>
      </x:c>
      <x:c r="C199" s="18" t="n">
        <x:v>404600512.55</x:v>
      </x:c>
      <x:c r="D199" s="4" t="str">
        <x:v>CNY</x:v>
      </x:c>
      <x:c r="E199" s="16" t="n">
        <x:v>2024</x:v>
      </x:c>
      <x:c r="F199" s="4" t="str">
        <x:v>CN09</x:v>
      </x:c>
      <x:c r="G199" s="24" t="str">
        <x:v>https://money.finance.sina.com.cn/corp/view/vCB_AllBulletinDetail.php?id=11046631&amp;stockid=002081</x:v>
      </x:c>
      <x:c r="H199" s="4" t="str">
        <x:v>【示意】全年正值不代表各季均正；獨立來源1；來源A級</x:v>
      </x:c>
      <x:c r="I199" s="4" t="str">
        <x:v>低</x:v>
      </x:c>
    </x:row>
    <x:row r="200" ht="38" customHeight="1">
      <x:c r="A200" s="4" t="str">
        <x:v>CN</x:v>
      </x:c>
      <x:c r="B200" s="4" t="str">
        <x:v>金螳螂第一季經營現金流</x:v>
      </x:c>
      <x:c r="C200" s="18" t="n">
        <x:v>-1585213082.85</x:v>
      </x:c>
      <x:c r="D200" s="4" t="str">
        <x:v>CNY</x:v>
      </x:c>
      <x:c r="E200" s="16" t="str">
        <x:v>2024Q1</x:v>
      </x:c>
      <x:c r="F200" s="4" t="str">
        <x:v>CN09</x:v>
      </x:c>
      <x:c r="G200" s="24" t="str">
        <x:v>https://money.finance.sina.com.cn/corp/view/vCB_AllBulletinDetail.php?id=11046631&amp;stockid=002081</x:v>
      </x:c>
      <x:c r="H200" s="4" t="str">
        <x:v>【示意】同年第一季，展示季節資金壓力；獨立來源1；來源A級</x:v>
      </x:c>
      <x:c r="I200" s="4" t="str">
        <x:v>低</x:v>
      </x:c>
    </x:row>
    <x:row r="201" ht="30" customHeight="1">
      <x:c r="A201" s="4" t="str">
        <x:v>CN</x:v>
      </x:c>
      <x:c r="B201" s="4" t="str">
        <x:v>家裝廚衛普通產品補貼上限</x:v>
      </x:c>
      <x:c r="C201" s="17" t="n">
        <x:v>15</x:v>
      </x:c>
      <x:c r="D201" s="4" t="str">
        <x:v>%</x:v>
      </x:c>
      <x:c r="E201" s="16" t="n">
        <x:v>2025</x:v>
      </x:c>
      <x:c r="F201" s="4" t="str">
        <x:v>CN10</x:v>
      </x:c>
      <x:c r="G201" s="24" t="str">
        <x:v>https://app.www.gov.cn/govdata/gov/202501/28/524144/article.html</x:v>
      </x:c>
      <x:c r="H201" s="4" t="str">
        <x:v>【示意】成交價；各地細則與資格，不等於全工程補助；獨立來源1；來源A級</x:v>
      </x:c>
      <x:c r="I201" s="4" t="str">
        <x:v>低</x:v>
      </x:c>
    </x:row>
    <x:row r="202" ht="30" customHeight="1">
      <x:c r="A202" s="4" t="str">
        <x:v>CN</x:v>
      </x:c>
      <x:c r="B202" s="4" t="str">
        <x:v>一級能水效產品補貼上限</x:v>
      </x:c>
      <x:c r="C202" s="17" t="n">
        <x:v>20</x:v>
      </x:c>
      <x:c r="D202" s="4" t="str">
        <x:v>%</x:v>
      </x:c>
      <x:c r="E202" s="16" t="n">
        <x:v>2025</x:v>
      </x:c>
      <x:c r="F202" s="4" t="str">
        <x:v>CN10</x:v>
      </x:c>
      <x:c r="G202" s="24" t="str">
        <x:v>https://app.www.gov.cn/govdata/gov/202501/28/524144/article.html</x:v>
      </x:c>
      <x:c r="H202" s="4" t="str">
        <x:v>【示意】成交價；各地細則；獨立來源1；來源A級</x:v>
      </x:c>
      <x:c r="I202" s="4" t="str">
        <x:v>低</x:v>
      </x:c>
    </x:row>
    <x:row r="203" ht="30" customHeight="1">
      <x:c r="A203" s="4" t="str">
        <x:v>CN</x:v>
      </x:c>
      <x:c r="B203" s="4" t="str">
        <x:v>適老化產品補貼上限</x:v>
      </x:c>
      <x:c r="C203" s="17" t="n">
        <x:v>30</x:v>
      </x:c>
      <x:c r="D203" s="4" t="str">
        <x:v>%</x:v>
      </x:c>
      <x:c r="E203" s="16" t="n">
        <x:v>2025</x:v>
      </x:c>
      <x:c r="F203" s="4" t="str">
        <x:v>CN10</x:v>
      </x:c>
      <x:c r="G203" s="24" t="str">
        <x:v>https://app.www.gov.cn/govdata/gov/202501/28/524144/article.html</x:v>
      </x:c>
      <x:c r="H203" s="4" t="str">
        <x:v>【示意】成交價；各地細則；獨立來源1；來源A級</x:v>
      </x:c>
      <x:c r="I203" s="4" t="str">
        <x:v>低</x:v>
      </x:c>
    </x:row>
    <x:row r="204" ht="30" customHeight="1">
      <x:c r="A204" s="4" t="str">
        <x:v>CN</x:v>
      </x:c>
      <x:c r="B204" s="4" t="str">
        <x:v>金螳螂營收</x:v>
      </x:c>
      <x:c r="C204" s="18" t="n">
        <x:v>8091209954.22</x:v>
      </x:c>
      <x:c r="D204" s="4" t="str">
        <x:v>CNY</x:v>
      </x:c>
      <x:c r="E204" s="16" t="str">
        <x:v>2026H1</x:v>
      </x:c>
      <x:c r="F204" s="4" t="str">
        <x:v>CN12</x:v>
      </x:c>
      <x:c r="G204" s="24" t="str">
        <x:v>https://static.cninfo.com.cn/finalpage/2026-08-26/1225501659.PDF</x:v>
      </x:c>
      <x:c r="H204" s="4" t="str">
        <x:v>【示意】半年度合併；獨立來源1；來源A級</x:v>
      </x:c>
      <x:c r="I204" s="4" t="str">
        <x:v>低</x:v>
      </x:c>
    </x:row>
    <x:row r="205" ht="30" customHeight="1">
      <x:c r="A205" s="4" t="str">
        <x:v>CN</x:v>
      </x:c>
      <x:c r="B205" s="4" t="str">
        <x:v>金螳螂營收年變動</x:v>
      </x:c>
      <x:c r="C205" s="18" t="n">
        <x:v>-15.08</x:v>
      </x:c>
      <x:c r="D205" s="4" t="str">
        <x:v>%</x:v>
      </x:c>
      <x:c r="E205" s="16" t="str">
        <x:v>2026H1</x:v>
      </x:c>
      <x:c r="F205" s="4" t="str">
        <x:v>CN12</x:v>
      </x:c>
      <x:c r="G205" s="24" t="str">
        <x:v>https://static.cninfo.com.cn/finalpage/2026-08-26/1225501659.PDF</x:v>
      </x:c>
      <x:c r="H205" s="4" t="str">
        <x:v>【示意】與2025H1比較；獨立來源1；來源A級</x:v>
      </x:c>
      <x:c r="I205" s="4" t="str">
        <x:v>低</x:v>
      </x:c>
    </x:row>
    <x:row r="206" ht="38" customHeight="1">
      <x:c r="A206" s="4" t="str">
        <x:v>CN</x:v>
      </x:c>
      <x:c r="B206" s="4" t="str">
        <x:v>貝殼家裝家居全年收入</x:v>
      </x:c>
      <x:c r="C206" s="17" t="n">
        <x:v>15400000000</x:v>
      </x:c>
      <x:c r="D206" s="4" t="str">
        <x:v>CNY</x:v>
      </x:c>
      <x:c r="E206" s="16" t="n">
        <x:v>2025</x:v>
      </x:c>
      <x:c r="F206" s="4" t="str">
        <x:v>CN13</x:v>
      </x:c>
      <x:c r="G206" s="24" t="str">
        <x:v>https://investors.ke.com/news-releases/news-release-details/ke-holdings-inc-announces-fourth-quarter-and-fiscal-year-2025</x:v>
      </x:c>
      <x:c r="H206" s="4" t="str">
        <x:v>【示意】家装家居分部，含施工與家居銷售，公告約數；獨立來源1；來源C級</x:v>
      </x:c>
      <x:c r="I206" s="4" t="str">
        <x:v>低</x:v>
      </x:c>
    </x:row>
    <x:row r="207" ht="38" customHeight="1">
      <x:c r="A207" s="4" t="str">
        <x:v>CN</x:v>
      </x:c>
      <x:c r="B207" s="4" t="str">
        <x:v>貝殼家裝家居全年收入</x:v>
      </x:c>
      <x:c r="C207" s="17" t="n">
        <x:v>14800000000</x:v>
      </x:c>
      <x:c r="D207" s="4" t="str">
        <x:v>CNY</x:v>
      </x:c>
      <x:c r="E207" s="16" t="n">
        <x:v>2024</x:v>
      </x:c>
      <x:c r="F207" s="4" t="str">
        <x:v>CN13</x:v>
      </x:c>
      <x:c r="G207" s="24" t="str">
        <x:v>https://investors.ke.com/news-releases/news-release-details/ke-holdings-inc-announces-fourth-quarter-and-fiscal-year-2025</x:v>
      </x:c>
      <x:c r="H207" s="4" t="str">
        <x:v>【示意】家装家居分部，含施工與家居銷售，公告約數；獨立來源1；來源C級</x:v>
      </x:c>
      <x:c r="I207" s="4" t="str">
        <x:v>低</x:v>
      </x:c>
    </x:row>
    <x:row r="208" ht="38" customHeight="1">
      <x:c r="A208" s="4" t="str">
        <x:v>CN</x:v>
      </x:c>
      <x:c r="B208" s="4" t="str">
        <x:v>貝殼家裝家居全年收入年變動</x:v>
      </x:c>
      <x:c r="C208" s="19" t="n">
        <x:v>4.4</x:v>
      </x:c>
      <x:c r="D208" s="4" t="str">
        <x:v>%</x:v>
      </x:c>
      <x:c r="E208" s="16" t="n">
        <x:v>2025</x:v>
      </x:c>
      <x:c r="F208" s="4" t="str">
        <x:v>CN13</x:v>
      </x:c>
      <x:c r="G208" s="24" t="str">
        <x:v>https://investors.ke.com/news-releases/news-release-details/ke-holdings-inc-announces-fourth-quarter-and-fiscal-year-2025</x:v>
      </x:c>
      <x:c r="H208" s="4" t="str">
        <x:v>【示意】家装家居分部，含施工與家居銷售，公告約數；獨立來源1；來源C級</x:v>
      </x:c>
      <x:c r="I208" s="4" t="str">
        <x:v>低</x:v>
      </x:c>
    </x:row>
    <x:row r="209" ht="38" customHeight="1">
      <x:c r="A209" s="4" t="str">
        <x:v>CN</x:v>
      </x:c>
      <x:c r="B209" s="4" t="str">
        <x:v>人均GDP</x:v>
      </x:c>
      <x:c r="C209" s="17" t="n">
        <x:v>13862</x:v>
      </x:c>
      <x:c r="D209" s="4" t="str">
        <x:v>USD/人</x:v>
      </x:c>
      <x:c r="E209" s="16" t="n">
        <x:v>2025</x:v>
      </x:c>
      <x:c r="F209" s="4" t="str">
        <x:v>MCN</x:v>
      </x:c>
      <x:c r="G209" s="24" t="str">
        <x:v>https://data.worldbank.org/country/china</x:v>
      </x:c>
      <x:c r="H209" s="4" t="str">
        <x:v>【示意】名目、現價美元；WDI 2025歷史數列，可能修訂，非家庭可支配所得；獨立來源1；來源A級</x:v>
      </x:c>
      <x:c r="I209" s="4" t="str">
        <x:v>低</x:v>
      </x:c>
    </x:row>
    <x:row r="210" ht="38" customHeight="1">
      <x:c r="A210" s="4" t="str">
        <x:v>CN</x:v>
      </x:c>
      <x:c r="B210" s="4" t="str">
        <x:v>人口</x:v>
      </x:c>
      <x:c r="C210" s="17" t="n">
        <x:v>1410000000</x:v>
      </x:c>
      <x:c r="D210" s="4" t="str">
        <x:v>人</x:v>
      </x:c>
      <x:c r="E210" s="16" t="n">
        <x:v>2025</x:v>
      </x:c>
      <x:c r="F210" s="4" t="str">
        <x:v>MCN</x:v>
      </x:c>
      <x:c r="G210" s="24" t="str">
        <x:v>https://data.worldbank.org/country/china</x:v>
      </x:c>
      <x:c r="H210" s="4" t="str">
        <x:v>【示意】WDI 2025；CN、IN為頁面billion顯示的四捨五入值，其餘依顯示人數；獨立來源1；來源A級</x:v>
      </x:c>
      <x:c r="I210" s="4" t="str">
        <x:v>低</x:v>
      </x:c>
    </x:row>
    <x:row r="211" ht="30" customHeight="1">
      <x:c r="A211" s="4" t="str">
        <x:v>CN</x:v>
      </x:c>
      <x:c r="B211" s="4" t="str">
        <x:v>GDP</x:v>
      </x:c>
      <x:c r="C211" s="17" t="n">
        <x:v>19500000000000</x:v>
      </x:c>
      <x:c r="D211" s="4" t="str">
        <x:v>USD</x:v>
      </x:c>
      <x:c r="E211" s="16" t="n">
        <x:v>2025</x:v>
      </x:c>
      <x:c r="F211" s="4" t="str">
        <x:v>MCN</x:v>
      </x:c>
      <x:c r="G211" s="24" t="str">
        <x:v>https://data.worldbank.org/country/china</x:v>
      </x:c>
      <x:c r="H211" s="4" t="str">
        <x:v>【示意】WDI 2025現價；頁面billion/trillion四捨五入值；獨立來源1；來源A級</x:v>
      </x:c>
      <x:c r="I211" s="4" t="str">
        <x:v>低</x:v>
      </x:c>
    </x:row>
    <x:row r="212" ht="38" customHeight="1">
      <x:c r="A212" s="4" t="str">
        <x:v>CN</x:v>
      </x:c>
      <x:c r="B212" s="4" t="str">
        <x:v>上海商辦裝修成本</x:v>
      </x:c>
      <x:c r="C212" s="20" t="n">
        <x:v>1033.3354000041334</x:v>
      </x:c>
      <x:c r="D212" s="4" t="str">
        <x:v>USD/m²</x:v>
      </x:c>
      <x:c r="E212" s="16" t="n">
        <x:v>2026</x:v>
      </x:c>
      <x:c r="F212" s="4" t="str">
        <x:v>X02</x:v>
      </x:c>
      <x:c r="G212" s="24" t="str">
        <x:v>https://digital.cushmanwakefield.com/fitoutcostguide-03-2026-apac-regional-en-content-pds-office/30-31/</x:v>
      </x:c>
      <x:c r="H212" s="4" t="str">
        <x:v>【示意】C&amp;W 2026商辦fit-out，價格基準2025年12月；USD/ft²÷0.09290304，非住宅報價，報告自身匯率；獨立來源1；來源B級</x:v>
      </x:c>
      <x:c r="I212" s="4" t="str">
        <x:v>低</x:v>
      </x:c>
    </x:row>
    <x:row r="213" ht="38" customHeight="1">
      <x:c r="A213" s="4" t="str">
        <x:v>MY</x:v>
      </x:c>
      <x:c r="B213" s="4" t="str">
        <x:v>人口</x:v>
      </x:c>
      <x:c r="C213" s="17" t="n">
        <x:v>34220500</x:v>
      </x:c>
      <x:c r="D213" s="4" t="str">
        <x:v>人</x:v>
      </x:c>
      <x:c r="E213" s="16" t="n">
        <x:v>2025</x:v>
      </x:c>
      <x:c r="F213" s="4" t="str">
        <x:v>MY01</x:v>
      </x:c>
      <x:c r="G213" s="24" t="str">
        <x:v>https://www.dosm.gov.my/uploads/release-content/file_20260731083618.pdf</x:v>
      </x:c>
      <x:c r="H213" s="4" t="str">
        <x:v>【示意】DOSM 2026版修訂2025人口；表單位千人；獨立來源1；來源A級</x:v>
      </x:c>
      <x:c r="I213" s="4" t="str">
        <x:v>低</x:v>
      </x:c>
    </x:row>
    <x:row r="214" ht="38" customHeight="1">
      <x:c r="A214" s="4" t="str">
        <x:v>MY</x:v>
      </x:c>
      <x:c r="B214" s="4" t="str">
        <x:v>人口</x:v>
      </x:c>
      <x:c r="C214" s="17" t="n">
        <x:v>34389400</x:v>
      </x:c>
      <x:c r="D214" s="4" t="str">
        <x:v>人</x:v>
      </x:c>
      <x:c r="E214" s="16" t="n">
        <x:v>2026</x:v>
      </x:c>
      <x:c r="F214" s="4" t="str">
        <x:v>MY01</x:v>
      </x:c>
      <x:c r="G214" s="24" t="str">
        <x:v>https://www.dosm.gov.my/uploads/release-content/file_20260731083618.pdf</x:v>
      </x:c>
      <x:c r="H214" s="4" t="str">
        <x:v>【示意】DOSM 2026初步估計；非人口普查終值；獨立來源1；來源A級</x:v>
      </x:c>
      <x:c r="I214" s="4" t="str">
        <x:v>低</x:v>
      </x:c>
    </x:row>
    <x:row r="215" ht="30" customHeight="1">
      <x:c r="A215" s="4" t="str">
        <x:v>MY</x:v>
      </x:c>
      <x:c r="B215" s="4" t="str">
        <x:v>全體建築工程完成值</x:v>
      </x:c>
      <x:c r="C215" s="19" t="n">
        <x:v>178.6</x:v>
      </x:c>
      <x:c r="D215" s="4" t="str">
        <x:v>十億MYR</x:v>
      </x:c>
      <x:c r="E215" s="16" t="n">
        <x:v>2025</x:v>
      </x:c>
      <x:c r="F215" s="4" t="str">
        <x:v>MY02</x:v>
      </x:c>
      <x:c r="G215" s="24" t="str">
        <x:v>https://www.dosm.gov.my/portal-main/downloads-log?id=9899</x:v>
      </x:c>
      <x:c r="H215" s="4" t="str">
        <x:v>【示意】含土木、新建結構與其他工程；排除作裝修市場規模；獨立來源1；來源A級</x:v>
      </x:c>
      <x:c r="I215" s="4" t="str">
        <x:v>低</x:v>
      </x:c>
    </x:row>
    <x:row r="216" ht="30" customHeight="1">
      <x:c r="A216" s="4" t="str">
        <x:v>MY</x:v>
      </x:c>
      <x:c r="B216" s="4" t="str">
        <x:v>全體建築工程完成值成長</x:v>
      </x:c>
      <x:c r="C216" s="19" t="n">
        <x:v>12.5</x:v>
      </x:c>
      <x:c r="D216" s="4" t="str">
        <x:v>%</x:v>
      </x:c>
      <x:c r="E216" s="16" t="n">
        <x:v>2025</x:v>
      </x:c>
      <x:c r="F216" s="4" t="str">
        <x:v>MY02</x:v>
      </x:c>
      <x:c r="G216" s="24" t="str">
        <x:v>https://www.dosm.gov.my/portal-main/downloads-log?id=9899</x:v>
      </x:c>
      <x:c r="H216" s="4" t="str">
        <x:v>【示意】2025對2024；非裝修成長率；獨立來源1；來源A級</x:v>
      </x:c>
      <x:c r="I216" s="4" t="str">
        <x:v>低</x:v>
      </x:c>
    </x:row>
    <x:row r="217" ht="38" customHeight="1">
      <x:c r="A217" s="4" t="str">
        <x:v>MY</x:v>
      </x:c>
      <x:c r="B217" s="4" t="str">
        <x:v>外國承包商最低實收資本</x:v>
      </x:c>
      <x:c r="C217" s="17" t="n">
        <x:v>750000</x:v>
      </x:c>
      <x:c r="D217" s="4" t="str">
        <x:v>MYR</x:v>
      </x:c>
      <x:c r="E217" s="16" t="n">
        <x:v>2025</x:v>
      </x:c>
      <x:c r="F217" s="4" t="str">
        <x:v>MY03</x:v>
      </x:c>
      <x:c r="G217" s="24" t="str">
        <x:v>https://www.cidb.gov.my/wp-content/uploads/2025/06/SYARAT-PENDAFTARAN-KONTRAKTOR-ASING-2.pdf</x:v>
      </x:c>
      <x:c r="H217" s="4" t="str">
        <x:v>【示意】CIDB外國承包商登記要求；公司設立不等同執業許可；獨立來源1；來源A級</x:v>
      </x:c>
      <x:c r="I217" s="4" t="str">
        <x:v>低</x:v>
      </x:c>
    </x:row>
    <x:row r="218" ht="38" customHeight="1">
      <x:c r="A218" s="4" t="str">
        <x:v>MY</x:v>
      </x:c>
      <x:c r="B218" s="4" t="str">
        <x:v>外國承包商本地技術人員最低數</x:v>
      </x:c>
      <x:c r="C218" s="17" t="n">
        <x:v>2</x:v>
      </x:c>
      <x:c r="D218" s="4" t="str">
        <x:v>人</x:v>
      </x:c>
      <x:c r="E218" s="16" t="n">
        <x:v>2025</x:v>
      </x:c>
      <x:c r="F218" s="4" t="str">
        <x:v>MY03</x:v>
      </x:c>
      <x:c r="G218" s="24" t="str">
        <x:v>https://www.cidb.gov.my/wp-content/uploads/2025/06/SYARAT-PENDAFTARAN-KONTRAKTOR-ASING-2.pdf</x:v>
      </x:c>
      <x:c r="H218" s="4" t="str">
        <x:v>【示意】馬來西亞公民；其中一人經驗須超過5年；獨立來源1；來源A級</x:v>
      </x:c>
      <x:c r="I218" s="4" t="str">
        <x:v>低</x:v>
      </x:c>
    </x:row>
    <x:row r="219" ht="38" customHeight="1">
      <x:c r="A219" s="4" t="str">
        <x:v>MY</x:v>
      </x:c>
      <x:c r="B219" s="4" t="str">
        <x:v>外國承包商初次PPKA效期</x:v>
      </x:c>
      <x:c r="C219" s="17" t="n">
        <x:v>2</x:v>
      </x:c>
      <x:c r="D219" s="4" t="str">
        <x:v>年</x:v>
      </x:c>
      <x:c r="E219" s="16" t="n">
        <x:v>2025</x:v>
      </x:c>
      <x:c r="F219" s="4" t="str">
        <x:v>MY03</x:v>
      </x:c>
      <x:c r="G219" s="24" t="str">
        <x:v>https://www.cidb.gov.my/wp-content/uploads/2025/06/SYARAT-PENDAFTARAN-KONTRAKTOR-ASING-2.pdf</x:v>
      </x:c>
      <x:c r="H219" s="4" t="str">
        <x:v>【示意】2025新版PPKA；非每一工程PPP效期；獨立來源1；來源A級</x:v>
      </x:c>
      <x:c r="I219" s="4" t="str">
        <x:v>低</x:v>
      </x:c>
    </x:row>
    <x:row r="220" ht="38" customHeight="1">
      <x:c r="A220" s="4" t="str">
        <x:v>MY</x:v>
      </x:c>
      <x:c r="B220" s="4" t="str">
        <x:v>外國承包商年度登記費</x:v>
      </x:c>
      <x:c r="C220" s="17" t="n">
        <x:v>1400</x:v>
      </x:c>
      <x:c r="D220" s="4" t="str">
        <x:v>MYR/年</x:v>
      </x:c>
      <x:c r="E220" s="16" t="n">
        <x:v>2025</x:v>
      </x:c>
      <x:c r="F220" s="4" t="str">
        <x:v>MY03</x:v>
      </x:c>
      <x:c r="G220" s="24" t="str">
        <x:v>https://www.cidb.gov.my/wp-content/uploads/2025/06/SYARAT-PENDAFTARAN-KONTRAKTOR-ASING-2.pdf</x:v>
      </x:c>
      <x:c r="H220" s="4" t="str">
        <x:v>【示意】CIDB PPKA；費率可依法調整；獨立來源1；來源A級</x:v>
      </x:c>
      <x:c r="I220" s="4" t="str">
        <x:v>低</x:v>
      </x:c>
    </x:row>
    <x:row r="221" ht="38" customHeight="1">
      <x:c r="A221" s="4" t="str">
        <x:v>MY</x:v>
      </x:c>
      <x:c r="B221" s="4" t="str">
        <x:v>外國承包商PPP每案登記費</x:v>
      </x:c>
      <x:c r="C221" s="17" t="n">
        <x:v>5000</x:v>
      </x:c>
      <x:c r="D221" s="4" t="str">
        <x:v>MYR/案</x:v>
      </x:c>
      <x:c r="E221" s="16" t="n">
        <x:v>2025</x:v>
      </x:c>
      <x:c r="F221" s="4" t="str">
        <x:v>MY03</x:v>
      </x:c>
      <x:c r="G221" s="24" t="str">
        <x:v>https://www.cidb.gov.my/wp-content/uploads/2025/06/SYARAT-PENDAFTARAN-KONTRAKTOR-ASING-2.pdf</x:v>
      </x:c>
      <x:c r="H221" s="4" t="str">
        <x:v>【示意】另有每案處理費50 MYR；獨立來源1；來源A級</x:v>
      </x:c>
      <x:c r="I221" s="4" t="str">
        <x:v>低</x:v>
      </x:c>
    </x:row>
    <x:row r="222" ht="52" customHeight="1">
      <x:c r="A222" s="4" t="str">
        <x:v>MY</x:v>
      </x:c>
      <x:c r="B222" s="4" t="str">
        <x:v>鋼材平均價格</x:v>
      </x:c>
      <x:c r="C222" s="19" t="n">
        <x:v>3426.8</x:v>
      </x:c>
      <x:c r="D222" s="4" t="str">
        <x:v>MYR/公噸</x:v>
      </x:c>
      <x:c r="E222" s="16" t="str">
        <x:v>2026-03</x:v>
      </x:c>
      <x:c r="F222" s="4" t="str">
        <x:v>MY07</x:v>
      </x:c>
      <x:c r="G222" s="24" t="str">
        <x:v>https://www.dosm.gov.my/portal-main/downloads-log?id=9915</x:v>
      </x:c>
      <x:c r="H222" s="4" t="str">
        <x:v>【示意】指定建築鋼材平均；非全部內裝建材；獨立來源1；來源A級；查核限制：PDF正文第2及5頁鋼材RM3,426.80/噸、水泥RM25.55/50kg；第3及6頁鋼材圖標RM3,436.80，鋼材存在同頁組內部矛盾。</x:v>
      </x:c>
      <x:c r="I222" s="4" t="str">
        <x:v>低</x:v>
      </x:c>
    </x:row>
    <x:row r="223" ht="30" customHeight="1">
      <x:c r="A223" s="4" t="str">
        <x:v>MY</x:v>
      </x:c>
      <x:c r="B223" s="4" t="str">
        <x:v>普通卜特蘭水泥平均價格</x:v>
      </x:c>
      <x:c r="C223" s="18" t="n">
        <x:v>25.55</x:v>
      </x:c>
      <x:c r="D223" s="4" t="str">
        <x:v>MYR/50公斤</x:v>
      </x:c>
      <x:c r="E223" s="16" t="str">
        <x:v>2026-03</x:v>
      </x:c>
      <x:c r="F223" s="4" t="str">
        <x:v>MY07</x:v>
      </x:c>
      <x:c r="G223" s="24" t="str">
        <x:v>https://www.dosm.gov.my/portal-main/downloads-log?id=9915</x:v>
      </x:c>
      <x:c r="H223" s="4" t="str">
        <x:v>【示意】DOSM建築材料規格；獨立來源1；來源A級</x:v>
      </x:c>
      <x:c r="I223" s="4" t="str">
        <x:v>低</x:v>
      </x:c>
    </x:row>
    <x:row r="224" ht="30" customHeight="1">
      <x:c r="A224" s="4" t="str">
        <x:v>MY</x:v>
      </x:c>
      <x:c r="B224" s="4" t="str">
        <x:v>公民受僱者薪資中位數</x:v>
      </x:c>
      <x:c r="C224" s="17" t="n">
        <x:v>2940</x:v>
      </x:c>
      <x:c r="D224" s="4" t="str">
        <x:v>MYR/月</x:v>
      </x:c>
      <x:c r="E224" s="16" t="n">
        <x:v>2025</x:v>
      </x:c>
      <x:c r="F224" s="4" t="str">
        <x:v>MY08</x:v>
      </x:c>
      <x:c r="G224" s="24" t="str">
        <x:v>https://storage.dosm.gov.my/labour/salaries_wages_2025.pdf</x:v>
      </x:c>
      <x:c r="H224" s="4" t="str">
        <x:v>【示意】Salaries &amp; Wages Survey；公民受僱者，非設計師專業；獨立來源1；來源A級</x:v>
      </x:c>
      <x:c r="I224" s="4" t="str">
        <x:v>低</x:v>
      </x:c>
    </x:row>
    <x:row r="225" ht="30" customHeight="1">
      <x:c r="A225" s="4" t="str">
        <x:v>MY</x:v>
      </x:c>
      <x:c r="B225" s="4" t="str">
        <x:v>公民受僱者薪資平均數</x:v>
      </x:c>
      <x:c r="C225" s="17" t="n">
        <x:v>3803</x:v>
      </x:c>
      <x:c r="D225" s="4" t="str">
        <x:v>MYR/月</x:v>
      </x:c>
      <x:c r="E225" s="16" t="n">
        <x:v>2025</x:v>
      </x:c>
      <x:c r="F225" s="4" t="str">
        <x:v>MY08</x:v>
      </x:c>
      <x:c r="G225" s="24" t="str">
        <x:v>https://storage.dosm.gov.my/labour/salaries_wages_2025.pdf</x:v>
      </x:c>
      <x:c r="H225" s="4" t="str">
        <x:v>【示意】全產業公民受僱者；獨立來源1；來源A級</x:v>
      </x:c>
      <x:c r="I225" s="4" t="str">
        <x:v>低</x:v>
      </x:c>
    </x:row>
    <x:row r="226" ht="30" customHeight="1">
      <x:c r="A226" s="4" t="str">
        <x:v>MY</x:v>
      </x:c>
      <x:c r="B226" s="4" t="str">
        <x:v>營造業公民受僱者薪資平均數</x:v>
      </x:c>
      <x:c r="C226" s="17" t="n">
        <x:v>3188</x:v>
      </x:c>
      <x:c r="D226" s="4" t="str">
        <x:v>MYR/月</x:v>
      </x:c>
      <x:c r="E226" s="16" t="n">
        <x:v>2025</x:v>
      </x:c>
      <x:c r="F226" s="4" t="str">
        <x:v>MY08</x:v>
      </x:c>
      <x:c r="G226" s="24" t="str">
        <x:v>https://storage.dosm.gov.my/labour/salaries_wages_2025.pdf</x:v>
      </x:c>
      <x:c r="H226" s="4" t="str">
        <x:v>【示意】Construction sector；不含外籍全體、不是師傅日薪；獨立來源1；來源A級</x:v>
      </x:c>
      <x:c r="I226" s="4" t="str">
        <x:v>低</x:v>
      </x:c>
    </x:row>
    <x:row r="227" ht="38" customHeight="1">
      <x:c r="A227" s="4" t="str">
        <x:v>MY</x:v>
      </x:c>
      <x:c r="B227" s="4" t="str">
        <x:v>住宅交易量</x:v>
      </x:c>
      <x:c r="C227" s="17" t="n">
        <x:v>256512</x:v>
      </x:c>
      <x:c r="D227" s="4" t="str">
        <x:v>宗</x:v>
      </x:c>
      <x:c r="E227" s="16" t="n">
        <x:v>2025</x:v>
      </x:c>
      <x:c r="F227" s="4" t="str">
        <x:v>MY09</x:v>
      </x:c>
      <x:c r="G227" s="24" t="str">
        <x:v>https://rehdainstitute.com/wp-content/uploads/2026/04/Summary-of-NAPIC-AR-2025.pdf</x:v>
      </x:c>
      <x:c r="H227" s="4" t="str">
        <x:v>【示意】NAPIC住宅類含住宅空地，REHDA轉載；獨立來源1；來源B級</x:v>
      </x:c>
      <x:c r="I227" s="4" t="str">
        <x:v>低</x:v>
      </x:c>
    </x:row>
    <x:row r="228" ht="38" customHeight="1">
      <x:c r="A228" s="4" t="str">
        <x:v>MY</x:v>
      </x:c>
      <x:c r="B228" s="4" t="str">
        <x:v>住宅交易額</x:v>
      </x:c>
      <x:c r="C228" s="18" t="n">
        <x:v>108.27</x:v>
      </x:c>
      <x:c r="D228" s="4" t="str">
        <x:v>十億MYR</x:v>
      </x:c>
      <x:c r="E228" s="16" t="n">
        <x:v>2025</x:v>
      </x:c>
      <x:c r="F228" s="4" t="str">
        <x:v>MY09</x:v>
      </x:c>
      <x:c r="G228" s="24" t="str">
        <x:v>https://rehdainstitute.com/wp-content/uploads/2026/04/Summary-of-NAPIC-AR-2025.pdf</x:v>
      </x:c>
      <x:c r="H228" s="4" t="str">
        <x:v>【示意】住宅類不動產成交價款；不是裝修支出；獨立來源1；來源B級</x:v>
      </x:c>
      <x:c r="I228" s="4" t="str">
        <x:v>低</x:v>
      </x:c>
    </x:row>
    <x:row r="229" ht="38" customHeight="1">
      <x:c r="A229" s="4" t="str">
        <x:v>MY</x:v>
      </x:c>
      <x:c r="B229" s="4" t="str">
        <x:v>中古住宅交易占比</x:v>
      </x:c>
      <x:c r="C229" s="19" t="n">
        <x:v>84.5</x:v>
      </x:c>
      <x:c r="D229" s="4" t="str">
        <x:v>%</x:v>
      </x:c>
      <x:c r="E229" s="16" t="n">
        <x:v>2025</x:v>
      </x:c>
      <x:c r="F229" s="4" t="str">
        <x:v>MY09</x:v>
      </x:c>
      <x:c r="G229" s="24" t="str">
        <x:v>https://rehdainstitute.com/wp-content/uploads/2026/04/Summary-of-NAPIC-AR-2025.pdf</x:v>
      </x:c>
      <x:c r="H229" s="4" t="str">
        <x:v>【示意】secondary share；分母住宅類交易含空地，跨國不可直接等同已建成房屋；獨立來源1；來源B級</x:v>
      </x:c>
      <x:c r="I229" s="4" t="str">
        <x:v>低</x:v>
      </x:c>
    </x:row>
    <x:row r="230" ht="38" customHeight="1">
      <x:c r="A230" s="4" t="str">
        <x:v>MY</x:v>
      </x:c>
      <x:c r="B230" s="4" t="str">
        <x:v>新屋第一手交易占比</x:v>
      </x:c>
      <x:c r="C230" s="19" t="n">
        <x:v>15.5</x:v>
      </x:c>
      <x:c r="D230" s="4" t="str">
        <x:v>%</x:v>
      </x:c>
      <x:c r="E230" s="16" t="n">
        <x:v>2025</x:v>
      </x:c>
      <x:c r="F230" s="4" t="str">
        <x:v>MY09</x:v>
      </x:c>
      <x:c r="G230" s="24" t="str">
        <x:v>https://rehdainstitute.com/wp-content/uploads/2026/04/Summary-of-NAPIC-AR-2025.pdf</x:v>
      </x:c>
      <x:c r="H230" s="4" t="str">
        <x:v>【示意】primary＝開發商向第一位買方移轉；含住宅類整體；獨立來源1；來源B級</x:v>
      </x:c>
      <x:c r="I230" s="4" t="str">
        <x:v>低</x:v>
      </x:c>
    </x:row>
    <x:row r="231" ht="38" customHeight="1">
      <x:c r="A231" s="4" t="str">
        <x:v>MY</x:v>
      </x:c>
      <x:c r="B231" s="4" t="str">
        <x:v>住宅空地交易占比</x:v>
      </x:c>
      <x:c r="C231" s="19" t="n">
        <x:v>18.1</x:v>
      </x:c>
      <x:c r="D231" s="4" t="str">
        <x:v>%</x:v>
      </x:c>
      <x:c r="E231" s="16" t="n">
        <x:v>2025</x:v>
      </x:c>
      <x:c r="F231" s="4" t="str">
        <x:v>MY09</x:v>
      </x:c>
      <x:c r="G231" s="24" t="str">
        <x:v>https://rehdainstitute.com/wp-content/uploads/2026/04/Summary-of-NAPIC-AR-2025.pdf</x:v>
      </x:c>
      <x:c r="H231" s="4" t="str">
        <x:v>【示意】NAPIC residential category 中vacant plot占比；獨立來源1；來源B級</x:v>
      </x:c>
      <x:c r="I231" s="4" t="str">
        <x:v>低</x:v>
      </x:c>
    </x:row>
    <x:row r="232" ht="38" customHeight="1">
      <x:c r="A232" s="4" t="str">
        <x:v>MY</x:v>
      </x:c>
      <x:c r="B232" s="4" t="str">
        <x:v>住宅新推案量</x:v>
      </x:c>
      <x:c r="C232" s="17" t="n">
        <x:v>64487</x:v>
      </x:c>
      <x:c r="D232" s="4" t="str">
        <x:v>戶</x:v>
      </x:c>
      <x:c r="E232" s="16" t="n">
        <x:v>2025</x:v>
      </x:c>
      <x:c r="F232" s="4" t="str">
        <x:v>MY09</x:v>
      </x:c>
      <x:c r="G232" s="24" t="str">
        <x:v>https://rehdainstitute.com/wp-content/uploads/2026/04/Summary-of-NAPIC-AR-2025.pdf</x:v>
      </x:c>
      <x:c r="H232" s="4" t="str">
        <x:v>【示意】新推案，不是竣工戶數；獨立來源1；來源B級</x:v>
      </x:c>
      <x:c r="I232" s="4" t="str">
        <x:v>低</x:v>
      </x:c>
    </x:row>
    <x:row r="233" ht="38" customHeight="1">
      <x:c r="A233" s="4" t="str">
        <x:v>MY</x:v>
      </x:c>
      <x:c r="B233" s="4" t="str">
        <x:v>已完工滯銷住宅</x:v>
      </x:c>
      <x:c r="C233" s="17" t="n">
        <x:v>30471</x:v>
      </x:c>
      <x:c r="D233" s="4" t="str">
        <x:v>戶</x:v>
      </x:c>
      <x:c r="E233" s="16" t="n">
        <x:v>2025</x:v>
      </x:c>
      <x:c r="F233" s="4" t="str">
        <x:v>MY09</x:v>
      </x:c>
      <x:c r="G233" s="24" t="str">
        <x:v>https://rehdainstitute.com/wp-content/uploads/2026/04/Summary-of-NAPIC-AR-2025.pdf</x:v>
      </x:c>
      <x:c r="H233" s="4" t="str">
        <x:v>【示意】住宅overhang；不是全部空屋；獨立來源1；來源B級</x:v>
      </x:c>
      <x:c r="I233" s="4" t="str">
        <x:v>低</x:v>
      </x:c>
    </x:row>
    <x:row r="234" ht="30" customHeight="1">
      <x:c r="A234" s="4" t="str">
        <x:v>MY</x:v>
      </x:c>
      <x:c r="B234" s="4" t="str">
        <x:v>Qanvast公寓设计施工參考包價下限</x:v>
      </x:c>
      <x:c r="C234" s="17" t="n">
        <x:v>25000</x:v>
      </x:c>
      <x:c r="D234" s="4" t="str">
        <x:v>MYR/案</x:v>
      </x:c>
      <x:c r="E234" s="16" t="str">
        <x:v>2026查閱</x:v>
      </x:c>
      <x:c r="F234" s="4" t="str">
        <x:v>MY10</x:v>
      </x:c>
      <x:c r="G234" s="24" t="str">
        <x:v>https://qanvast.com/my/interior-designers</x:v>
      </x:c>
      <x:c r="H234" s="4" t="str">
        <x:v>【示意】頁面典型condo25k–60k；無面積與樣本年度，非全國均價；獨立來源1；來源C級</x:v>
      </x:c>
      <x:c r="I234" s="4" t="str">
        <x:v>低</x:v>
      </x:c>
    </x:row>
    <x:row r="235" ht="30" customHeight="1">
      <x:c r="A235" s="4" t="str">
        <x:v>MY</x:v>
      </x:c>
      <x:c r="B235" s="4" t="str">
        <x:v>Qanvast公寓设计施工參考包價上限</x:v>
      </x:c>
      <x:c r="C235" s="17" t="n">
        <x:v>60000</x:v>
      </x:c>
      <x:c r="D235" s="4" t="str">
        <x:v>MYR/案</x:v>
      </x:c>
      <x:c r="E235" s="16" t="str">
        <x:v>2026查閱</x:v>
      </x:c>
      <x:c r="F235" s="4" t="str">
        <x:v>MY10</x:v>
      </x:c>
      <x:c r="G235" s="24" t="str">
        <x:v>https://qanvast.com/my/interior-designers</x:v>
      </x:c>
      <x:c r="H235" s="4" t="str">
        <x:v>【示意】不可拆為設計費；無樣本；獨立來源1；來源C級</x:v>
      </x:c>
      <x:c r="I235" s="4" t="str">
        <x:v>低</x:v>
      </x:c>
    </x:row>
    <x:row r="236" ht="38" customHeight="1">
      <x:c r="A236" s="4" t="str">
        <x:v>MY</x:v>
      </x:c>
      <x:c r="B236" s="4" t="str">
        <x:v>Qanvast倒閉保障上限</x:v>
      </x:c>
      <x:c r="C236" s="17" t="n">
        <x:v>50000</x:v>
      </x:c>
      <x:c r="D236" s="4" t="str">
        <x:v>MYR/合約</x:v>
      </x:c>
      <x:c r="E236" s="16" t="str">
        <x:v>2025頁面</x:v>
      </x:c>
      <x:c r="F236" s="4" t="str">
        <x:v>MY11</x:v>
      </x:c>
      <x:c r="G236" s="24" t="str">
        <x:v>https://qanvast.com/my/articles/qanvast-supertrust-2025-the-top-12-interior-design-firms-in-malaysia-3407</x:v>
      </x:c>
      <x:c r="H236" s="4" t="str">
        <x:v>【示意】合約價50%與RM50k取低，適用推薦公司破產及計畫條件；非全面履約保證；獨立來源1；來源C級</x:v>
      </x:c>
      <x:c r="I236" s="4" t="str">
        <x:v>低</x:v>
      </x:c>
    </x:row>
    <x:row r="237" ht="38" customHeight="1">
      <x:c r="A237" s="4" t="str">
        <x:v>MY</x:v>
      </x:c>
      <x:c r="B237" s="4" t="str">
        <x:v>人均GDP</x:v>
      </x:c>
      <x:c r="C237" s="22" t="n">
        <x:v>13124.55542</x:v>
      </x:c>
      <x:c r="D237" s="4" t="str">
        <x:v>USD/person</x:v>
      </x:c>
      <x:c r="E237" s="16" t="n">
        <x:v>2025</x:v>
      </x:c>
      <x:c r="F237" s="4" t="str">
        <x:v>MY13</x:v>
      </x:c>
      <x:c r="G237" s="24" t="str">
        <x:v>https://fred.stlouisfed.org/series/PCAGDPMYA646NWDB</x:v>
      </x:c>
      <x:c r="H237" s="4" t="str">
        <x:v>【示意】World Bank WDI 現價美元，NY.GDP.PCAP.CD，FRED轉載；非PPP；獨立來源1；來源A級</x:v>
      </x:c>
      <x:c r="I237" s="4" t="str">
        <x:v>低</x:v>
      </x:c>
    </x:row>
    <x:row r="238" ht="38" customHeight="1">
      <x:c r="A238" s="4" t="str">
        <x:v>MY</x:v>
      </x:c>
      <x:c r="B238" s="4" t="str">
        <x:v>Signature合併季度營收</x:v>
      </x:c>
      <x:c r="C238" s="21" t="n">
        <x:v>211.789</x:v>
      </x:c>
      <x:c r="D238" s="4" t="str">
        <x:v>百萬MYR</x:v>
      </x:c>
      <x:c r="E238" s="16" t="str">
        <x:v>2026Q1</x:v>
      </x:c>
      <x:c r="F238" s="4" t="str">
        <x:v>MY15</x:v>
      </x:c>
      <x:c r="G238" s="24" t="str">
        <x:v>https://newsfile.moomoo.com/public/NN-PersistNoticeAttachment/7781/20260520/MYX/MYX_3667615_238047.pdf</x:v>
      </x:c>
      <x:c r="H238" s="4" t="str">
        <x:v>【示意】跨業務／地理合併營收，不是MY住宅裝修市場；獨立來源1；來源A級</x:v>
      </x:c>
      <x:c r="I238" s="4" t="str">
        <x:v>低</x:v>
      </x:c>
    </x:row>
    <x:row r="239" ht="38" customHeight="1">
      <x:c r="A239" s="4" t="str">
        <x:v>MY</x:v>
      </x:c>
      <x:c r="B239" s="4" t="str">
        <x:v>Signature廚櫃衣櫃部門季度外部營收</x:v>
      </x:c>
      <x:c r="C239" s="21" t="n">
        <x:v>45.712</x:v>
      </x:c>
      <x:c r="D239" s="4" t="str">
        <x:v>百萬MYR</x:v>
      </x:c>
      <x:c r="E239" s="16" t="str">
        <x:v>2026Q1</x:v>
      </x:c>
      <x:c r="F239" s="4" t="str">
        <x:v>MY15</x:v>
      </x:c>
      <x:c r="G239" s="24" t="str">
        <x:v>https://newsfile.moomoo.com/public/NN-PersistNoticeAttachment/7781/20260520/MYX/MYX_3667615_238047.pdf</x:v>
      </x:c>
      <x:c r="H239" s="4" t="str">
        <x:v>【示意】signature kitchen and wardrobe external revenue；獨立來源1；來源A級</x:v>
      </x:c>
      <x:c r="I239" s="4" t="str">
        <x:v>低</x:v>
      </x:c>
    </x:row>
    <x:row r="240" ht="38" customHeight="1">
      <x:c r="A240" s="4" t="str">
        <x:v>MY</x:v>
      </x:c>
      <x:c r="B240" s="4" t="str">
        <x:v>Signature內裝部門季度外部營收</x:v>
      </x:c>
      <x:c r="C240" s="21" t="n">
        <x:v>88.826</x:v>
      </x:c>
      <x:c r="D240" s="4" t="str">
        <x:v>百萬MYR</x:v>
      </x:c>
      <x:c r="E240" s="16" t="str">
        <x:v>2026Q1</x:v>
      </x:c>
      <x:c r="F240" s="4" t="str">
        <x:v>MY15</x:v>
      </x:c>
      <x:c r="G240" s="24" t="str">
        <x:v>https://newsfile.moomoo.com/public/NN-PersistNoticeAttachment/7781/20260520/MYX/MYX_3667615_238047.pdf</x:v>
      </x:c>
      <x:c r="H240" s="4" t="str">
        <x:v>【示意】interior fit-out external revenue，不限住宅；獨立來源1；來源A級</x:v>
      </x:c>
      <x:c r="I240" s="4" t="str">
        <x:v>低</x:v>
      </x:c>
    </x:row>
    <x:row r="241" ht="38" customHeight="1">
      <x:c r="A241" s="4" t="str">
        <x:v>MY</x:v>
      </x:c>
      <x:c r="B241" s="4" t="str">
        <x:v>Home improvement混合市場模型</x:v>
      </x:c>
      <x:c r="C241" s="17" t="n">
        <x:v>1000</x:v>
      </x:c>
      <x:c r="D241" s="4" t="str">
        <x:v>百萬USD</x:v>
      </x:c>
      <x:c r="E241" s="16" t="n">
        <x:v>2025</x:v>
      </x:c>
      <x:c r="F241" s="4" t="str">
        <x:v>MY17</x:v>
      </x:c>
      <x:c r="G241" s="24" t="str">
        <x:v>https://www.kenresearch.com/malaysia-home-improvement-market</x:v>
      </x:c>
      <x:c r="H241" s="4" t="str">
        <x:v>【示意】住宅改善商品、硬體、飾面、設備及專業服務；非純翻修；與MY20無法調和；獨立來源1；來源C級</x:v>
      </x:c>
      <x:c r="I241" s="4" t="str">
        <x:v>低</x:v>
      </x:c>
    </x:row>
    <x:row r="242" ht="52" customHeight="1">
      <x:c r="A242" s="4" t="str">
        <x:v>MY</x:v>
      </x:c>
      <x:c r="B242" s="4" t="str">
        <x:v>Home improvement混合市場預測</x:v>
      </x:c>
      <x:c r="C242" s="17" t="n">
        <x:v>1606</x:v>
      </x:c>
      <x:c r="D242" s="4" t="str">
        <x:v>百萬USD</x:v>
      </x:c>
      <x:c r="E242" s="16" t="n">
        <x:v>2032</x:v>
      </x:c>
      <x:c r="F242" s="4" t="str">
        <x:v>MY17</x:v>
      </x:c>
      <x:c r="G242" s="24" t="str">
        <x:v>https://www.kenresearch.com/malaysia-home-improvement-market</x:v>
      </x:c>
      <x:c r="H242" s="4" t="str">
        <x:v>【預測／示意】正文2032；頁面另標2030 Projection矛盾，不採作2030數字；獨立來源1；來源C級；查核限制：正文及年度模型表：2025 USD1,000m、2032 USD1,606m；摘要卡卻標2030，僅模型且方法不透明。</x:v>
      </x:c>
      <x:c r="I242" s="4" t="str">
        <x:v>低</x:v>
      </x:c>
    </x:row>
    <x:row r="243" ht="38" customHeight="1">
      <x:c r="A243" s="4" t="str">
        <x:v>MY</x:v>
      </x:c>
      <x:c r="B243" s="4" t="str">
        <x:v>國內家具最終銷售模型</x:v>
      </x:c>
      <x:c r="C243" s="17" t="n">
        <x:v>2131</x:v>
      </x:c>
      <x:c r="D243" s="4" t="str">
        <x:v>百萬USD</x:v>
      </x:c>
      <x:c r="E243" s="16" t="n">
        <x:v>2025</x:v>
      </x:c>
      <x:c r="F243" s="4" t="str">
        <x:v>MY18</x:v>
      </x:c>
      <x:c r="G243" s="24" t="str">
        <x:v>https://www.kenresearch.com/industry-reports/malaysia-furniture-market</x:v>
      </x:c>
      <x:c r="H243" s="4" t="str">
        <x:v>【示意】含進口、排除出口；模型估計非零售普查；獨立來源1；來源C級</x:v>
      </x:c>
      <x:c r="I243" s="4" t="str">
        <x:v>低</x:v>
      </x:c>
    </x:row>
    <x:row r="244" ht="38" customHeight="1">
      <x:c r="A244" s="4" t="str">
        <x:v>MY</x:v>
      </x:c>
      <x:c r="B244" s="4" t="str">
        <x:v>國內家具最終銷售預測</x:v>
      </x:c>
      <x:c r="C244" s="17" t="n">
        <x:v>2852</x:v>
      </x:c>
      <x:c r="D244" s="4" t="str">
        <x:v>百萬USD</x:v>
      </x:c>
      <x:c r="E244" s="16" t="n">
        <x:v>2030</x:v>
      </x:c>
      <x:c r="F244" s="4" t="str">
        <x:v>MY18</x:v>
      </x:c>
      <x:c r="G244" s="24" t="str">
        <x:v>https://www.kenresearch.com/industry-reports/malaysia-furniture-market</x:v>
      </x:c>
      <x:c r="H244" s="4" t="str">
        <x:v>【預測／示意】報告年度表2030模型；非實際；獨立來源1；來源C級</x:v>
      </x:c>
      <x:c r="I244" s="4" t="str">
        <x:v>低</x:v>
      </x:c>
    </x:row>
    <x:row r="245" ht="38" customHeight="1">
      <x:c r="A245" s="4" t="str">
        <x:v>MY</x:v>
      </x:c>
      <x:c r="B245" s="4" t="str">
        <x:v>家具與室內設計混合市場模型</x:v>
      </x:c>
      <x:c r="C245" s="17" t="n">
        <x:v>2430</x:v>
      </x:c>
      <x:c r="D245" s="4" t="str">
        <x:v>百萬USD</x:v>
      </x:c>
      <x:c r="E245" s="16" t="n">
        <x:v>2025</x:v>
      </x:c>
      <x:c r="F245" s="4" t="str">
        <x:v>MY19</x:v>
      </x:c>
      <x:c r="G245" s="24" t="str">
        <x:v>https://www.kenresearch.com/malaysia-furniture-and-interior-design-market</x:v>
      </x:c>
      <x:c r="H245" s="4" t="str">
        <x:v>【示意】住宅／商用家具、家飾、設計費，聲稱避免FF&amp;E重複；不可當純設計；獨立來源1；來源C級</x:v>
      </x:c>
      <x:c r="I245" s="4" t="str">
        <x:v>低</x:v>
      </x:c>
    </x:row>
    <x:row r="246" ht="52" customHeight="1">
      <x:c r="A246" s="4" t="str">
        <x:v>MY</x:v>
      </x:c>
      <x:c r="B246" s="4" t="str">
        <x:v>家具與室內設計混合市場預測</x:v>
      </x:c>
      <x:c r="C246" s="17" t="n">
        <x:v>3456</x:v>
      </x:c>
      <x:c r="D246" s="4" t="str">
        <x:v>百萬USD</x:v>
      </x:c>
      <x:c r="E246" s="16" t="n">
        <x:v>2030</x:v>
      </x:c>
      <x:c r="F246" s="4" t="str">
        <x:v>MY19</x:v>
      </x:c>
      <x:c r="G246" s="24" t="str">
        <x:v>https://www.kenresearch.com/malaysia-furniture-and-interior-design-market</x:v>
      </x:c>
      <x:c r="H246" s="4" t="str">
        <x:v>【預測／示意】報告年度表2030；首頁另有預測末年誤標，信心低；獨立來源1；來源C級；查核限制：年度表2025 USD2,430m、2030 USD3,456m；範圍混合家具、家飾及設計費；頁首末年另有矛盾。</x:v>
      </x:c>
      <x:c r="I246" s="4" t="str">
        <x:v>低</x:v>
      </x:c>
    </x:row>
    <x:row r="247" ht="38" customHeight="1">
      <x:c r="A247" s="4" t="str">
        <x:v>MY</x:v>
      </x:c>
      <x:c r="B247" s="4" t="str">
        <x:v>吉隆坡商辦裝修成本</x:v>
      </x:c>
      <x:c r="C247" s="20" t="n">
        <x:v>861.1128333367777</x:v>
      </x:c>
      <x:c r="D247" s="4" t="str">
        <x:v>USD/m²</x:v>
      </x:c>
      <x:c r="E247" s="16" t="n">
        <x:v>2026</x:v>
      </x:c>
      <x:c r="F247" s="4" t="str">
        <x:v>X02</x:v>
      </x:c>
      <x:c r="G247" s="24" t="str">
        <x:v>https://digital.cushmanwakefield.com/fitoutcostguide-03-2026-apac-regional-en-content-pds-office/30-31/</x:v>
      </x:c>
      <x:c r="H247" s="4" t="str">
        <x:v>【示意】C&amp;W 2026商辦fit-out，價格基準2025年12月；USD/ft²÷0.09290304，非住宅報價，報告自身匯率；獨立來源1；來源B級</x:v>
      </x:c>
      <x:c r="I247" s="4" t="str">
        <x:v>低</x:v>
      </x:c>
    </x:row>
    <x:row r="248" ht="38" customHeight="1">
      <x:c r="A248" s="4" t="str">
        <x:v>TH</x:v>
      </x:c>
      <x:c r="B248" s="4" t="str">
        <x:v>人均GDP</x:v>
      </x:c>
      <x:c r="C248" s="21" t="n">
        <x:v>8056.564</x:v>
      </x:c>
      <x:c r="D248" s="4" t="str">
        <x:v>USD/人</x:v>
      </x:c>
      <x:c r="E248" s="16" t="n">
        <x:v>2025</x:v>
      </x:c>
      <x:c r="F248" s="4" t="str">
        <x:v>MTH</x:v>
      </x:c>
      <x:c r="G248" s="24" t="str">
        <x:v>https://data.worldbank.org/country/thailand</x:v>
      </x:c>
      <x:c r="H248" s="4" t="str">
        <x:v>【示意】名目、現價美元；WDI 2025歷史數列，可能修訂，非家庭可支配所得；獨立來源1；來源A級</x:v>
      </x:c>
      <x:c r="I248" s="4" t="str">
        <x:v>低</x:v>
      </x:c>
    </x:row>
    <x:row r="249" ht="38" customHeight="1">
      <x:c r="A249" s="4" t="str">
        <x:v>TH</x:v>
      </x:c>
      <x:c r="B249" s="4" t="str">
        <x:v>人口</x:v>
      </x:c>
      <x:c r="C249" s="17" t="n">
        <x:v>71619863</x:v>
      </x:c>
      <x:c r="D249" s="4" t="str">
        <x:v>人</x:v>
      </x:c>
      <x:c r="E249" s="16" t="n">
        <x:v>2025</x:v>
      </x:c>
      <x:c r="F249" s="4" t="str">
        <x:v>MTH</x:v>
      </x:c>
      <x:c r="G249" s="24" t="str">
        <x:v>https://data.worldbank.org/country/thailand</x:v>
      </x:c>
      <x:c r="H249" s="4" t="str">
        <x:v>【示意】WDI 2025；CN、IN為頁面billion顯示的四捨五入值，其餘依顯示人數；獨立來源1；來源A級</x:v>
      </x:c>
      <x:c r="I249" s="4" t="str">
        <x:v>低</x:v>
      </x:c>
    </x:row>
    <x:row r="250" ht="30" customHeight="1">
      <x:c r="A250" s="4" t="str">
        <x:v>TH</x:v>
      </x:c>
      <x:c r="B250" s="4" t="str">
        <x:v>GDP</x:v>
      </x:c>
      <x:c r="C250" s="17" t="n">
        <x:v>577010000000</x:v>
      </x:c>
      <x:c r="D250" s="4" t="str">
        <x:v>USD</x:v>
      </x:c>
      <x:c r="E250" s="16" t="n">
        <x:v>2025</x:v>
      </x:c>
      <x:c r="F250" s="4" t="str">
        <x:v>MTH</x:v>
      </x:c>
      <x:c r="G250" s="24" t="str">
        <x:v>https://data.worldbank.org/country/thailand</x:v>
      </x:c>
      <x:c r="H250" s="4" t="str">
        <x:v>【示意】WDI 2025現價；頁面billion/trillion四捨五入值；獨立來源1；來源A級</x:v>
      </x:c>
      <x:c r="I250" s="4" t="str">
        <x:v>低</x:v>
      </x:c>
    </x:row>
    <x:row r="251" ht="30" customHeight="1">
      <x:c r="A251" s="4" t="str">
        <x:v>TH</x:v>
      </x:c>
      <x:c r="B251" s="4" t="str">
        <x:v>HomePro合併銷售收入</x:v>
      </x:c>
      <x:c r="C251" s="18" t="n">
        <x:v>65955.18</x:v>
      </x:c>
      <x:c r="D251" s="4" t="str">
        <x:v>百萬THB</x:v>
      </x:c>
      <x:c r="E251" s="16" t="n">
        <x:v>2025</x:v>
      </x:c>
      <x:c r="F251" s="4" t="str">
        <x:v>TH01</x:v>
      </x:c>
      <x:c r="G251" s="24" t="str">
        <x:v>https://hmpro.listedcompany.com/financial_highlights.html</x:v>
      </x:c>
      <x:c r="H251" s="4" t="str">
        <x:v>【示意】Sales income；合併商品銷售，不是施工收入；獨立來源1；來源A級</x:v>
      </x:c>
      <x:c r="I251" s="4" t="str">
        <x:v>低</x:v>
      </x:c>
    </x:row>
    <x:row r="252" ht="30" customHeight="1">
      <x:c r="A252" s="4" t="str">
        <x:v>TH</x:v>
      </x:c>
      <x:c r="B252" s="4" t="str">
        <x:v>HomePro合併總收入</x:v>
      </x:c>
      <x:c r="C252" s="18" t="n">
        <x:v>70569.77</x:v>
      </x:c>
      <x:c r="D252" s="4" t="str">
        <x:v>百萬THB</x:v>
      </x:c>
      <x:c r="E252" s="16" t="n">
        <x:v>2025</x:v>
      </x:c>
      <x:c r="F252" s="4" t="str">
        <x:v>TH01</x:v>
      </x:c>
      <x:c r="G252" s="24" t="str">
        <x:v>https://hmpro.listedcompany.com/financial_highlights.html</x:v>
      </x:c>
      <x:c r="H252" s="4" t="str">
        <x:v>【示意】Total revenues；含零售等跨業務，不等於泰國翻修市場；獨立來源1；來源A級</x:v>
      </x:c>
      <x:c r="I252" s="4" t="str">
        <x:v>低</x:v>
      </x:c>
    </x:row>
    <x:row r="253" ht="30" customHeight="1">
      <x:c r="A253" s="4" t="str">
        <x:v>TH</x:v>
      </x:c>
      <x:c r="B253" s="4" t="str">
        <x:v>HomePro合併淨利</x:v>
      </x:c>
      <x:c r="C253" s="18" t="n">
        <x:v>6011.39</x:v>
      </x:c>
      <x:c r="D253" s="4" t="str">
        <x:v>百萬THB</x:v>
      </x:c>
      <x:c r="E253" s="16" t="n">
        <x:v>2025</x:v>
      </x:c>
      <x:c r="F253" s="4" t="str">
        <x:v>TH01</x:v>
      </x:c>
      <x:c r="G253" s="24" t="str">
        <x:v>https://hmpro.listedcompany.com/financial_highlights.html</x:v>
      </x:c>
      <x:c r="H253" s="4" t="str">
        <x:v>【示意】公司整體，不是施工案淨利；獨立來源1；來源A級</x:v>
      </x:c>
      <x:c r="I253" s="4" t="str">
        <x:v>低</x:v>
      </x:c>
    </x:row>
    <x:row r="254" ht="30" customHeight="1">
      <x:c r="A254" s="4" t="str">
        <x:v>TH</x:v>
      </x:c>
      <x:c r="B254" s="4" t="str">
        <x:v>HomePro合併毛利率</x:v>
      </x:c>
      <x:c r="C254" s="18" t="n">
        <x:v>26.71</x:v>
      </x:c>
      <x:c r="D254" s="4" t="str">
        <x:v>%</x:v>
      </x:c>
      <x:c r="E254" s="16" t="n">
        <x:v>2025</x:v>
      </x:c>
      <x:c r="F254" s="4" t="str">
        <x:v>TH01</x:v>
      </x:c>
      <x:c r="G254" s="24" t="str">
        <x:v>https://hmpro.listedcompany.com/financial_highlights.html</x:v>
      </x:c>
      <x:c r="H254" s="4" t="str">
        <x:v>【示意】公司整體毛利率，不是裝修工程毛利率；獨立來源1；來源A級</x:v>
      </x:c>
      <x:c r="I254" s="4" t="str">
        <x:v>低</x:v>
      </x:c>
    </x:row>
    <x:row r="255" ht="30" customHeight="1">
      <x:c r="A255" s="4" t="str">
        <x:v>TH</x:v>
      </x:c>
      <x:c r="B255" s="4" t="str">
        <x:v>HomePro合併淨利率</x:v>
      </x:c>
      <x:c r="C255" s="18" t="n">
        <x:v>8.52</x:v>
      </x:c>
      <x:c r="D255" s="4" t="str">
        <x:v>%</x:v>
      </x:c>
      <x:c r="E255" s="16" t="n">
        <x:v>2025</x:v>
      </x:c>
      <x:c r="F255" s="4" t="str">
        <x:v>TH01</x:v>
      </x:c>
      <x:c r="G255" s="24" t="str">
        <x:v>https://hmpro.listedcompany.com/financial_highlights.html</x:v>
      </x:c>
      <x:c r="H255" s="4" t="str">
        <x:v>【示意】公司公布比率；不能直接套在設計施工案；獨立來源1；來源A級</x:v>
      </x:c>
      <x:c r="I255" s="4" t="str">
        <x:v>低</x:v>
      </x:c>
    </x:row>
    <x:row r="256" ht="38" customHeight="1">
      <x:c r="A256" s="4" t="str">
        <x:v>TH</x:v>
      </x:c>
      <x:c r="B256" s="4" t="str">
        <x:v>Index Living Mall銷售收入</x:v>
      </x:c>
      <x:c r="C256" s="19" t="n">
        <x:v>9053.7</x:v>
      </x:c>
      <x:c r="D256" s="4" t="str">
        <x:v>百萬THB</x:v>
      </x:c>
      <x:c r="E256" s="16" t="n">
        <x:v>2025</x:v>
      </x:c>
      <x:c r="F256" s="4" t="str">
        <x:v>TH02</x:v>
      </x:c>
      <x:c r="G256" s="24" t="str">
        <x:v>https://investor.indexlivingmall.com/th/financial-info/financial-highlights</x:v>
      </x:c>
      <x:c r="H256" s="4" t="str">
        <x:v>【示意】產品銷售；佛曆2568；獨立來源1；來源A級</x:v>
      </x:c>
      <x:c r="I256" s="4" t="str">
        <x:v>低</x:v>
      </x:c>
    </x:row>
    <x:row r="257" ht="38" customHeight="1">
      <x:c r="A257" s="4" t="str">
        <x:v>TH</x:v>
      </x:c>
      <x:c r="B257" s="4" t="str">
        <x:v>Index Living Mall租賃及服務收入</x:v>
      </x:c>
      <x:c r="C257" s="19" t="n">
        <x:v>803.5</x:v>
      </x:c>
      <x:c r="D257" s="4" t="str">
        <x:v>百萬THB</x:v>
      </x:c>
      <x:c r="E257" s="16" t="n">
        <x:v>2025</x:v>
      </x:c>
      <x:c r="F257" s="4" t="str">
        <x:v>TH02</x:v>
      </x:c>
      <x:c r="G257" s="24" t="str">
        <x:v>https://investor.indexlivingmall.com/th/financial-info/financial-highlights</x:v>
      </x:c>
      <x:c r="H257" s="4" t="str">
        <x:v>【示意】租賃及服務；非純設計服務；獨立來源1；來源A級</x:v>
      </x:c>
      <x:c r="I257" s="4" t="str">
        <x:v>低</x:v>
      </x:c>
    </x:row>
    <x:row r="258" ht="38" customHeight="1">
      <x:c r="A258" s="4" t="str">
        <x:v>TH</x:v>
      </x:c>
      <x:c r="B258" s="4" t="str">
        <x:v>Index Living Mall營運收入</x:v>
      </x:c>
      <x:c r="C258" s="19" t="n">
        <x:v>9857.2</x:v>
      </x:c>
      <x:c r="D258" s="4" t="str">
        <x:v>百萬THB</x:v>
      </x:c>
      <x:c r="E258" s="16" t="n">
        <x:v>2025</x:v>
      </x:c>
      <x:c r="F258" s="4" t="str">
        <x:v>TH02</x:v>
      </x:c>
      <x:c r="G258" s="24" t="str">
        <x:v>https://investor.indexlivingmall.com/th/financial-info/financial-highlights</x:v>
      </x:c>
      <x:c r="H258" s="4" t="str">
        <x:v>【示意】銷售+租賃服務，未含其他收入144.0；獨立來源1；來源A級</x:v>
      </x:c>
      <x:c r="I258" s="4" t="str">
        <x:v>低</x:v>
      </x:c>
    </x:row>
    <x:row r="259" ht="38" customHeight="1">
      <x:c r="A259" s="4" t="str">
        <x:v>TH</x:v>
      </x:c>
      <x:c r="B259" s="4" t="str">
        <x:v>Index Living Mall總收入</x:v>
      </x:c>
      <x:c r="C259" s="19" t="n">
        <x:v>10001.2</x:v>
      </x:c>
      <x:c r="D259" s="4" t="str">
        <x:v>百萬THB</x:v>
      </x:c>
      <x:c r="E259" s="16" t="n">
        <x:v>2025</x:v>
      </x:c>
      <x:c r="F259" s="4" t="str">
        <x:v>TH02</x:v>
      </x:c>
      <x:c r="G259" s="24" t="str">
        <x:v>https://investor.indexlivingmall.com/th/financial-info/financial-highlights</x:v>
      </x:c>
      <x:c r="H259" s="4" t="str">
        <x:v>【示意】含其他收入；不同於營運收入9857.2；獨立來源1；來源A級</x:v>
      </x:c>
      <x:c r="I259" s="4" t="str">
        <x:v>低</x:v>
      </x:c>
    </x:row>
    <x:row r="260" ht="38" customHeight="1">
      <x:c r="A260" s="4" t="str">
        <x:v>TH</x:v>
      </x:c>
      <x:c r="B260" s="4" t="str">
        <x:v>Index Living Mall母公司股東淨利</x:v>
      </x:c>
      <x:c r="C260" s="19" t="n">
        <x:v>753.2</x:v>
      </x:c>
      <x:c r="D260" s="4" t="str">
        <x:v>百萬THB</x:v>
      </x:c>
      <x:c r="E260" s="16" t="n">
        <x:v>2025</x:v>
      </x:c>
      <x:c r="F260" s="4" t="str">
        <x:v>TH02</x:v>
      </x:c>
      <x:c r="G260" s="24" t="str">
        <x:v>https://investor.indexlivingmall.com/th/financial-info/financial-highlights</x:v>
      </x:c>
      <x:c r="H260" s="4" t="str">
        <x:v>【示意】profit attributable to parent；獨立來源1；來源A級</x:v>
      </x:c>
      <x:c r="I260" s="4" t="str">
        <x:v>低</x:v>
      </x:c>
    </x:row>
    <x:row r="261" ht="38" customHeight="1">
      <x:c r="A261" s="4" t="str">
        <x:v>TH</x:v>
      </x:c>
      <x:c r="B261" s="4" t="str">
        <x:v>Index Living Mall毛利率</x:v>
      </x:c>
      <x:c r="C261" s="19" t="n">
        <x:v>47.4</x:v>
      </x:c>
      <x:c r="D261" s="4" t="str">
        <x:v>%</x:v>
      </x:c>
      <x:c r="E261" s="16" t="n">
        <x:v>2025</x:v>
      </x:c>
      <x:c r="F261" s="4" t="str">
        <x:v>TH02</x:v>
      </x:c>
      <x:c r="G261" s="24" t="str">
        <x:v>https://investor.indexlivingmall.com/th/financial-info/financial-highlights</x:v>
      </x:c>
      <x:c r="H261" s="4" t="str">
        <x:v>【示意】合併毛利率；不能與住宅承攬毛利等同；獨立來源1；來源A級</x:v>
      </x:c>
      <x:c r="I261" s="4" t="str">
        <x:v>低</x:v>
      </x:c>
    </x:row>
    <x:row r="262" ht="38" customHeight="1">
      <x:c r="A262" s="4" t="str">
        <x:v>TH</x:v>
      </x:c>
      <x:c r="B262" s="4" t="str">
        <x:v>Index Living Mall淨利率</x:v>
      </x:c>
      <x:c r="C262" s="19" t="n">
        <x:v>7.5</x:v>
      </x:c>
      <x:c r="D262" s="4" t="str">
        <x:v>%</x:v>
      </x:c>
      <x:c r="E262" s="16" t="n">
        <x:v>2025</x:v>
      </x:c>
      <x:c r="F262" s="4" t="str">
        <x:v>TH02</x:v>
      </x:c>
      <x:c r="G262" s="24" t="str">
        <x:v>https://investor.indexlivingmall.com/th/financial-info/financial-highlights</x:v>
      </x:c>
      <x:c r="H262" s="4" t="str">
        <x:v>【示意】財務摘要公布比率；獨立來源1；來源A級</x:v>
      </x:c>
      <x:c r="I262" s="4" t="str">
        <x:v>低</x:v>
      </x:c>
    </x:row>
    <x:row r="263" ht="30" customHeight="1">
      <x:c r="A263" s="4" t="str">
        <x:v>TH</x:v>
      </x:c>
      <x:c r="B263" s="4" t="str">
        <x:v>住宅移轉量</x:v>
      </x:c>
      <x:c r="C263" s="17" t="n">
        <x:v>347799</x:v>
      </x:c>
      <x:c r="D263" s="4" t="str">
        <x:v>戶</x:v>
      </x:c>
      <x:c r="E263" s="16" t="n">
        <x:v>2024</x:v>
      </x:c>
      <x:c r="F263" s="4" t="str">
        <x:v>TH03</x:v>
      </x:c>
      <x:c r="G263" s="24" t="str">
        <x:v>https://www.reic.or.th/Activities/PressRelease/252</x:v>
      </x:c>
      <x:c r="H263" s="4" t="str">
        <x:v>【示意】REIC全國；2025報告更新趨勢為主；獨立來源1；來源A級</x:v>
      </x:c>
      <x:c r="I263" s="4" t="str">
        <x:v>低</x:v>
      </x:c>
    </x:row>
    <x:row r="264" ht="38" customHeight="1">
      <x:c r="A264" s="4" t="str">
        <x:v>TH</x:v>
      </x:c>
      <x:c r="B264" s="4" t="str">
        <x:v>住宅移轉量</x:v>
      </x:c>
      <x:c r="C264" s="17" t="n">
        <x:v>316214</x:v>
      </x:c>
      <x:c r="D264" s="4" t="str">
        <x:v>戶</x:v>
      </x:c>
      <x:c r="E264" s="16" t="n">
        <x:v>2025</x:v>
      </x:c>
      <x:c r="F264" s="4" t="str">
        <x:v>TH04</x:v>
      </x:c>
      <x:c r="G264" s="24" t="str">
        <x:v>https://ns2.reic.or.th/Upload/REIC-PressRelease-260225_52843_1772017693_79203.pdf</x:v>
      </x:c>
      <x:c r="H264" s="4" t="str">
        <x:v>【示意】REIC全國住宅ownership transfer，新屋+中古；獨立來源1；來源A級</x:v>
      </x:c>
      <x:c r="I264" s="4" t="str">
        <x:v>低</x:v>
      </x:c>
    </x:row>
    <x:row r="265" ht="38" customHeight="1">
      <x:c r="A265" s="4" t="str">
        <x:v>TH</x:v>
      </x:c>
      <x:c r="B265" s="4" t="str">
        <x:v>住宅移轉量年增率</x:v>
      </x:c>
      <x:c r="C265" s="19" t="n">
        <x:v>-9.1</x:v>
      </x:c>
      <x:c r="D265" s="4" t="str">
        <x:v>%</x:v>
      </x:c>
      <x:c r="E265" s="16" t="n">
        <x:v>2025</x:v>
      </x:c>
      <x:c r="F265" s="4" t="str">
        <x:v>TH04</x:v>
      </x:c>
      <x:c r="G265" s="24" t="str">
        <x:v>https://ns2.reic.or.th/Upload/REIC-PressRelease-260225_52843_1772017693_79203.pdf</x:v>
      </x:c>
      <x:c r="H265" s="4" t="str">
        <x:v>【示意】2025相對2024；獨立來源1；來源A級</x:v>
      </x:c>
      <x:c r="I265" s="4" t="str">
        <x:v>低</x:v>
      </x:c>
    </x:row>
    <x:row r="266" ht="38" customHeight="1">
      <x:c r="A266" s="4" t="str">
        <x:v>TH</x:v>
      </x:c>
      <x:c r="B266" s="4" t="str">
        <x:v>住宅移轉金額</x:v>
      </x:c>
      <x:c r="C266" s="17" t="n">
        <x:v>864913</x:v>
      </x:c>
      <x:c r="D266" s="4" t="str">
        <x:v>百萬THB</x:v>
      </x:c>
      <x:c r="E266" s="16" t="n">
        <x:v>2025</x:v>
      </x:c>
      <x:c r="F266" s="4" t="str">
        <x:v>TH04</x:v>
      </x:c>
      <x:c r="G266" s="24" t="str">
        <x:v>https://ns2.reic.or.th/Upload/REIC-PressRelease-260225_52843_1772017693_79203.pdf</x:v>
      </x:c>
      <x:c r="H266" s="4" t="str">
        <x:v>【示意】不動產交易價款，不是裝修支出；獨立來源1；來源A級</x:v>
      </x:c>
      <x:c r="I266" s="4" t="str">
        <x:v>低</x:v>
      </x:c>
    </x:row>
    <x:row r="267" ht="38" customHeight="1">
      <x:c r="A267" s="4" t="str">
        <x:v>TH</x:v>
      </x:c>
      <x:c r="B267" s="4" t="str">
        <x:v>第一手住宅移轉量</x:v>
      </x:c>
      <x:c r="C267" s="17" t="n">
        <x:v>112565</x:v>
      </x:c>
      <x:c r="D267" s="4" t="str">
        <x:v>戶</x:v>
      </x:c>
      <x:c r="E267" s="16" t="n">
        <x:v>2025</x:v>
      </x:c>
      <x:c r="F267" s="4" t="str">
        <x:v>TH04</x:v>
      </x:c>
      <x:c r="G267" s="24" t="str">
        <x:v>https://ns2.reic.or.th/Upload/REIC-PressRelease-260225_52843_1772017693_79203.pdf</x:v>
      </x:c>
      <x:c r="H267" s="4" t="str">
        <x:v>【示意】REIC new home；獨立來源1；來源A級</x:v>
      </x:c>
      <x:c r="I267" s="4" t="str">
        <x:v>低</x:v>
      </x:c>
    </x:row>
    <x:row r="268" ht="38" customHeight="1">
      <x:c r="A268" s="4" t="str">
        <x:v>TH</x:v>
      </x:c>
      <x:c r="B268" s="4" t="str">
        <x:v>中古住宅移轉量</x:v>
      </x:c>
      <x:c r="C268" s="17" t="n">
        <x:v>203649</x:v>
      </x:c>
      <x:c r="D268" s="4" t="str">
        <x:v>戶</x:v>
      </x:c>
      <x:c r="E268" s="16" t="n">
        <x:v>2025</x:v>
      </x:c>
      <x:c r="F268" s="4" t="str">
        <x:v>TH04</x:v>
      </x:c>
      <x:c r="G268" s="24" t="str">
        <x:v>https://ns2.reic.or.th/Upload/REIC-PressRelease-260225_52843_1772017693_79203.pdf</x:v>
      </x:c>
      <x:c r="H268" s="4" t="str">
        <x:v>【示意】REIC second-hand home；獨立來源1；來源A級</x:v>
      </x:c>
      <x:c r="I268" s="4" t="str">
        <x:v>低</x:v>
      </x:c>
    </x:row>
    <x:row r="269" ht="38" customHeight="1">
      <x:c r="A269" s="4" t="str">
        <x:v>TH</x:v>
      </x:c>
      <x:c r="B269" s="4" t="str">
        <x:v>中古住宅移轉占比</x:v>
      </x:c>
      <x:c r="C269" s="17" t="n">
        <x:v>64</x:v>
      </x:c>
      <x:c r="D269" s="4" t="str">
        <x:v>%</x:v>
      </x:c>
      <x:c r="E269" s="16" t="n">
        <x:v>2025</x:v>
      </x:c>
      <x:c r="F269" s="4" t="str">
        <x:v>TH04</x:v>
      </x:c>
      <x:c r="G269" s="24" t="str">
        <x:v>https://ns2.reic.or.th/Upload/REIC-PressRelease-260225_52843_1772017693_79203.pdf</x:v>
      </x:c>
      <x:c r="H269" s="4" t="str">
        <x:v>【示意】REIC報告四捨五入；203649/316214約64.40%；獨立來源1；來源A級</x:v>
      </x:c>
      <x:c r="I269" s="4" t="str">
        <x:v>低</x:v>
      </x:c>
    </x:row>
    <x:row r="270" ht="38" customHeight="1">
      <x:c r="A270" s="4" t="str">
        <x:v>TH</x:v>
      </x:c>
      <x:c r="B270" s="4" t="str">
        <x:v>外國買方公寓移轉量</x:v>
      </x:c>
      <x:c r="C270" s="17" t="n">
        <x:v>14899</x:v>
      </x:c>
      <x:c r="D270" s="4" t="str">
        <x:v>戶</x:v>
      </x:c>
      <x:c r="E270" s="16" t="n">
        <x:v>2025</x:v>
      </x:c>
      <x:c r="F270" s="4" t="str">
        <x:v>TH04</x:v>
      </x:c>
      <x:c r="G270" s="24" t="str">
        <x:v>https://ns2.reic.or.th/Upload/REIC-PressRelease-260225_52843_1772017693_79203.pdf</x:v>
      </x:c>
      <x:c r="H270" s="4" t="str">
        <x:v>【示意】僅外國買方condominium，不含所有住宅；獨立來源1；來源A級</x:v>
      </x:c>
      <x:c r="I270" s="4" t="str">
        <x:v>低</x:v>
      </x:c>
    </x:row>
    <x:row r="271" ht="38" customHeight="1">
      <x:c r="A271" s="4" t="str">
        <x:v>TH</x:v>
      </x:c>
      <x:c r="B271" s="4" t="str">
        <x:v>外國買方公寓移轉金額</x:v>
      </x:c>
      <x:c r="C271" s="17" t="n">
        <x:v>60921</x:v>
      </x:c>
      <x:c r="D271" s="4" t="str">
        <x:v>百萬THB</x:v>
      </x:c>
      <x:c r="E271" s="16" t="n">
        <x:v>2025</x:v>
      </x:c>
      <x:c r="F271" s="4" t="str">
        <x:v>TH04</x:v>
      </x:c>
      <x:c r="G271" s="24" t="str">
        <x:v>https://ns2.reic.or.th/Upload/REIC-PressRelease-260225_52843_1772017693_79203.pdf</x:v>
      </x:c>
      <x:c r="H271" s="4" t="str">
        <x:v>【示意】外國買方condominium交易金額；獨立來源1；來源A級</x:v>
      </x:c>
      <x:c r="I271" s="4" t="str">
        <x:v>低</x:v>
      </x:c>
    </x:row>
    <x:row r="272" ht="38" customHeight="1">
      <x:c r="A272" s="4" t="str">
        <x:v>TH</x:v>
      </x:c>
      <x:c r="B272" s="4" t="str">
        <x:v>建築及相關顧問活動營收</x:v>
      </x:c>
      <x:c r="C272" s="17" t="n">
        <x:v>33400</x:v>
      </x:c>
      <x:c r="D272" s="4" t="str">
        <x:v>百萬THB</x:v>
      </x:c>
      <x:c r="E272" s="16" t="n">
        <x:v>2025</x:v>
      </x:c>
      <x:c r="F272" s="4" t="str">
        <x:v>TH07</x:v>
      </x:c>
      <x:c r="G272" s="24" t="str">
        <x:v>https://www.dtn.go.th/th/file/get/file/1.20260925e1a479df9a0c4538f665e3ee334f9acc163253.pdf</x:v>
      </x:c>
      <x:c r="H272" s="4" t="str">
        <x:v>【示意】DTN引DBD；Architectural and related consultancy，含建築非純室內設計；獨立來源1；來源A級</x:v>
      </x:c>
      <x:c r="I272" s="4" t="str">
        <x:v>低</x:v>
      </x:c>
    </x:row>
    <x:row r="273" ht="38" customHeight="1">
      <x:c r="A273" s="4" t="str">
        <x:v>TH</x:v>
      </x:c>
      <x:c r="B273" s="4" t="str">
        <x:v>建築及相關顧問活動法人數</x:v>
      </x:c>
      <x:c r="C273" s="17" t="n">
        <x:v>4081</x:v>
      </x:c>
      <x:c r="D273" s="4" t="str">
        <x:v>家</x:v>
      </x:c>
      <x:c r="E273" s="16" t="str">
        <x:v>2026-08</x:v>
      </x:c>
      <x:c r="F273" s="4" t="str">
        <x:v>TH07</x:v>
      </x:c>
      <x:c r="G273" s="24" t="str">
        <x:v>https://www.dtn.go.th/th/file/get/file/1.20260925e1a479df9a0c4538f665e3ee334f9acc163253.pdf</x:v>
      </x:c>
      <x:c r="H273" s="4" t="str">
        <x:v>【示意】DTN引DBD active法人；非純室內設計公司數；獨立來源1；來源A級</x:v>
      </x:c>
      <x:c r="I273" s="4" t="str">
        <x:v>低</x:v>
      </x:c>
    </x:row>
    <x:row r="274" ht="30" customHeight="1">
      <x:c r="A274" s="4" t="str">
        <x:v>TH</x:v>
      </x:c>
      <x:c r="B274" s="4" t="str">
        <x:v>住宅增改建投訴</x:v>
      </x:c>
      <x:c r="C274" s="17" t="n">
        <x:v>111</x:v>
      </x:c>
      <x:c r="D274" s="4" t="str">
        <x:v>件</x:v>
      </x:c>
      <x:c r="E274" s="16" t="str">
        <x:v>2025截至6月27日公告</x:v>
      </x:c>
      <x:c r="F274" s="4" t="str">
        <x:v>TH08</x:v>
      </x:c>
      <x:c r="G274" s="24" t="str">
        <x:v>https://www.ocpb.go.th/news_view_en.php?nid=16497</x:v>
      </x:c>
      <x:c r="H274" s="4" t="str">
        <x:v>【示意】公告所述年度截至發布資料，不是全年裝修總投訴；獨立來源1；來源A級</x:v>
      </x:c>
      <x:c r="I274" s="4" t="str">
        <x:v>低</x:v>
      </x:c>
    </x:row>
    <x:row r="275" ht="30" customHeight="1">
      <x:c r="A275" s="4" t="str">
        <x:v>TH</x:v>
      </x:c>
      <x:c r="B275" s="4" t="str">
        <x:v>住宅新建承攬投訴</x:v>
      </x:c>
      <x:c r="C275" s="17" t="n">
        <x:v>186</x:v>
      </x:c>
      <x:c r="D275" s="4" t="str">
        <x:v>件</x:v>
      </x:c>
      <x:c r="E275" s="16" t="str">
        <x:v>2025截至6月27日公告</x:v>
      </x:c>
      <x:c r="F275" s="4" t="str">
        <x:v>TH08</x:v>
      </x:c>
      <x:c r="G275" s="24" t="str">
        <x:v>https://www.ocpb.go.th/news_view_en.php?nid=16497</x:v>
      </x:c>
      <x:c r="H275" s="4" t="str">
        <x:v>【示意】新建投訴，不能併入純室內裝修；獨立來源1；來源A級</x:v>
      </x:c>
      <x:c r="I275" s="4" t="str">
        <x:v>低</x:v>
      </x:c>
    </x:row>
    <x:row r="276" ht="38" customHeight="1">
      <x:c r="A276" s="4" t="str">
        <x:v>TH</x:v>
      </x:c>
      <x:c r="B276" s="4" t="str">
        <x:v>住宅增改建遲延約定每日最低罰款比例</x:v>
      </x:c>
      <x:c r="C276" s="18" t="n">
        <x:v>0.01</x:v>
      </x:c>
      <x:c r="D276" s="4" t="str">
        <x:v>%</x:v>
      </x:c>
      <x:c r="E276" s="16" t="n">
        <x:v>2023</x:v>
      </x:c>
      <x:c r="F276" s="4" t="str">
        <x:v>TH09</x:v>
      </x:c>
      <x:c r="G276" s="24" t="str">
        <x:v>https://ratchakitcha.soc.go.th/documents/140D033S0000000001800.pdf</x:v>
      </x:c>
      <x:c r="H276" s="4" t="str">
        <x:v>【示意】適用公告受管制住宅增改建收據；按承攬價每日，不適用所有商業工程；獨立來源1；來源A級</x:v>
      </x:c>
      <x:c r="I276" s="4" t="str">
        <x:v>低</x:v>
      </x:c>
    </x:row>
    <x:row r="277" ht="30" customHeight="1">
      <x:c r="A277" s="4" t="str">
        <x:v>TH</x:v>
      </x:c>
      <x:c r="B277" s="4" t="str">
        <x:v>建材價格指數年增率</x:v>
      </x:c>
      <x:c r="C277" s="17" t="n">
        <x:v>0</x:v>
      </x:c>
      <x:c r="D277" s="4" t="str">
        <x:v>%</x:v>
      </x:c>
      <x:c r="E277" s="16" t="str">
        <x:v>2025-12</x:v>
      </x:c>
      <x:c r="F277" s="4" t="str">
        <x:v>TH10</x:v>
      </x:c>
      <x:c r="G277" s="24" t="str">
        <x:v>https://www.tpso.go.th/news/2601-0000000015</x:v>
      </x:c>
      <x:c r="H277" s="4" t="str">
        <x:v>【示意】整體建築材料CPI型指數，非全部內裝成本；獨立來源1；來源A級</x:v>
      </x:c>
      <x:c r="I277" s="4" t="str">
        <x:v>低</x:v>
      </x:c>
    </x:row>
    <x:row r="278" ht="30" customHeight="1">
      <x:c r="A278" s="4" t="str">
        <x:v>TH</x:v>
      </x:c>
      <x:c r="B278" s="4" t="str">
        <x:v>水泥價格指數年增率</x:v>
      </x:c>
      <x:c r="C278" s="19" t="n">
        <x:v>5.5</x:v>
      </x:c>
      <x:c r="D278" s="4" t="str">
        <x:v>%</x:v>
      </x:c>
      <x:c r="E278" s="16" t="str">
        <x:v>2025-12</x:v>
      </x:c>
      <x:c r="F278" s="4" t="str">
        <x:v>TH10</x:v>
      </x:c>
      <x:c r="G278" s="24" t="str">
        <x:v>https://www.tpso.go.th/news/2601-0000000015</x:v>
      </x:c>
      <x:c r="H278" s="4" t="str">
        <x:v>【示意】2025年12月對2024年12月；獨立來源1；來源A級</x:v>
      </x:c>
      <x:c r="I278" s="4" t="str">
        <x:v>低</x:v>
      </x:c>
    </x:row>
    <x:row r="279" ht="30" customHeight="1">
      <x:c r="A279" s="4" t="str">
        <x:v>TH</x:v>
      </x:c>
      <x:c r="B279" s="4" t="str">
        <x:v>鋼鐵價格指數年增率</x:v>
      </x:c>
      <x:c r="C279" s="17" t="n">
        <x:v>-2</x:v>
      </x:c>
      <x:c r="D279" s="4" t="str">
        <x:v>%</x:v>
      </x:c>
      <x:c r="E279" s="16" t="str">
        <x:v>2025-12</x:v>
      </x:c>
      <x:c r="F279" s="4" t="str">
        <x:v>TH10</x:v>
      </x:c>
      <x:c r="G279" s="24" t="str">
        <x:v>https://www.tpso.go.th/news/2601-0000000015</x:v>
      </x:c>
      <x:c r="H279" s="4" t="str">
        <x:v>【示意】2025年12月對2024年12月；獨立來源1；來源A級</x:v>
      </x:c>
      <x:c r="I279" s="4" t="str">
        <x:v>低</x:v>
      </x:c>
    </x:row>
    <x:row r="280" ht="30" customHeight="1">
      <x:c r="A280" s="4" t="str">
        <x:v>TH</x:v>
      </x:c>
      <x:c r="B280" s="4" t="str">
        <x:v>衛浴價格指數年增率</x:v>
      </x:c>
      <x:c r="C280" s="19" t="n">
        <x:v>-3.9</x:v>
      </x:c>
      <x:c r="D280" s="4" t="str">
        <x:v>%</x:v>
      </x:c>
      <x:c r="E280" s="16" t="str">
        <x:v>2025-12</x:v>
      </x:c>
      <x:c r="F280" s="4" t="str">
        <x:v>TH10</x:v>
      </x:c>
      <x:c r="G280" s="24" t="str">
        <x:v>https://www.tpso.go.th/news/2601-0000000015</x:v>
      </x:c>
      <x:c r="H280" s="4" t="str">
        <x:v>【示意】2025年12月對2024年12月；獨立來源1；來源A級</x:v>
      </x:c>
      <x:c r="I280" s="4" t="str">
        <x:v>低</x:v>
      </x:c>
    </x:row>
    <x:row r="281" ht="30" customHeight="1">
      <x:c r="A281" s="4" t="str">
        <x:v>TH</x:v>
      </x:c>
      <x:c r="B281" s="4" t="str">
        <x:v>HomePro浴室勘查牌價</x:v>
      </x:c>
      <x:c r="C281" s="17" t="n">
        <x:v>1000</x:v>
      </x:c>
      <x:c r="D281" s="4" t="str">
        <x:v>THB/次</x:v>
      </x:c>
      <x:c r="E281" s="16" t="str">
        <x:v>2026查閱</x:v>
      </x:c>
      <x:c r="F281" s="4" t="str">
        <x:v>TH12</x:v>
      </x:c>
      <x:c r="G281" s="24" t="str">
        <x:v>https://shop4you.homepro.co.th/S032/web/302/7000933</x:v>
      </x:c>
      <x:c r="H281" s="4" t="str">
        <x:v>【示意】只勘查，促銷499；不是浴室施工總价；獨立來源1；來源C級</x:v>
      </x:c>
      <x:c r="I281" s="4" t="str">
        <x:v>低</x:v>
      </x:c>
    </x:row>
    <x:row r="282" ht="30" customHeight="1">
      <x:c r="A282" s="4" t="str">
        <x:v>TH</x:v>
      </x:c>
      <x:c r="B282" s="4" t="str">
        <x:v>HomePro浴室勘查促銷價</x:v>
      </x:c>
      <x:c r="C282" s="17" t="n">
        <x:v>499</x:v>
      </x:c>
      <x:c r="D282" s="4" t="str">
        <x:v>THB/次</x:v>
      </x:c>
      <x:c r="E282" s="16" t="str">
        <x:v>2026查閱</x:v>
      </x:c>
      <x:c r="F282" s="4" t="str">
        <x:v>TH12</x:v>
      </x:c>
      <x:c r="G282" s="24" t="str">
        <x:v>https://shop4you.homepro.co.th/S032/web/302/7000933</x:v>
      </x:c>
      <x:c r="H282" s="4" t="str">
        <x:v>【示意】動態商家價格，可隨活動調整；獨立來源1；來源C級</x:v>
      </x:c>
      <x:c r="I282" s="4" t="str">
        <x:v>低</x:v>
      </x:c>
    </x:row>
    <x:row r="283" ht="30" customHeight="1">
      <x:c r="A283" s="4" t="str">
        <x:v>TH</x:v>
      </x:c>
      <x:c r="B283" s="4" t="str">
        <x:v>HomePro浴室服務保固</x:v>
      </x:c>
      <x:c r="C283" s="17" t="n">
        <x:v>1</x:v>
      </x:c>
      <x:c r="D283" s="4" t="str">
        <x:v>年</x:v>
      </x:c>
      <x:c r="E283" s="16" t="str">
        <x:v>2026查閱</x:v>
      </x:c>
      <x:c r="F283" s="4" t="str">
        <x:v>TH12</x:v>
      </x:c>
      <x:c r="G283" s="24" t="str">
        <x:v>https://shop4you.homepro.co.th/S032/web/302/7000933</x:v>
      </x:c>
      <x:c r="H283" s="4" t="str">
        <x:v>【示意】該商品方案，非泰國一律法定保固；獨立來源1；來源C級</x:v>
      </x:c>
      <x:c r="I283" s="4" t="str">
        <x:v>低</x:v>
      </x:c>
    </x:row>
    <x:row r="284" ht="38" customHeight="1">
      <x:c r="A284" s="4" t="str">
        <x:v>TH</x:v>
      </x:c>
      <x:c r="B284" s="4" t="str">
        <x:v>SCG HOME SPC安裝最低面積</x:v>
      </x:c>
      <x:c r="C284" s="17" t="n">
        <x:v>30</x:v>
      </x:c>
      <x:c r="D284" s="4" t="str">
        <x:v>m²</x:v>
      </x:c>
      <x:c r="E284" s="16" t="str">
        <x:v>2026查閱</x:v>
      </x:c>
      <x:c r="F284" s="4" t="str">
        <x:v>TH13</x:v>
      </x:c>
      <x:c r="G284" s="24" t="str">
        <x:v>https://www.scghome.com/homesolution/flooring/indoor-flooring-spc-laminate/spc-flooring-unix</x:v>
      </x:c>
      <x:c r="H284" s="4" t="str">
        <x:v>【示意】個別方案；未達者依不足面積加價，不能解讀為全屋單價；獨立來源1；來源C級</x:v>
      </x:c>
      <x:c r="I284" s="4" t="str">
        <x:v>低</x:v>
      </x:c>
    </x:row>
    <x:row r="285" ht="38" customHeight="1">
      <x:c r="A285" s="4" t="str">
        <x:v>TH</x:v>
      </x:c>
      <x:c r="B285" s="4" t="str">
        <x:v>SCG HOME SPC小案不足面積附加價</x:v>
      </x:c>
      <x:c r="C285" s="17" t="n">
        <x:v>200</x:v>
      </x:c>
      <x:c r="D285" s="4" t="str">
        <x:v>THB/m²</x:v>
      </x:c>
      <x:c r="E285" s="16" t="str">
        <x:v>2026查閱</x:v>
      </x:c>
      <x:c r="F285" s="4" t="str">
        <x:v>TH13</x:v>
      </x:c>
      <x:c r="G285" s="24" t="str">
        <x:v>https://www.scghome.com/homesolution/flooring/indoor-flooring-spc-laminate/spc-flooring-unix</x:v>
      </x:c>
      <x:c r="H285" s="4" t="str">
        <x:v>【示意】不足最低面積的差額計價；不含基礎材料安裝價；獨立來源1；來源C級</x:v>
      </x:c>
      <x:c r="I285" s="4" t="str">
        <x:v>低</x:v>
      </x:c>
    </x:row>
    <x:row r="286" ht="38" customHeight="1">
      <x:c r="A286" s="4" t="str">
        <x:v>TH</x:v>
      </x:c>
      <x:c r="B286" s="4" t="str">
        <x:v>SCG HOME未備妥工地額外回訪費</x:v>
      </x:c>
      <x:c r="C286" s="17" t="n">
        <x:v>2000</x:v>
      </x:c>
      <x:c r="D286" s="4" t="str">
        <x:v>THB/次</x:v>
      </x:c>
      <x:c r="E286" s="16" t="str">
        <x:v>2026查閱</x:v>
      </x:c>
      <x:c r="F286" s="4" t="str">
        <x:v>TH13</x:v>
      </x:c>
      <x:c r="G286" s="24" t="str">
        <x:v>https://www.scghome.com/homesolution/flooring/indoor-flooring-spc-laminate/spc-flooring-unix</x:v>
      </x:c>
      <x:c r="H286" s="4" t="str">
        <x:v>【示意】個別方案，不含找平、垃圾等；獨立來源1；來源C級</x:v>
      </x:c>
      <x:c r="I286" s="4" t="str">
        <x:v>低</x:v>
      </x:c>
    </x:row>
    <x:row r="287" ht="52" customHeight="1">
      <x:c r="A287" s="4" t="str">
        <x:v>TH</x:v>
      </x:c>
      <x:c r="B287" s="4" t="str">
        <x:v>Home improvement零售市場估计</x:v>
      </x:c>
      <x:c r="C287" s="19" t="n">
        <x:v>182.6</x:v>
      </x:c>
      <x:c r="D287" s="4" t="str">
        <x:v>十億THB</x:v>
      </x:c>
      <x:c r="E287" s="16" t="n">
        <x:v>2024</x:v>
      </x:c>
      <x:c r="F287" s="4" t="str">
        <x:v>TH14</x:v>
      </x:c>
      <x:c r="G287" s="24" t="str">
        <x:v>https://investor.mrdiy.co.th/en/updates/ir-press-release/145/mr-diy-holding-thailand-raises-up-to-thb56-billion-usd173-million-largest-ipo-by-market-capitalisation-on-set-in-the-last-3-years</x:v>
      </x:c>
      <x:c r="H287" s="4" t="str">
        <x:v>【示意】MRDIY投資人公告所引產業口徑，含家用品等；非純翻修工程；獨立來源1；來源C級</x:v>
      </x:c>
      <x:c r="I287" s="4" t="str">
        <x:v>低</x:v>
      </x:c>
    </x:row>
    <x:row r="288" ht="52" customHeight="1">
      <x:c r="A288" s="4" t="str">
        <x:v>TH</x:v>
      </x:c>
      <x:c r="B288" s="4" t="str">
        <x:v>Home improvement零售市場預測</x:v>
      </x:c>
      <x:c r="C288" s="19" t="n">
        <x:v>237.8</x:v>
      </x:c>
      <x:c r="D288" s="4" t="str">
        <x:v>十億THB</x:v>
      </x:c>
      <x:c r="E288" s="16" t="n">
        <x:v>2029</x:v>
      </x:c>
      <x:c r="F288" s="4" t="str">
        <x:v>TH14</x:v>
      </x:c>
      <x:c r="G288" s="24" t="str">
        <x:v>https://investor.mrdiy.co.th/en/updates/ir-press-release/145/mr-diy-holding-thailand-raises-up-to-thb56-billion-usd173-million-largest-ipo-by-market-capitalisation-on-set-in-the-last-3-years</x:v>
      </x:c>
      <x:c r="H288" s="4" t="str">
        <x:v>【預測／示意】公告預測，非實際，非2030外推；獨立來源1；來源C級</x:v>
      </x:c>
      <x:c r="I288" s="4" t="str">
        <x:v>低</x:v>
      </x:c>
    </x:row>
    <x:row r="289" ht="52" customHeight="1">
      <x:c r="A289" s="4" t="str">
        <x:v>TH</x:v>
      </x:c>
      <x:c r="B289" s="4" t="str">
        <x:v>MRDIY Thailand營收</x:v>
      </x:c>
      <x:c r="C289" s="19" t="n">
        <x:v>16.2</x:v>
      </x:c>
      <x:c r="D289" s="4" t="str">
        <x:v>十億THB</x:v>
      </x:c>
      <x:c r="E289" s="16" t="n">
        <x:v>2024</x:v>
      </x:c>
      <x:c r="F289" s="4" t="str">
        <x:v>TH14</x:v>
      </x:c>
      <x:c r="G289" s="24" t="str">
        <x:v>https://investor.mrdiy.co.th/en/updates/ir-press-release/145/mr-diy-holding-thailand-raises-up-to-thb56-billion-usd173-million-largest-ipo-by-market-capitalisation-on-set-in-the-last-3-years</x:v>
      </x:c>
      <x:c r="H289" s="4" t="str">
        <x:v>【示意】Issuer公告約數；零售，不是裝修；獨立來源1；來源C級</x:v>
      </x:c>
      <x:c r="I289" s="4" t="str">
        <x:v>低</x:v>
      </x:c>
    </x:row>
    <x:row r="290" ht="52" customHeight="1">
      <x:c r="A290" s="4" t="str">
        <x:v>TH</x:v>
      </x:c>
      <x:c r="B290" s="4" t="str">
        <x:v>MRDIY Thailand淨利</x:v>
      </x:c>
      <x:c r="C290" s="19" t="n">
        <x:v>1.7</x:v>
      </x:c>
      <x:c r="D290" s="4" t="str">
        <x:v>十億THB</x:v>
      </x:c>
      <x:c r="E290" s="16" t="n">
        <x:v>2024</x:v>
      </x:c>
      <x:c r="F290" s="4" t="str">
        <x:v>TH14</x:v>
      </x:c>
      <x:c r="G290" s="24" t="str">
        <x:v>https://investor.mrdiy.co.th/en/updates/ir-press-release/145/mr-diy-holding-thailand-raises-up-to-thb56-billion-usd173-million-largest-ipo-by-market-capitalisation-on-set-in-the-last-3-years</x:v>
      </x:c>
      <x:c r="H290" s="4" t="str">
        <x:v>【示意】Issuer公告約數；獨立來源1；來源C級</x:v>
      </x:c>
      <x:c r="I290" s="4" t="str">
        <x:v>低</x:v>
      </x:c>
    </x:row>
    <x:row r="291" ht="30" customHeight="1">
      <x:c r="A291" s="4" t="str">
        <x:v>TH</x:v>
      </x:c>
      <x:c r="B291" s="4" t="str">
        <x:v>Home decor商品市場估计</x:v>
      </x:c>
      <x:c r="C291" s="19" t="n">
        <x:v>5086.7</x:v>
      </x:c>
      <x:c r="D291" s="4" t="str">
        <x:v>百萬USD</x:v>
      </x:c>
      <x:c r="E291" s="16" t="n">
        <x:v>2025</x:v>
      </x:c>
      <x:c r="F291" s="4" t="str">
        <x:v>TH20</x:v>
      </x:c>
      <x:c r="G291" s="24" t="str">
        <x:v>https://www.imarcgroup.com/thailand-home-decor-market</x:v>
      </x:c>
      <x:c r="H291" s="4" t="str">
        <x:v>【示意】家具、家紡、地板、壁飾、照明等；不等於住宅施工；獨立來源1；來源C級</x:v>
      </x:c>
      <x:c r="I291" s="4" t="str">
        <x:v>低</x:v>
      </x:c>
    </x:row>
    <x:row r="292" ht="30" customHeight="1">
      <x:c r="A292" s="4" t="str">
        <x:v>TH</x:v>
      </x:c>
      <x:c r="B292" s="4" t="str">
        <x:v>Home decor商品市場預測</x:v>
      </x:c>
      <x:c r="C292" s="19" t="n">
        <x:v>7033.9</x:v>
      </x:c>
      <x:c r="D292" s="4" t="str">
        <x:v>百萬USD</x:v>
      </x:c>
      <x:c r="E292" s="16" t="n">
        <x:v>2034</x:v>
      </x:c>
      <x:c r="F292" s="4" t="str">
        <x:v>TH20</x:v>
      </x:c>
      <x:c r="G292" s="24" t="str">
        <x:v>https://www.imarcgroup.com/thailand-home-decor-market</x:v>
      </x:c>
      <x:c r="H292" s="4" t="str">
        <x:v>【預測／示意】IMARC2026–34預測；不冒充2030值；獨立來源1；來源C級</x:v>
      </x:c>
      <x:c r="I292" s="4" t="str">
        <x:v>低</x:v>
      </x:c>
    </x:row>
    <x:row r="293" ht="38" customHeight="1">
      <x:c r="A293" s="4" t="str">
        <x:v>TH</x:v>
      </x:c>
      <x:c r="B293" s="4" t="str">
        <x:v>曼谷商辦裝修成本</x:v>
      </x:c>
      <x:c r="C293" s="20" t="n">
        <x:v>979.5158479205846</x:v>
      </x:c>
      <x:c r="D293" s="4" t="str">
        <x:v>USD/m²</x:v>
      </x:c>
      <x:c r="E293" s="16" t="n">
        <x:v>2026</x:v>
      </x:c>
      <x:c r="F293" s="4" t="str">
        <x:v>X02</x:v>
      </x:c>
      <x:c r="G293" s="24" t="str">
        <x:v>https://digital.cushmanwakefield.com/fitoutcostguide-03-2026-apac-regional-en-content-pds-office/30-31/</x:v>
      </x:c>
      <x:c r="H293" s="4" t="str">
        <x:v>【示意】C&amp;W 2026商辦fit-out，價格基準2025年12月；USD/ft²÷0.09290304，非住宅報價，報告自身匯率；獨立來源1；來源B級</x:v>
      </x:c>
      <x:c r="I293" s="4" t="str">
        <x:v>低</x:v>
      </x:c>
    </x:row>
    <x:row r="294" ht="38" customHeight="1">
      <x:c r="A294" s="4" t="str">
        <x:v>VN</x:v>
      </x:c>
      <x:c r="B294" s="4" t="str">
        <x:v>人均GDP</x:v>
      </x:c>
      <x:c r="C294" s="21" t="n">
        <x:v>5065.991</x:v>
      </x:c>
      <x:c r="D294" s="4" t="str">
        <x:v>USD/人</x:v>
      </x:c>
      <x:c r="E294" s="16" t="n">
        <x:v>2025</x:v>
      </x:c>
      <x:c r="F294" s="4" t="str">
        <x:v>MVN</x:v>
      </x:c>
      <x:c r="G294" s="24" t="str">
        <x:v>https://data.worldbank.org/country/viet-nam</x:v>
      </x:c>
      <x:c r="H294" s="4" t="str">
        <x:v>【示意】名目、現價美元；WDI 2025歷史數列，可能修訂，非家庭可支配所得；獨立來源1；來源A級</x:v>
      </x:c>
      <x:c r="I294" s="4" t="str">
        <x:v>低</x:v>
      </x:c>
    </x:row>
    <x:row r="295" ht="38" customHeight="1">
      <x:c r="A295" s="4" t="str">
        <x:v>VN</x:v>
      </x:c>
      <x:c r="B295" s="4" t="str">
        <x:v>人口</x:v>
      </x:c>
      <x:c r="C295" s="17" t="n">
        <x:v>101598527</x:v>
      </x:c>
      <x:c r="D295" s="4" t="str">
        <x:v>人</x:v>
      </x:c>
      <x:c r="E295" s="16" t="n">
        <x:v>2025</x:v>
      </x:c>
      <x:c r="F295" s="4" t="str">
        <x:v>MVN</x:v>
      </x:c>
      <x:c r="G295" s="24" t="str">
        <x:v>https://data.worldbank.org/country/viet-nam</x:v>
      </x:c>
      <x:c r="H295" s="4" t="str">
        <x:v>【示意】WDI 2025；CN、IN為頁面billion顯示的四捨五入值，其餘依顯示人數；獨立來源1；來源A級</x:v>
      </x:c>
      <x:c r="I295" s="4" t="str">
        <x:v>低</x:v>
      </x:c>
    </x:row>
    <x:row r="296" ht="30" customHeight="1">
      <x:c r="A296" s="4" t="str">
        <x:v>VN</x:v>
      </x:c>
      <x:c r="B296" s="4" t="str">
        <x:v>GDP</x:v>
      </x:c>
      <x:c r="C296" s="17" t="n">
        <x:v>514700000000</x:v>
      </x:c>
      <x:c r="D296" s="4" t="str">
        <x:v>USD</x:v>
      </x:c>
      <x:c r="E296" s="16" t="n">
        <x:v>2025</x:v>
      </x:c>
      <x:c r="F296" s="4" t="str">
        <x:v>MVN</x:v>
      </x:c>
      <x:c r="G296" s="24" t="str">
        <x:v>https://data.worldbank.org/country/viet-nam</x:v>
      </x:c>
      <x:c r="H296" s="4" t="str">
        <x:v>【示意】WDI 2025現價；頁面billion/trillion四捨五入值；獨立來源1；來源A級</x:v>
      </x:c>
      <x:c r="I296" s="4" t="str">
        <x:v>低</x:v>
      </x:c>
    </x:row>
    <x:row r="297" ht="38" customHeight="1">
      <x:c r="A297" s="4" t="str">
        <x:v>VN</x:v>
      </x:c>
      <x:c r="B297" s="4" t="str">
        <x:v>名目人均GDP</x:v>
      </x:c>
      <x:c r="C297" s="17" t="n">
        <x:v>4700</x:v>
      </x:c>
      <x:c r="D297" s="4" t="str">
        <x:v>USD/人</x:v>
      </x:c>
      <x:c r="E297" s="16" t="n">
        <x:v>2024</x:v>
      </x:c>
      <x:c r="F297" s="4" t="str">
        <x:v>VN01</x:v>
      </x:c>
      <x:c r="G297" s="24" t="str">
        <x:v>https://www.nso.gov.vn/du-lieu-va-so-lieu-thong-ke/2025/01/thong-cao-bao-chi-tinh-hinh-kinh-te-xa-hoi-quy-iv-va-nam-2024/</x:v>
      </x:c>
      <x:c r="H297" s="4" t="str">
        <x:v>【示意】官方年度初估，非家庭可支配所得；獨立來源1；來源A級</x:v>
      </x:c>
      <x:c r="I297" s="4" t="str">
        <x:v>低</x:v>
      </x:c>
    </x:row>
    <x:row r="298" ht="38" customHeight="1">
      <x:c r="A298" s="4" t="str">
        <x:v>VN</x:v>
      </x:c>
      <x:c r="B298" s="4" t="str">
        <x:v>名目人均GDP原幣</x:v>
      </x:c>
      <x:c r="C298" s="17" t="n">
        <x:v>114000000</x:v>
      </x:c>
      <x:c r="D298" s="4" t="str">
        <x:v>VND/人</x:v>
      </x:c>
      <x:c r="E298" s="16" t="n">
        <x:v>2024</x:v>
      </x:c>
      <x:c r="F298" s="4" t="str">
        <x:v>VN01</x:v>
      </x:c>
      <x:c r="G298" s="24" t="str">
        <x:v>https://www.nso.gov.vn/du-lieu-va-so-lieu-thong-ke/2025/01/thong-cao-bao-chi-tinh-hinh-kinh-te-xa-hoi-quy-iv-va-nam-2024/</x:v>
      </x:c>
      <x:c r="H298" s="4" t="str">
        <x:v>【示意】官方年度初估；獨立來源1；來源A級</x:v>
      </x:c>
      <x:c r="I298" s="4" t="str">
        <x:v>低</x:v>
      </x:c>
    </x:row>
    <x:row r="299" ht="38" customHeight="1">
      <x:c r="A299" s="4" t="str">
        <x:v>VN</x:v>
      </x:c>
      <x:c r="B299" s="4" t="str">
        <x:v>實質GDP成長率</x:v>
      </x:c>
      <x:c r="C299" s="18" t="n">
        <x:v>7.09</x:v>
      </x:c>
      <x:c r="D299" s="4" t="str">
        <x:v>%</x:v>
      </x:c>
      <x:c r="E299" s="16" t="n">
        <x:v>2024</x:v>
      </x:c>
      <x:c r="F299" s="4" t="str">
        <x:v>VN01</x:v>
      </x:c>
      <x:c r="G299" s="24" t="str">
        <x:v>https://www.nso.gov.vn/du-lieu-va-so-lieu-thong-ke/2025/01/thong-cao-bao-chi-tinh-hinh-kinh-te-xa-hoi-quy-iv-va-nam-2024/</x:v>
      </x:c>
      <x:c r="H299" s="4" t="str">
        <x:v>【示意】官方年度初估；獨立來源1；來源A級</x:v>
      </x:c>
      <x:c r="I299" s="4" t="str">
        <x:v>低</x:v>
      </x:c>
    </x:row>
    <x:row r="300" ht="38" customHeight="1">
      <x:c r="A300" s="4" t="str">
        <x:v>VN</x:v>
      </x:c>
      <x:c r="B300" s="4" t="str">
        <x:v>勞工平均月收入</x:v>
      </x:c>
      <x:c r="C300" s="17" t="n">
        <x:v>7700000</x:v>
      </x:c>
      <x:c r="D300" s="4" t="str">
        <x:v>VND/月</x:v>
      </x:c>
      <x:c r="E300" s="16" t="n">
        <x:v>2024</x:v>
      </x:c>
      <x:c r="F300" s="4" t="str">
        <x:v>VN01</x:v>
      </x:c>
      <x:c r="G300" s="24" t="str">
        <x:v>https://www.nso.gov.vn/du-lieu-va-so-lieu-thong-ke/2025/01/thong-cao-bao-chi-tinh-hinh-kinh-te-xa-hoi-quy-iv-va-nam-2024/</x:v>
      </x:c>
      <x:c r="H300" s="4" t="str">
        <x:v>【示意】全產業勞工；非室內設計師；獨立來源1；來源A級</x:v>
      </x:c>
      <x:c r="I300" s="4" t="str">
        <x:v>低</x:v>
      </x:c>
    </x:row>
    <x:row r="301" ht="38" customHeight="1">
      <x:c r="A301" s="4" t="str">
        <x:v>VN</x:v>
      </x:c>
      <x:c r="B301" s="4" t="str">
        <x:v>都市勞工平均月收入</x:v>
      </x:c>
      <x:c r="C301" s="17" t="n">
        <x:v>9300000</x:v>
      </x:c>
      <x:c r="D301" s="4" t="str">
        <x:v>VND/月</x:v>
      </x:c>
      <x:c r="E301" s="16" t="n">
        <x:v>2024</x:v>
      </x:c>
      <x:c r="F301" s="4" t="str">
        <x:v>VN01</x:v>
      </x:c>
      <x:c r="G301" s="24" t="str">
        <x:v>https://www.nso.gov.vn/du-lieu-va-so-lieu-thong-ke/2025/01/thong-cao-bao-chi-tinh-hinh-kinh-te-xa-hoi-quy-iv-va-nam-2024/</x:v>
      </x:c>
      <x:c r="H301" s="4" t="str">
        <x:v>【示意】全產業都市勞工；非監工；獨立來源1；來源A級</x:v>
      </x:c>
      <x:c r="I301" s="4" t="str">
        <x:v>低</x:v>
      </x:c>
    </x:row>
    <x:row r="302" ht="38" customHeight="1">
      <x:c r="A302" s="4" t="str">
        <x:v>VN</x:v>
      </x:c>
      <x:c r="B302" s="4" t="str">
        <x:v>人口</x:v>
      </x:c>
      <x:c r="C302" s="17" t="n">
        <x:v>101112656</x:v>
      </x:c>
      <x:c r="D302" s="4" t="str">
        <x:v>人</x:v>
      </x:c>
      <x:c r="E302" s="16" t="str">
        <x:v>2024-04-01</x:v>
      </x:c>
      <x:c r="F302" s="4" t="str">
        <x:v>VN02</x:v>
      </x:c>
      <x:c r="G302" s="24" t="str">
        <x:v>https://www.nso.gov.vn/du-lieu-va-so-lieu-thong-ke/2025/01/thong-cao-bao-chi-ket-qua-dieu-tra-dan-so-va-nha-o-giua-ky-nam-2024/</x:v>
      </x:c>
      <x:c r="H302" s="4" t="str">
        <x:v>【示意】人口與住宅期中調查；非年平均人口；獨立來源1；來源A級</x:v>
      </x:c>
      <x:c r="I302" s="4" t="str">
        <x:v>低</x:v>
      </x:c>
    </x:row>
    <x:row r="303" ht="38" customHeight="1">
      <x:c r="A303" s="4" t="str">
        <x:v>VN</x:v>
      </x:c>
      <x:c r="B303" s="4" t="str">
        <x:v>家庭戶數</x:v>
      </x:c>
      <x:c r="C303" s="17" t="n">
        <x:v>28146939</x:v>
      </x:c>
      <x:c r="D303" s="4" t="str">
        <x:v>戶</x:v>
      </x:c>
      <x:c r="E303" s="16" t="n">
        <x:v>2024</x:v>
      </x:c>
      <x:c r="F303" s="4" t="str">
        <x:v>VN02</x:v>
      </x:c>
      <x:c r="G303" s="24" t="str">
        <x:v>https://www.nso.gov.vn/du-lieu-va-so-lieu-thong-ke/2025/01/thong-cao-bao-chi-ket-qua-dieu-tra-dan-so-va-nha-o-giua-ky-nam-2024/</x:v>
      </x:c>
      <x:c r="H303" s="4" t="str">
        <x:v>【示意】家庭戶數，不等於住宅存量；獨立來源1；來源A級</x:v>
      </x:c>
      <x:c r="I303" s="4" t="str">
        <x:v>低</x:v>
      </x:c>
    </x:row>
    <x:row r="304" ht="38" customHeight="1">
      <x:c r="A304" s="4" t="str">
        <x:v>VN</x:v>
      </x:c>
      <x:c r="B304" s="4" t="str">
        <x:v>都市人口比率</x:v>
      </x:c>
      <x:c r="C304" s="19" t="n">
        <x:v>38.2</x:v>
      </x:c>
      <x:c r="D304" s="4" t="str">
        <x:v>%</x:v>
      </x:c>
      <x:c r="E304" s="16" t="n">
        <x:v>2024</x:v>
      </x:c>
      <x:c r="F304" s="4" t="str">
        <x:v>VN02</x:v>
      </x:c>
      <x:c r="G304" s="24" t="str">
        <x:v>https://www.nso.gov.vn/du-lieu-va-so-lieu-thong-ke/2025/01/thong-cao-bao-chi-ket-qua-dieu-tra-dan-so-va-nha-o-giua-ky-nam-2024/</x:v>
      </x:c>
      <x:c r="H304" s="4" t="str">
        <x:v>【示意】統計局行政區都市口徑；獨立來源1；來源A級</x:v>
      </x:c>
      <x:c r="I304" s="4" t="str">
        <x:v>低</x:v>
      </x:c>
    </x:row>
    <x:row r="305" ht="38" customHeight="1">
      <x:c r="A305" s="4" t="str">
        <x:v>VN</x:v>
      </x:c>
      <x:c r="B305" s="4" t="str">
        <x:v>65歲以上人口占比</x:v>
      </x:c>
      <x:c r="C305" s="19" t="n">
        <x:v>9.3</x:v>
      </x:c>
      <x:c r="D305" s="4" t="str">
        <x:v>%</x:v>
      </x:c>
      <x:c r="E305" s="16" t="n">
        <x:v>2024</x:v>
      </x:c>
      <x:c r="F305" s="4" t="str">
        <x:v>VN02</x:v>
      </x:c>
      <x:c r="G305" s="24" t="str">
        <x:v>https://www.nso.gov.vn/du-lieu-va-so-lieu-thong-ke/2025/01/thong-cao-bao-chi-ket-qua-dieu-tra-dan-so-va-nha-o-giua-ky-nam-2024/</x:v>
      </x:c>
      <x:c r="H305" s="4" t="str">
        <x:v>【示意】期中人口調查；獨立來源1；來源A級</x:v>
      </x:c>
      <x:c r="I305" s="4" t="str">
        <x:v>低</x:v>
      </x:c>
    </x:row>
    <x:row r="306" ht="38" customHeight="1">
      <x:c r="A306" s="4" t="str">
        <x:v>VN</x:v>
      </x:c>
      <x:c r="B306" s="4" t="str">
        <x:v>住宅自有家庭比率</x:v>
      </x:c>
      <x:c r="C306" s="19" t="n">
        <x:v>89.7</x:v>
      </x:c>
      <x:c r="D306" s="4" t="str">
        <x:v>%</x:v>
      </x:c>
      <x:c r="E306" s="16" t="n">
        <x:v>2024</x:v>
      </x:c>
      <x:c r="F306" s="4" t="str">
        <x:v>VN02</x:v>
      </x:c>
      <x:c r="G306" s="24" t="str">
        <x:v>https://www.nso.gov.vn/du-lieu-va-so-lieu-thong-ke/2025/01/thong-cao-bao-chi-ket-qua-dieu-tra-dan-so-va-nha-o-giua-ky-nam-2024/</x:v>
      </x:c>
      <x:c r="H306" s="4" t="str">
        <x:v>【示意】自有居住住宅的家庭戶；非個人持有率；獨立來源1；來源A級</x:v>
      </x:c>
      <x:c r="I306" s="4" t="str">
        <x:v>低</x:v>
      </x:c>
    </x:row>
    <x:row r="307" ht="38" customHeight="1">
      <x:c r="A307" s="4" t="str">
        <x:v>VN</x:v>
      </x:c>
      <x:c r="B307" s="4" t="str">
        <x:v>都市住宅自有家庭比率</x:v>
      </x:c>
      <x:c r="C307" s="19" t="n">
        <x:v>79.8</x:v>
      </x:c>
      <x:c r="D307" s="4" t="str">
        <x:v>%</x:v>
      </x:c>
      <x:c r="E307" s="16" t="n">
        <x:v>2024</x:v>
      </x:c>
      <x:c r="F307" s="4" t="str">
        <x:v>VN02</x:v>
      </x:c>
      <x:c r="G307" s="24" t="str">
        <x:v>https://www.nso.gov.vn/du-lieu-va-so-lieu-thong-ke/2025/01/thong-cao-bao-chi-ket-qua-dieu-tra-dan-so-va-nha-o-giua-ky-nam-2024/</x:v>
      </x:c>
      <x:c r="H307" s="4" t="str">
        <x:v>【示意】都市家庭戶；獨立來源1；來源A級</x:v>
      </x:c>
      <x:c r="I307" s="4" t="str">
        <x:v>低</x:v>
      </x:c>
    </x:row>
    <x:row r="308" ht="38" customHeight="1">
      <x:c r="A308" s="4" t="str">
        <x:v>VN</x:v>
      </x:c>
      <x:c r="B308" s="4" t="str">
        <x:v>每人居住面積</x:v>
      </x:c>
      <x:c r="C308" s="19" t="n">
        <x:v>26.6</x:v>
      </x:c>
      <x:c r="D308" s="4" t="str">
        <x:v>m²/人</x:v>
      </x:c>
      <x:c r="E308" s="16" t="n">
        <x:v>2024</x:v>
      </x:c>
      <x:c r="F308" s="4" t="str">
        <x:v>VN02</x:v>
      </x:c>
      <x:c r="G308" s="24" t="str">
        <x:v>https://www.nso.gov.vn/du-lieu-va-so-lieu-thong-ke/2025/01/thong-cao-bao-chi-ket-qua-dieu-tra-dan-so-va-nha-o-giua-ky-nam-2024/</x:v>
      </x:c>
      <x:c r="H308" s="4" t="str">
        <x:v>【示意】住宅調查；獨立來源1；來源A級</x:v>
      </x:c>
      <x:c r="I308" s="4" t="str">
        <x:v>低</x:v>
      </x:c>
    </x:row>
    <x:row r="309" ht="38" customHeight="1">
      <x:c r="A309" s="4" t="str">
        <x:v>VN</x:v>
      </x:c>
      <x:c r="B309" s="4" t="str">
        <x:v>2000年起興建住宅居住家庭占比</x:v>
      </x:c>
      <x:c r="C309" s="19" t="n">
        <x:v>81.5</x:v>
      </x:c>
      <x:c r="D309" s="4" t="str">
        <x:v>%</x:v>
      </x:c>
      <x:c r="E309" s="16" t="n">
        <x:v>2024</x:v>
      </x:c>
      <x:c r="F309" s="4" t="str">
        <x:v>VN02</x:v>
      </x:c>
      <x:c r="G309" s="24" t="str">
        <x:v>https://www.nso.gov.vn/du-lieu-va-so-lieu-thong-ke/2025/01/thong-cao-bao-chi-ket-qua-dieu-tra-dan-so-va-nha-o-giua-ky-nam-2024/</x:v>
      </x:c>
      <x:c r="H309" s="4" t="str">
        <x:v>【示意】家庭分布，不是房屋棟數；獨立來源1；來源A級</x:v>
      </x:c>
      <x:c r="I309" s="4" t="str">
        <x:v>低</x:v>
      </x:c>
    </x:row>
    <x:row r="310" ht="38" customHeight="1">
      <x:c r="A310" s="4" t="str">
        <x:v>VN</x:v>
      </x:c>
      <x:c r="B310" s="4" t="str">
        <x:v>屋齡25至49年居住家庭占比</x:v>
      </x:c>
      <x:c r="C310" s="19" t="n">
        <x:v>14.2</x:v>
      </x:c>
      <x:c r="D310" s="4" t="str">
        <x:v>%</x:v>
      </x:c>
      <x:c r="E310" s="16" t="n">
        <x:v>2024</x:v>
      </x:c>
      <x:c r="F310" s="4" t="str">
        <x:v>VN02</x:v>
      </x:c>
      <x:c r="G310" s="24" t="str">
        <x:v>https://www.nso.gov.vn/du-lieu-va-so-lieu-thong-ke/2025/01/thong-cao-bao-chi-ket-qua-dieu-tra-dan-so-va-nha-o-giua-ky-nam-2024/</x:v>
      </x:c>
      <x:c r="H310" s="4" t="str">
        <x:v>【示意】不能轉換為30年以上比例；獨立來源1；來源A級</x:v>
      </x:c>
      <x:c r="I310" s="4" t="str">
        <x:v>低</x:v>
      </x:c>
    </x:row>
    <x:row r="311" ht="38" customHeight="1">
      <x:c r="A311" s="4" t="str">
        <x:v>VN</x:v>
      </x:c>
      <x:c r="B311" s="4" t="str">
        <x:v>屋齡超過49年居住家庭占比</x:v>
      </x:c>
      <x:c r="C311" s="19" t="n">
        <x:v>1.9</x:v>
      </x:c>
      <x:c r="D311" s="4" t="str">
        <x:v>%</x:v>
      </x:c>
      <x:c r="E311" s="16" t="n">
        <x:v>2024</x:v>
      </x:c>
      <x:c r="F311" s="4" t="str">
        <x:v>VN02</x:v>
      </x:c>
      <x:c r="G311" s="24" t="str">
        <x:v>https://www.nso.gov.vn/du-lieu-va-so-lieu-thong-ke/2025/01/thong-cao-bao-chi-ket-qua-dieu-tra-dan-so-va-nha-o-giua-ky-nam-2024/</x:v>
      </x:c>
      <x:c r="H311" s="4" t="str">
        <x:v>【示意】家庭分布；獨立來源1；來源A級</x:v>
      </x:c>
      <x:c r="I311" s="4" t="str">
        <x:v>低</x:v>
      </x:c>
    </x:row>
    <x:row r="312" ht="38" customHeight="1">
      <x:c r="A312" s="4" t="str">
        <x:v>VN</x:v>
      </x:c>
      <x:c r="B312" s="4" t="str">
        <x:v>60歲以上人口預測</x:v>
      </x:c>
      <x:c r="C312" s="17" t="n">
        <x:v>18000000</x:v>
      </x:c>
      <x:c r="D312" s="4" t="str">
        <x:v>人</x:v>
      </x:c>
      <x:c r="E312" s="16" t="n">
        <x:v>2030</x:v>
      </x:c>
      <x:c r="F312" s="4" t="str">
        <x:v>VN02</x:v>
      </x:c>
      <x:c r="G312" s="24" t="str">
        <x:v>https://www.nso.gov.vn/du-lieu-va-so-lieu-thong-ke/2025/01/thong-cao-bao-chi-ket-qua-dieu-tra-dan-so-va-nha-o-giua-ky-nam-2024/</x:v>
      </x:c>
      <x:c r="H312" s="4" t="str">
        <x:v>【預測／示意】官方預測約數；不是65歲以上；獨立來源1；來源A級</x:v>
      </x:c>
      <x:c r="I312" s="4" t="str">
        <x:v>低</x:v>
      </x:c>
    </x:row>
    <x:row r="313" ht="38" customHeight="1">
      <x:c r="A313" s="4" t="str">
        <x:v>VN</x:v>
      </x:c>
      <x:c r="B313" s="4" t="str">
        <x:v>單一業者基本設計費</x:v>
      </x:c>
      <x:c r="C313" s="17" t="n">
        <x:v>220000</x:v>
      </x:c>
      <x:c r="D313" s="4" t="str">
        <x:v>VND/m²</x:v>
      </x:c>
      <x:c r="E313" s="16" t="n">
        <x:v>2026</x:v>
      </x:c>
      <x:c r="F313" s="4" t="str">
        <x:v>VN05</x:v>
      </x:c>
      <x:c r="G313" s="24" t="str">
        <x:v>https://doctornoithat.com/bao-gia-thiet-ke-noi-that/</x:v>
      </x:c>
      <x:c r="H313" s="4" t="str">
        <x:v>【示意】2026年8月Doctor Nội Thất未稅設計報價，非施工、非全國均價；獨立來源1；來源C級</x:v>
      </x:c>
      <x:c r="I313" s="4" t="str">
        <x:v>低</x:v>
      </x:c>
    </x:row>
    <x:row r="314" ht="30" customHeight="1">
      <x:c r="A314" s="4" t="str">
        <x:v>VN</x:v>
      </x:c>
      <x:c r="B314" s="4" t="str">
        <x:v>單一業者進階設計費</x:v>
      </x:c>
      <x:c r="C314" s="17" t="n">
        <x:v>290000</x:v>
      </x:c>
      <x:c r="D314" s="4" t="str">
        <x:v>VND/m²</x:v>
      </x:c>
      <x:c r="E314" s="16" t="n">
        <x:v>2026</x:v>
      </x:c>
      <x:c r="F314" s="4" t="str">
        <x:v>VN05</x:v>
      </x:c>
      <x:c r="G314" s="24" t="str">
        <x:v>https://doctornoithat.com/bao-gia-thiet-ke-noi-that/</x:v>
      </x:c>
      <x:c r="H314" s="4" t="str">
        <x:v>【示意】促銷價；未稅；非全國中位數；獨立來源1；來源C級</x:v>
      </x:c>
      <x:c r="I314" s="4" t="str">
        <x:v>低</x:v>
      </x:c>
    </x:row>
    <x:row r="315" ht="30" customHeight="1">
      <x:c r="A315" s="4" t="str">
        <x:v>VN</x:v>
      </x:c>
      <x:c r="B315" s="4" t="str">
        <x:v>單一業者高階設計費</x:v>
      </x:c>
      <x:c r="C315" s="17" t="n">
        <x:v>400000</x:v>
      </x:c>
      <x:c r="D315" s="4" t="str">
        <x:v>VND/m²</x:v>
      </x:c>
      <x:c r="E315" s="16" t="n">
        <x:v>2026</x:v>
      </x:c>
      <x:c r="F315" s="4" t="str">
        <x:v>VN05</x:v>
      </x:c>
      <x:c r="G315" s="24" t="str">
        <x:v>https://doctornoithat.com/bao-gia-thiet-ke-noi-that/</x:v>
      </x:c>
      <x:c r="H315" s="4" t="str">
        <x:v>【示意】未稅單一業者設計費；獨立來源1；來源C級</x:v>
      </x:c>
      <x:c r="I315" s="4" t="str">
        <x:v>低</x:v>
      </x:c>
    </x:row>
    <x:row r="316" ht="30" customHeight="1">
      <x:c r="A316" s="4" t="str">
        <x:v>VN</x:v>
      </x:c>
      <x:c r="B316" s="4" t="str">
        <x:v>單一業者特別設計費</x:v>
      </x:c>
      <x:c r="C316" s="17" t="n">
        <x:v>1100000</x:v>
      </x:c>
      <x:c r="D316" s="4" t="str">
        <x:v>VND/m²</x:v>
      </x:c>
      <x:c r="E316" s="16" t="n">
        <x:v>2026</x:v>
      </x:c>
      <x:c r="F316" s="4" t="str">
        <x:v>VN05</x:v>
      </x:c>
      <x:c r="G316" s="24" t="str">
        <x:v>https://doctornoithat.com/bao-gia-thiet-ke-noi-that/</x:v>
      </x:c>
      <x:c r="H316" s="4" t="str">
        <x:v>【示意】未稅；不代表市場頂級上限；獨立來源1；來源C級</x:v>
      </x:c>
      <x:c r="I316" s="4" t="str">
        <x:v>低</x:v>
      </x:c>
    </x:row>
    <x:row r="317" ht="38" customHeight="1">
      <x:c r="A317" s="4" t="str">
        <x:v>VN</x:v>
      </x:c>
      <x:c r="B317" s="4" t="str">
        <x:v>An Cuong合併營收</x:v>
      </x:c>
      <x:c r="C317" s="19" t="n">
        <x:v>4608.7</x:v>
      </x:c>
      <x:c r="D317" s="4" t="str">
        <x:v>十億VND</x:v>
      </x:c>
      <x:c r="E317" s="16" t="n">
        <x:v>2025</x:v>
      </x:c>
      <x:c r="F317" s="4" t="str">
        <x:v>VN07</x:v>
      </x:c>
      <x:c r="G317" s="24" t="str">
        <x:v>https://ancuong.com/pictures/files/pdf/acg-2026/ACG%202026%200805%20-%20Nghi%20quyet%20DHDCD%20thuong%20nien%202026%20%5BVN-EN%5D.pdf</x:v>
      </x:c>
      <x:c r="H317" s="4" t="str">
        <x:v>【示意】材料與木作企業總合併營收，非純設計收入；獨立來源1；來源A級</x:v>
      </x:c>
      <x:c r="I317" s="4" t="str">
        <x:v>低</x:v>
      </x:c>
    </x:row>
    <x:row r="318" ht="38" customHeight="1">
      <x:c r="A318" s="4" t="str">
        <x:v>VN</x:v>
      </x:c>
      <x:c r="B318" s="4" t="str">
        <x:v>An Cuong合併稅後淨利</x:v>
      </x:c>
      <x:c r="C318" s="19" t="n">
        <x:v>503.7</x:v>
      </x:c>
      <x:c r="D318" s="4" t="str">
        <x:v>十億VND</x:v>
      </x:c>
      <x:c r="E318" s="16" t="n">
        <x:v>2025</x:v>
      </x:c>
      <x:c r="F318" s="4" t="str">
        <x:v>VN07</x:v>
      </x:c>
      <x:c r="G318" s="24" t="str">
        <x:v>https://ancuong.com/pictures/files/pdf/acg-2026/ACG%202026%200805%20-%20Nghi%20quyet%20DHDCD%20thuong%20nien%202026%20%5BVN-EN%5D.pdf</x:v>
      </x:c>
      <x:c r="H318" s="4" t="str">
        <x:v>【示意】企業合併稅後淨利；獨立來源1；來源A級</x:v>
      </x:c>
      <x:c r="I318" s="4" t="str">
        <x:v>低</x:v>
      </x:c>
    </x:row>
    <x:row r="319" ht="38" customHeight="1">
      <x:c r="A319" s="4" t="str">
        <x:v>VN</x:v>
      </x:c>
      <x:c r="B319" s="4" t="str">
        <x:v>Home furniture市場估算</x:v>
      </x:c>
      <x:c r="C319" s="19" t="n">
        <x:v>474.3</x:v>
      </x:c>
      <x:c r="D319" s="4" t="str">
        <x:v>百萬USD</x:v>
      </x:c>
      <x:c r="E319" s="16" t="n">
        <x:v>2025</x:v>
      </x:c>
      <x:c r="F319" s="4" t="str">
        <x:v>VN12</x:v>
      </x:c>
      <x:c r="G319" s="24" t="str">
        <x:v>https://www.mordorintelligence.com/industry-reports/vietnam-home-furniture-market</x:v>
      </x:c>
      <x:c r="H319" s="4" t="str">
        <x:v>【示意】住宅家具市調口徑，非裝修；獨立來源1；來源C級</x:v>
      </x:c>
      <x:c r="I319" s="4" t="str">
        <x:v>低</x:v>
      </x:c>
    </x:row>
    <x:row r="320" ht="66" customHeight="1">
      <x:c r="A320" s="4" t="str">
        <x:v>VN</x:v>
      </x:c>
      <x:c r="B320" s="4" t="str">
        <x:v>Furniture市場估算</x:v>
      </x:c>
      <x:c r="C320" s="14" t="str">
        <x:v>9.62–9.76</x:v>
      </x:c>
      <x:c r="D320" s="4" t="str">
        <x:v>十億USD</x:v>
      </x:c>
      <x:c r="E320" s="16" t="n">
        <x:v>2025</x:v>
      </x:c>
      <x:c r="F320" s="4" t="str">
        <x:v>VN13</x:v>
      </x:c>
      <x:c r="G320" s="24" t="str">
        <x:v>https://www.mordorintelligence.com/industry-reports/vietnam-furniture-market</x:v>
      </x:c>
      <x:c r="H320" s="4" t="str">
        <x:v>【示意】含越南境內家具設計製造與內外銷；同頁2025年基期存在9.76與9.62版本差，仅保留區間示意，非雙源驗證；獨立來源1；來源C級；查核限制：L8：2025 USD9.76bn；L281、345 含國內家具設計製造、內外銷，非純內需；方法比較 L350 另列 USD9.62bn。；同頁9.76／9.62十億美元並列區間，不平均</x:v>
      </x:c>
      <x:c r="I320" s="4" t="str">
        <x:v>低</x:v>
      </x:c>
    </x:row>
    <x:row r="321" ht="38" customHeight="1">
      <x:c r="A321" s="4" t="str">
        <x:v>VN</x:v>
      </x:c>
      <x:c r="B321" s="4" t="str">
        <x:v>胡志明市商辦裝修成本</x:v>
      </x:c>
      <x:c r="C321" s="20" t="n">
        <x:v>656.5985354192931</x:v>
      </x:c>
      <x:c r="D321" s="4" t="str">
        <x:v>USD/m²</x:v>
      </x:c>
      <x:c r="E321" s="16" t="n">
        <x:v>2026</x:v>
      </x:c>
      <x:c r="F321" s="4" t="str">
        <x:v>X02</x:v>
      </x:c>
      <x:c r="G321" s="24" t="str">
        <x:v>https://digital.cushmanwakefield.com/fitoutcostguide-03-2026-apac-regional-en-content-pds-office/30-31/</x:v>
      </x:c>
      <x:c r="H321" s="4" t="str">
        <x:v>【示意】C&amp;W 2026商辦fit-out，價格基準2025年12月；USD/ft²÷0.09290304，非住宅報價，報告自身匯率；獨立來源1；來源B級</x:v>
      </x:c>
      <x:c r="I321" s="4" t="str">
        <x:v>低</x:v>
      </x:c>
    </x:row>
    <x:row r="322" ht="38" customHeight="1">
      <x:c r="A322" s="4" t="str">
        <x:v>ID</x:v>
      </x:c>
      <x:c r="B322" s="4" t="str">
        <x:v>名目人均GDP</x:v>
      </x:c>
      <x:c r="C322" s="19" t="n">
        <x:v>4960.3</x:v>
      </x:c>
      <x:c r="D322" s="4" t="str">
        <x:v>USD/人</x:v>
      </x:c>
      <x:c r="E322" s="16" t="n">
        <x:v>2024</x:v>
      </x:c>
      <x:c r="F322" s="4" t="str">
        <x:v>ID01</x:v>
      </x:c>
      <x:c r="G322" s="24" t="str">
        <x:v>https://www.bps.go.id/id/pressrelease/2025/02/05/2408/economic-growth.html</x:v>
      </x:c>
      <x:c r="H322" s="4" t="str">
        <x:v>【示意】官方當期美元；獨立來源1；來源A級</x:v>
      </x:c>
      <x:c r="I322" s="4" t="str">
        <x:v>低</x:v>
      </x:c>
    </x:row>
    <x:row r="323" ht="38" customHeight="1">
      <x:c r="A323" s="4" t="str">
        <x:v>ID</x:v>
      </x:c>
      <x:c r="B323" s="4" t="str">
        <x:v>名目人均GDP原幣</x:v>
      </x:c>
      <x:c r="C323" s="17" t="n">
        <x:v>78600000</x:v>
      </x:c>
      <x:c r="D323" s="4" t="str">
        <x:v>IDR/人</x:v>
      </x:c>
      <x:c r="E323" s="16" t="n">
        <x:v>2024</x:v>
      </x:c>
      <x:c r="F323" s="4" t="str">
        <x:v>ID01</x:v>
      </x:c>
      <x:c r="G323" s="24" t="str">
        <x:v>https://www.bps.go.id/id/pressrelease/2025/02/05/2408/economic-growth.html</x:v>
      </x:c>
      <x:c r="H323" s="4" t="str">
        <x:v>【示意】官方當期價格；獨立來源1；來源A級</x:v>
      </x:c>
      <x:c r="I323" s="4" t="str">
        <x:v>低</x:v>
      </x:c>
    </x:row>
    <x:row r="324" ht="38" customHeight="1">
      <x:c r="A324" s="4" t="str">
        <x:v>ID</x:v>
      </x:c>
      <x:c r="B324" s="4" t="str">
        <x:v>實質GDP成長率</x:v>
      </x:c>
      <x:c r="C324" s="18" t="n">
        <x:v>5.03</x:v>
      </x:c>
      <x:c r="D324" s="4" t="str">
        <x:v>%</x:v>
      </x:c>
      <x:c r="E324" s="16" t="n">
        <x:v>2024</x:v>
      </x:c>
      <x:c r="F324" s="4" t="str">
        <x:v>ID01</x:v>
      </x:c>
      <x:c r="G324" s="24" t="str">
        <x:v>https://www.bps.go.id/id/pressrelease/2025/02/05/2408/economic-growth.html</x:v>
      </x:c>
      <x:c r="H324" s="4" t="str">
        <x:v>【示意】全國實質成長；獨立來源1；來源A級</x:v>
      </x:c>
      <x:c r="I324" s="4" t="str">
        <x:v>低</x:v>
      </x:c>
    </x:row>
    <x:row r="325" ht="38" customHeight="1">
      <x:c r="A325" s="4" t="str">
        <x:v>ID</x:v>
      </x:c>
      <x:c r="B325" s="4" t="str">
        <x:v>爪哇GDP占比</x:v>
      </x:c>
      <x:c r="C325" s="18" t="n">
        <x:v>57.02</x:v>
      </x:c>
      <x:c r="D325" s="4" t="str">
        <x:v>%</x:v>
      </x:c>
      <x:c r="E325" s="16" t="n">
        <x:v>2024</x:v>
      </x:c>
      <x:c r="F325" s="4" t="str">
        <x:v>ID01</x:v>
      </x:c>
      <x:c r="G325" s="24" t="str">
        <x:v>https://www.bps.go.id/id/pressrelease/2025/02/05/2408/economic-growth.html</x:v>
      </x:c>
      <x:c r="H325" s="4" t="str">
        <x:v>【示意】區域產出占比；非裝修需求占比；獨立來源1；來源A級</x:v>
      </x:c>
      <x:c r="I325" s="4" t="str">
        <x:v>低</x:v>
      </x:c>
    </x:row>
    <x:row r="326" ht="38" customHeight="1">
      <x:c r="A326" s="4" t="str">
        <x:v>ID</x:v>
      </x:c>
      <x:c r="B326" s="4" t="str">
        <x:v>Blibli收購Dekoruma持股</x:v>
      </x:c>
      <x:c r="C326" s="18" t="n">
        <x:v>99.83</x:v>
      </x:c>
      <x:c r="D326" s="4" t="str">
        <x:v>%</x:v>
      </x:c>
      <x:c r="E326" s="16" t="n">
        <x:v>2024</x:v>
      </x:c>
      <x:c r="F326" s="4" t="str">
        <x:v>ID05</x:v>
      </x:c>
      <x:c r="G326" s="24" t="str">
        <x:v>https://asset-about.blibli.com/2025/04/Laporan-Tahunan-2024-PT-Global-Digital-Niaga-Tbk-.pdf</x:v>
      </x:c>
      <x:c r="H326" s="4" t="str">
        <x:v>【示意】2024年6月收購時點，非年底；獨立來源1；來源A級</x:v>
      </x:c>
      <x:c r="I326" s="4" t="str">
        <x:v>低</x:v>
      </x:c>
    </x:row>
    <x:row r="327" ht="38" customHeight="1">
      <x:c r="A327" s="4" t="str">
        <x:v>ID</x:v>
      </x:c>
      <x:c r="B327" s="4" t="str">
        <x:v>Dekoruma收購對價</x:v>
      </x:c>
      <x:c r="C327" s="17" t="n">
        <x:v>1169704</x:v>
      </x:c>
      <x:c r="D327" s="4" t="str">
        <x:v>百萬IDR</x:v>
      </x:c>
      <x:c r="E327" s="16" t="n">
        <x:v>2024</x:v>
      </x:c>
      <x:c r="F327" s="4" t="str">
        <x:v>ID05</x:v>
      </x:c>
      <x:c r="G327" s="24" t="str">
        <x:v>https://asset-about.blibli.com/2025/04/Laporan-Tahunan-2024-PT-Global-Digital-Niaga-Tbk-.pdf</x:v>
      </x:c>
      <x:c r="H327" s="4" t="str">
        <x:v>【示意】2024年報財報註1c purchase consideration；非扣現金後金額；獨立來源1；來源A級</x:v>
      </x:c>
      <x:c r="I327" s="4" t="str">
        <x:v>低</x:v>
      </x:c>
    </x:row>
    <x:row r="328" ht="38" customHeight="1">
      <x:c r="A328" s="4" t="str">
        <x:v>ID</x:v>
      </x:c>
      <x:c r="B328" s="4" t="str">
        <x:v>Blibli集團合併營收</x:v>
      </x:c>
      <x:c r="C328" s="17" t="n">
        <x:v>16715576</x:v>
      </x:c>
      <x:c r="D328" s="4" t="str">
        <x:v>百萬IDR</x:v>
      </x:c>
      <x:c r="E328" s="16" t="n">
        <x:v>2024</x:v>
      </x:c>
      <x:c r="F328" s="4" t="str">
        <x:v>ID05</x:v>
      </x:c>
      <x:c r="G328" s="24" t="str">
        <x:v>https://asset-about.blibli.com/2025/04/Laporan-Tahunan-2024-PT-Global-Digital-Niaga-Tbk-.pdf</x:v>
      </x:c>
      <x:c r="H328" s="4" t="str">
        <x:v>【示意】全電商旅遊超市等合併範圍，不是Dekoruma或装修收入；獨立來源1；來源A級</x:v>
      </x:c>
      <x:c r="I328" s="4" t="str">
        <x:v>低</x:v>
      </x:c>
    </x:row>
    <x:row r="329" ht="38" customHeight="1">
      <x:c r="A329" s="4" t="str">
        <x:v>ID</x:v>
      </x:c>
      <x:c r="B329" s="4" t="str">
        <x:v>Dekoruma設計改稿次數</x:v>
      </x:c>
      <x:c r="C329" s="17" t="n">
        <x:v>2</x:v>
      </x:c>
      <x:c r="D329" s="4" t="str">
        <x:v>次</x:v>
      </x:c>
      <x:c r="E329" s="16" t="n">
        <x:v>2025</x:v>
      </x:c>
      <x:c r="F329" s="4" t="str">
        <x:v>ID06</x:v>
      </x:c>
      <x:c r="G329" s="24" t="str">
        <x:v>https://dekoruma.freshdesk.com/support/solutions/articles/17000118208-frequently-asked-question-faq-proyek-desain-interior</x:v>
      </x:c>
      <x:c r="H329" s="4" t="str">
        <x:v>【示意】FAQ標準服務政策；可變動；獨立來源1；來源C級</x:v>
      </x:c>
      <x:c r="I329" s="4" t="str">
        <x:v>低</x:v>
      </x:c>
    </x:row>
    <x:row r="330" ht="38" customHeight="1">
      <x:c r="A330" s="4" t="str">
        <x:v>ID</x:v>
      </x:c>
      <x:c r="B330" s="4" t="str">
        <x:v>Dekoruma一般生產安裝期上限</x:v>
      </x:c>
      <x:c r="C330" s="17" t="n">
        <x:v>8</x:v>
      </x:c>
      <x:c r="D330" s="4" t="str">
        <x:v>週</x:v>
      </x:c>
      <x:c r="E330" s="16" t="n">
        <x:v>2025</x:v>
      </x:c>
      <x:c r="F330" s="4" t="str">
        <x:v>ID06</x:v>
      </x:c>
      <x:c r="G330" s="24" t="str">
        <x:v>https://dekoruma.freshdesk.com/support/solutions/articles/17000118208-frequently-asked-question-faq-proyek-desain-interior</x:v>
      </x:c>
      <x:c r="H330" s="4" t="str">
        <x:v>【示意】不含設計期，特殊工項可延長；獨立來源1；來源C級</x:v>
      </x:c>
      <x:c r="I330" s="4" t="str">
        <x:v>低</x:v>
      </x:c>
    </x:row>
    <x:row r="331" ht="38" customHeight="1">
      <x:c r="A331" s="4" t="str">
        <x:v>ID</x:v>
      </x:c>
      <x:c r="B331" s="4" t="str">
        <x:v>Dekoruma特定保固</x:v>
      </x:c>
      <x:c r="C331" s="17" t="n">
        <x:v>2</x:v>
      </x:c>
      <x:c r="D331" s="4" t="str">
        <x:v>年</x:v>
      </x:c>
      <x:c r="E331" s="16" t="n">
        <x:v>2025</x:v>
      </x:c>
      <x:c r="F331" s="4" t="str">
        <x:v>ID06</x:v>
      </x:c>
      <x:c r="G331" s="24" t="str">
        <x:v>https://dekoruma.freshdesk.com/support/solutions/articles/17000118208-frequently-asked-question-faq-proyek-desain-interior</x:v>
      </x:c>
      <x:c r="H331" s="4" t="str">
        <x:v>【示意】Garansi Khusus範圍依條款；非全工程法定保固；獨立來源1；來源C級</x:v>
      </x:c>
      <x:c r="I331" s="4" t="str">
        <x:v>低</x:v>
      </x:c>
    </x:row>
    <x:row r="332" ht="38" customHeight="1">
      <x:c r="A332" s="4" t="str">
        <x:v>ID</x:v>
      </x:c>
      <x:c r="B332" s="4" t="str">
        <x:v>新屋價格指數年增</x:v>
      </x:c>
      <x:c r="C332" s="18" t="n">
        <x:v>1.39</x:v>
      </x:c>
      <x:c r="D332" s="4" t="str">
        <x:v>%</x:v>
      </x:c>
      <x:c r="E332" s="16" t="str">
        <x:v>2024Q4</x:v>
      </x:c>
      <x:c r="F332" s="4" t="str">
        <x:v>ID08</x:v>
      </x:c>
      <x:c r="G332" s="24" t="str">
        <x:v>https://www.bi.go.id/id/edukasi/Documents/Infografis-Survei-Harga-properti-Residensial-di-Pasar-Primer-Triwulan-IV-2024.pdf</x:v>
      </x:c>
      <x:c r="H332" s="4" t="str">
        <x:v>【示意】第四季16城市建商抽樣，一級市場；獨立來源1；來源A級</x:v>
      </x:c>
      <x:c r="I332" s="4" t="str">
        <x:v>低</x:v>
      </x:c>
    </x:row>
    <x:row r="333" ht="38" customHeight="1">
      <x:c r="A333" s="4" t="str">
        <x:v>ID</x:v>
      </x:c>
      <x:c r="B333" s="4" t="str">
        <x:v>新屋銷售年增</x:v>
      </x:c>
      <x:c r="C333" s="18" t="n">
        <x:v>-15.09</x:v>
      </x:c>
      <x:c r="D333" s="4" t="str">
        <x:v>%</x:v>
      </x:c>
      <x:c r="E333" s="16" t="str">
        <x:v>2024Q4</x:v>
      </x:c>
      <x:c r="F333" s="4" t="str">
        <x:v>ID08</x:v>
      </x:c>
      <x:c r="G333" s="24" t="str">
        <x:v>https://www.bi.go.id/id/edukasi/Documents/Infografis-Survei-Harga-properti-Residensial-di-Pasar-Primer-Triwulan-IV-2024.pdf</x:v>
      </x:c>
      <x:c r="H333" s="4" t="str">
        <x:v>【示意】第四季16城市抽樣；非全國交易戶數；獨立來源1；來源A級</x:v>
      </x:c>
      <x:c r="I333" s="4" t="str">
        <x:v>低</x:v>
      </x:c>
    </x:row>
    <x:row r="334" ht="38" customHeight="1">
      <x:c r="A334" s="4" t="str">
        <x:v>ID</x:v>
      </x:c>
      <x:c r="B334" s="4" t="str">
        <x:v>新屋買方房貸融資比率</x:v>
      </x:c>
      <x:c r="C334" s="18" t="n">
        <x:v>72.54</x:v>
      </x:c>
      <x:c r="D334" s="4" t="str">
        <x:v>%</x:v>
      </x:c>
      <x:c r="E334" s="16" t="str">
        <x:v>2024Q4</x:v>
      </x:c>
      <x:c r="F334" s="4" t="str">
        <x:v>ID08</x:v>
      </x:c>
      <x:c r="G334" s="24" t="str">
        <x:v>https://www.bi.go.id/id/edukasi/Documents/Infografis-Survei-Harga-properti-Residensial-di-Pasar-Primer-Triwulan-IV-2024.pdf</x:v>
      </x:c>
      <x:c r="H334" s="4" t="str">
        <x:v>【示意】第四季抽樣市場；不是翻修貸款比率；獨立來源1；來源A級</x:v>
      </x:c>
      <x:c r="I334" s="4" t="str">
        <x:v>低</x:v>
      </x:c>
    </x:row>
    <x:row r="335" ht="38" customHeight="1">
      <x:c r="A335" s="4" t="str">
        <x:v>ID</x:v>
      </x:c>
      <x:c r="B335" s="4" t="str">
        <x:v>家具市場估算</x:v>
      </x:c>
      <x:c r="C335" s="18" t="n">
        <x:v>8.24</x:v>
      </x:c>
      <x:c r="D335" s="4" t="str">
        <x:v>十億USD</x:v>
      </x:c>
      <x:c r="E335" s="16" t="n">
        <x:v>2025</x:v>
      </x:c>
      <x:c r="F335" s="4" t="str">
        <x:v>ID10</x:v>
      </x:c>
      <x:c r="G335" s="24" t="str">
        <x:v>https://www.mordorintelligence.com/industry-reports/indonesia-furniture-market</x:v>
      </x:c>
      <x:c r="H335" s="4" t="str">
        <x:v>【預測／示意】含住宅、辦公、飯店等可移動家具；非裝修市場；獨立來源1；來源C級</x:v>
      </x:c>
      <x:c r="I335" s="4" t="str">
        <x:v>低</x:v>
      </x:c>
    </x:row>
    <x:row r="336" ht="38" customHeight="1">
      <x:c r="A336" s="4" t="str">
        <x:v>ID</x:v>
      </x:c>
      <x:c r="B336" s="4" t="str">
        <x:v>家具市場預測</x:v>
      </x:c>
      <x:c r="C336" s="18" t="n">
        <x:v>11.08</x:v>
      </x:c>
      <x:c r="D336" s="4" t="str">
        <x:v>十億USD</x:v>
      </x:c>
      <x:c r="E336" s="16" t="n">
        <x:v>2030</x:v>
      </x:c>
      <x:c r="F336" s="4" t="str">
        <x:v>ID10</x:v>
      </x:c>
      <x:c r="G336" s="24" t="str">
        <x:v>https://www.mordorintelligence.com/industry-reports/indonesia-furniture-market</x:v>
      </x:c>
      <x:c r="H336" s="4" t="str">
        <x:v>【預測／示意】第三方模型預測，不是官方預測；獨立來源1；來源C級</x:v>
      </x:c>
      <x:c r="I336" s="4" t="str">
        <x:v>低</x:v>
      </x:c>
    </x:row>
    <x:row r="337" ht="38" customHeight="1">
      <x:c r="A337" s="4" t="str">
        <x:v>ID</x:v>
      </x:c>
      <x:c r="B337" s="4" t="str">
        <x:v>家具市場預測CAGR</x:v>
      </x:c>
      <x:c r="C337" s="19" t="n">
        <x:v>6.1</x:v>
      </x:c>
      <x:c r="D337" s="4" t="str">
        <x:v>%</x:v>
      </x:c>
      <x:c r="E337" s="16" t="str">
        <x:v>2025–2030</x:v>
      </x:c>
      <x:c r="F337" s="4" t="str">
        <x:v>ID10</x:v>
      </x:c>
      <x:c r="G337" s="24" t="str">
        <x:v>https://www.mordorintelligence.com/industry-reports/indonesia-furniture-market</x:v>
      </x:c>
      <x:c r="H337" s="4" t="str">
        <x:v>【預測／示意】Mordor 家具全市場模型預測期 CAGR，非 2025 年實際年增率；獨立來源1；來源C級；查核限制：L12：2025–2030 CAGR 6.10%。</x:v>
      </x:c>
      <x:c r="I337" s="4" t="str">
        <x:v>低</x:v>
      </x:c>
    </x:row>
    <x:row r="338" ht="38" customHeight="1">
      <x:c r="A338" s="4" t="str">
        <x:v>ID</x:v>
      </x:c>
      <x:c r="B338" s="4" t="str">
        <x:v>家具住宅用途占比</x:v>
      </x:c>
      <x:c r="C338" s="18" t="n">
        <x:v>61.12</x:v>
      </x:c>
      <x:c r="D338" s="4" t="str">
        <x:v>%</x:v>
      </x:c>
      <x:c r="E338" s="16" t="n">
        <x:v>2024</x:v>
      </x:c>
      <x:c r="F338" s="4" t="str">
        <x:v>ID10</x:v>
      </x:c>
      <x:c r="G338" s="24" t="str">
        <x:v>https://www.mordorintelligence.com/industry-reports/indonesia-furniture-market</x:v>
      </x:c>
      <x:c r="H338" s="4" t="str">
        <x:v>【示意】市調家具營收用途占比；非住宅裝修占比；獨立來源1；來源C級</x:v>
      </x:c>
      <x:c r="I338" s="4" t="str">
        <x:v>低</x:v>
      </x:c>
    </x:row>
    <x:row r="339" ht="38" customHeight="1">
      <x:c r="A339" s="4" t="str">
        <x:v>ID</x:v>
      </x:c>
      <x:c r="B339" s="4" t="str">
        <x:v>Dekoruma體驗中心</x:v>
      </x:c>
      <x:c r="C339" s="17" t="n">
        <x:v>38</x:v>
      </x:c>
      <x:c r="D339" s="4" t="str">
        <x:v>處</x:v>
      </x:c>
      <x:c r="E339" s="16" t="str">
        <x:v>2026-06-30</x:v>
      </x:c>
      <x:c r="F339" s="4" t="str">
        <x:v>ID11</x:v>
      </x:c>
      <x:c r="G339" s="24" t="str">
        <x:v>https://asset-about.blibli.com/2026/08/Update-Investor-1H26-PT-Global-Digital-Niaga-Tbk.pdf</x:v>
      </x:c>
      <x:c r="H339" s="4" t="str">
        <x:v>【示意】Home and Living experience centers，不等於全服務設計施工據點；獨立來源1；來源C級</x:v>
      </x:c>
      <x:c r="I339" s="4" t="str">
        <x:v>低</x:v>
      </x:c>
    </x:row>
    <x:row r="340" ht="38" customHeight="1">
      <x:c r="A340" s="4" t="str">
        <x:v>ID</x:v>
      </x:c>
      <x:c r="B340" s="4" t="str">
        <x:v>BUJK PMA非ASEAN股東上限</x:v>
      </x:c>
      <x:c r="C340" s="17" t="n">
        <x:v>67</x:v>
      </x:c>
      <x:c r="D340" s="4" t="str">
        <x:v>%</x:v>
      </x:c>
      <x:c r="E340" s="16" t="n">
        <x:v>2025</x:v>
      </x:c>
      <x:c r="F340" s="4" t="str">
        <x:v>ID12</x:v>
      </x:c>
      <x:c r="G340" s="24" t="str">
        <x:v>https://ptbmr.co.id/wp-content/uploads/2025/04/KEPDIRJEN_BINA_KONSTRUKSI_37_KPTS_DK_2025_STANDAR_SKEMA_SERTIFIKASI_BUJK.pdf</x:v>
      </x:c>
      <x:c r="H340" s="4" t="str">
        <x:v>【示意】建設總局認證方案5.1.1.2，不是全部室內設計KBLI上限；需專業確認；獨立來源1；來源A級</x:v>
      </x:c>
      <x:c r="I340" s="4" t="str">
        <x:v>低</x:v>
      </x:c>
    </x:row>
    <x:row r="341" ht="52" customHeight="1">
      <x:c r="A341" s="4" t="str">
        <x:v>ID</x:v>
      </x:c>
      <x:c r="B341" s="4" t="str">
        <x:v>全產業受僱者平均月薪</x:v>
      </x:c>
      <x:c r="C341" s="17" t="n">
        <x:v>3330000</x:v>
      </x:c>
      <x:c r="D341" s="4" t="str">
        <x:v>IDR/月</x:v>
      </x:c>
      <x:c r="E341" s="16" t="n">
        <x:v>2025</x:v>
      </x:c>
      <x:c r="F341" s="4" t="str">
        <x:v>ID14</x:v>
      </x:c>
      <x:c r="G341" s="24" t="str">
        <x:v>https://www.bps.go.id/assets/pressrelease/2025/11/05/2479/tingkat-pengangguran-terbuka--tpt--sebesar-4-85-persen--rata-rata-upah-buruh-sebesar-3-33-juta-rupiah-.html</x:v>
      </x:c>
      <x:c r="H341" s="4" t="str">
        <x:v>【示意】8月；非室內設計師或監工；獨立來源1；來源A級</x:v>
      </x:c>
      <x:c r="I341" s="4" t="str">
        <x:v>低</x:v>
      </x:c>
    </x:row>
    <x:row r="342" ht="52" customHeight="1">
      <x:c r="A342" s="4" t="str">
        <x:v>ID</x:v>
      </x:c>
      <x:c r="B342" s="4" t="str">
        <x:v>全產業受僱者薪資年增</x:v>
      </x:c>
      <x:c r="C342" s="18" t="n">
        <x:v>1.94</x:v>
      </x:c>
      <x:c r="D342" s="4" t="str">
        <x:v>%</x:v>
      </x:c>
      <x:c r="E342" s="16" t="n">
        <x:v>2025</x:v>
      </x:c>
      <x:c r="F342" s="4" t="str">
        <x:v>ID14</x:v>
      </x:c>
      <x:c r="G342" s="24" t="str">
        <x:v>https://www.bps.go.id/assets/pressrelease/2025/11/05/2479/tingkat-pengangguran-terbuka--tpt--sebesar-4-85-persen--rata-rata-upah-buruh-sebesar-3-33-juta-rupiah-.html</x:v>
      </x:c>
      <x:c r="H342" s="4" t="str">
        <x:v>【示意】2024年8月至2025年8月；獨立來源1；來源A級</x:v>
      </x:c>
      <x:c r="I342" s="4" t="str">
        <x:v>低</x:v>
      </x:c>
    </x:row>
    <x:row r="343" ht="38" customHeight="1">
      <x:c r="A343" s="4" t="str">
        <x:v>ID</x:v>
      </x:c>
      <x:c r="B343" s="4" t="str">
        <x:v>人均GDP</x:v>
      </x:c>
      <x:c r="C343" s="21" t="n">
        <x:v>5059.626</x:v>
      </x:c>
      <x:c r="D343" s="4" t="str">
        <x:v>USD/人</x:v>
      </x:c>
      <x:c r="E343" s="16" t="n">
        <x:v>2025</x:v>
      </x:c>
      <x:c r="F343" s="4" t="str">
        <x:v>MID</x:v>
      </x:c>
      <x:c r="G343" s="24" t="str">
        <x:v>https://data.worldbank.org/country/indonesia</x:v>
      </x:c>
      <x:c r="H343" s="4" t="str">
        <x:v>【示意】名目、現價美元；WDI 2025歷史數列，可能修訂，非家庭可支配所得；獨立來源1；來源A級</x:v>
      </x:c>
      <x:c r="I343" s="4" t="str">
        <x:v>低</x:v>
      </x:c>
    </x:row>
    <x:row r="344" ht="38" customHeight="1">
      <x:c r="A344" s="4" t="str">
        <x:v>ID</x:v>
      </x:c>
      <x:c r="B344" s="4" t="str">
        <x:v>人口</x:v>
      </x:c>
      <x:c r="C344" s="17" t="n">
        <x:v>285721236</x:v>
      </x:c>
      <x:c r="D344" s="4" t="str">
        <x:v>人</x:v>
      </x:c>
      <x:c r="E344" s="16" t="n">
        <x:v>2025</x:v>
      </x:c>
      <x:c r="F344" s="4" t="str">
        <x:v>MID</x:v>
      </x:c>
      <x:c r="G344" s="24" t="str">
        <x:v>https://data.worldbank.org/country/indonesia</x:v>
      </x:c>
      <x:c r="H344" s="4" t="str">
        <x:v>【示意】WDI 2025；CN、IN為頁面billion顯示的四捨五入值，其餘依顯示人數；獨立來源1；來源A級</x:v>
      </x:c>
      <x:c r="I344" s="4" t="str">
        <x:v>低</x:v>
      </x:c>
    </x:row>
    <x:row r="345" ht="30" customHeight="1">
      <x:c r="A345" s="4" t="str">
        <x:v>ID</x:v>
      </x:c>
      <x:c r="B345" s="4" t="str">
        <x:v>GDP</x:v>
      </x:c>
      <x:c r="C345" s="17" t="n">
        <x:v>1450000000000</x:v>
      </x:c>
      <x:c r="D345" s="4" t="str">
        <x:v>USD</x:v>
      </x:c>
      <x:c r="E345" s="16" t="n">
        <x:v>2025</x:v>
      </x:c>
      <x:c r="F345" s="4" t="str">
        <x:v>MID</x:v>
      </x:c>
      <x:c r="G345" s="24" t="str">
        <x:v>https://data.worldbank.org/country/indonesia</x:v>
      </x:c>
      <x:c r="H345" s="4" t="str">
        <x:v>【示意】WDI 2025現價；頁面billion/trillion四捨五入值；獨立來源1；來源A級</x:v>
      </x:c>
      <x:c r="I345" s="4" t="str">
        <x:v>低</x:v>
      </x:c>
    </x:row>
    <x:row r="346" ht="38" customHeight="1">
      <x:c r="A346" s="4" t="str">
        <x:v>ID</x:v>
      </x:c>
      <x:c r="B346" s="4" t="str">
        <x:v>雅加達商辦裝修成本</x:v>
      </x:c>
      <x:c r="C346" s="20" t="n">
        <x:v>624.3068041691638</x:v>
      </x:c>
      <x:c r="D346" s="4" t="str">
        <x:v>USD/m²</x:v>
      </x:c>
      <x:c r="E346" s="16" t="n">
        <x:v>2026</x:v>
      </x:c>
      <x:c r="F346" s="4" t="str">
        <x:v>X02</x:v>
      </x:c>
      <x:c r="G346" s="24" t="str">
        <x:v>https://digital.cushmanwakefield.com/fitoutcostguide-03-2026-apac-regional-en-content-pds-office/30-31/</x:v>
      </x:c>
      <x:c r="H346" s="4" t="str">
        <x:v>【示意】C&amp;W 2026商辦fit-out，價格基準2025年12月；USD/ft²÷0.09290304，非住宅報價，報告自身匯率；獨立來源1；來源B級</x:v>
      </x:c>
      <x:c r="I346" s="4" t="str">
        <x:v>低</x:v>
      </x:c>
    </x:row>
    <x:row r="347" ht="38" customHeight="1">
      <x:c r="A347" s="4" t="str">
        <x:v>PH</x:v>
      </x:c>
      <x:c r="B347" s="4" t="str">
        <x:v>人均GDP</x:v>
      </x:c>
      <x:c r="C347" s="21" t="n">
        <x:v>4170.723</x:v>
      </x:c>
      <x:c r="D347" s="4" t="str">
        <x:v>USD/人</x:v>
      </x:c>
      <x:c r="E347" s="16" t="n">
        <x:v>2025</x:v>
      </x:c>
      <x:c r="F347" s="4" t="str">
        <x:v>MPH</x:v>
      </x:c>
      <x:c r="G347" s="24" t="str">
        <x:v>https://data.worldbank.org/country/philippines</x:v>
      </x:c>
      <x:c r="H347" s="4" t="str">
        <x:v>【示意】名目、現價美元；WDI 2025歷史數列，可能修訂，非家庭可支配所得；獨立來源1；來源A級</x:v>
      </x:c>
      <x:c r="I347" s="4" t="str">
        <x:v>低</x:v>
      </x:c>
    </x:row>
    <x:row r="348" ht="38" customHeight="1">
      <x:c r="A348" s="4" t="str">
        <x:v>PH</x:v>
      </x:c>
      <x:c r="B348" s="4" t="str">
        <x:v>人口</x:v>
      </x:c>
      <x:c r="C348" s="17" t="n">
        <x:v>116786962</x:v>
      </x:c>
      <x:c r="D348" s="4" t="str">
        <x:v>人</x:v>
      </x:c>
      <x:c r="E348" s="16" t="n">
        <x:v>2025</x:v>
      </x:c>
      <x:c r="F348" s="4" t="str">
        <x:v>MPH</x:v>
      </x:c>
      <x:c r="G348" s="24" t="str">
        <x:v>https://data.worldbank.org/country/philippines</x:v>
      </x:c>
      <x:c r="H348" s="4" t="str">
        <x:v>【示意】WDI 2025；CN、IN為頁面billion顯示的四捨五入值，其餘依顯示人數；獨立來源1；來源A級</x:v>
      </x:c>
      <x:c r="I348" s="4" t="str">
        <x:v>低</x:v>
      </x:c>
    </x:row>
    <x:row r="349" ht="30" customHeight="1">
      <x:c r="A349" s="4" t="str">
        <x:v>PH</x:v>
      </x:c>
      <x:c r="B349" s="4" t="str">
        <x:v>GDP</x:v>
      </x:c>
      <x:c r="C349" s="17" t="n">
        <x:v>487090000000</x:v>
      </x:c>
      <x:c r="D349" s="4" t="str">
        <x:v>USD</x:v>
      </x:c>
      <x:c r="E349" s="16" t="n">
        <x:v>2025</x:v>
      </x:c>
      <x:c r="F349" s="4" t="str">
        <x:v>MPH</x:v>
      </x:c>
      <x:c r="G349" s="24" t="str">
        <x:v>https://data.worldbank.org/country/philippines</x:v>
      </x:c>
      <x:c r="H349" s="4" t="str">
        <x:v>【示意】WDI 2025現價；頁面billion/trillion四捨五入值；獨立來源1；來源A級</x:v>
      </x:c>
      <x:c r="I349" s="4" t="str">
        <x:v>低</x:v>
      </x:c>
    </x:row>
    <x:row r="350" ht="30" customHeight="1">
      <x:c r="A350" s="4" t="str">
        <x:v>PH</x:v>
      </x:c>
      <x:c r="B350" s="4" t="str">
        <x:v>住宅核准建築案件</x:v>
      </x:c>
      <x:c r="C350" s="17" t="n">
        <x:v>116427</x:v>
      </x:c>
      <x:c r="D350" s="4" t="str">
        <x:v>件</x:v>
      </x:c>
      <x:c r="E350" s="16" t="n">
        <x:v>2024</x:v>
      </x:c>
      <x:c r="F350" s="4" t="str">
        <x:v>PH01</x:v>
      </x:c>
      <x:c r="G350" s="24" t="str">
        <x:v>https://psa.gov.ph/statistics/construction/pcs/node/1684076766</x:v>
      </x:c>
      <x:c r="H350" s="4" t="str">
        <x:v>【示意】核准建照住宅建築案件，不是完工戶數；獨立來源1；來源A級</x:v>
      </x:c>
      <x:c r="I350" s="4" t="str">
        <x:v>低</x:v>
      </x:c>
    </x:row>
    <x:row r="351" ht="30" customHeight="1">
      <x:c r="A351" s="4" t="str">
        <x:v>PH</x:v>
      </x:c>
      <x:c r="B351" s="4" t="str">
        <x:v>住宅核准建築案件年增</x:v>
      </x:c>
      <x:c r="C351" s="19" t="n">
        <x:v>3.6</x:v>
      </x:c>
      <x:c r="D351" s="4" t="str">
        <x:v>%</x:v>
      </x:c>
      <x:c r="E351" s="16" t="n">
        <x:v>2024</x:v>
      </x:c>
      <x:c r="F351" s="4" t="str">
        <x:v>PH01</x:v>
      </x:c>
      <x:c r="G351" s="24" t="str">
        <x:v>https://psa.gov.ph/statistics/construction/pcs/node/1684076766</x:v>
      </x:c>
      <x:c r="H351" s="4" t="str">
        <x:v>【示意】非住宅翻修增幅；獨立來源1；來源A級</x:v>
      </x:c>
      <x:c r="I351" s="4" t="str">
        <x:v>低</x:v>
      </x:c>
    </x:row>
    <x:row r="352" ht="30" customHeight="1">
      <x:c r="A352" s="4" t="str">
        <x:v>PH</x:v>
      </x:c>
      <x:c r="B352" s="4" t="str">
        <x:v>住宅核准建築申報價值</x:v>
      </x:c>
      <x:c r="C352" s="18" t="n">
        <x:v>248.65</x:v>
      </x:c>
      <x:c r="D352" s="4" t="str">
        <x:v>PHP billion</x:v>
      </x:c>
      <x:c r="E352" s="16" t="n">
        <x:v>2024</x:v>
      </x:c>
      <x:c r="F352" s="4" t="str">
        <x:v>PH01</x:v>
      </x:c>
      <x:c r="G352" s="24" t="str">
        <x:v>https://psa.gov.ph/statistics/construction/pcs/node/1684076766</x:v>
      </x:c>
      <x:c r="H352" s="4" t="str">
        <x:v>【示意】含建築結構之住宅建照申報價值，排除於裝修市場規模比較；獨立來源1；來源A級</x:v>
      </x:c>
      <x:c r="I352" s="4" t="str">
        <x:v>低</x:v>
      </x:c>
    </x:row>
    <x:row r="353" ht="30" customHeight="1">
      <x:c r="A353" s="4" t="str">
        <x:v>PH</x:v>
      </x:c>
      <x:c r="B353" s="4" t="str">
        <x:v>住宅核准建築樓地板面積</x:v>
      </x:c>
      <x:c r="C353" s="18" t="n">
        <x:v>19.75</x:v>
      </x:c>
      <x:c r="D353" s="4" t="str">
        <x:v>million m2</x:v>
      </x:c>
      <x:c r="E353" s="16" t="n">
        <x:v>2024</x:v>
      </x:c>
      <x:c r="F353" s="4" t="str">
        <x:v>PH01</x:v>
      </x:c>
      <x:c r="G353" s="24" t="str">
        <x:v>https://psa.gov.ph/statistics/construction/pcs/node/1684076766</x:v>
      </x:c>
      <x:c r="H353" s="4" t="str">
        <x:v>【示意】不是裝修施工面積；獨立來源1；來源A級</x:v>
      </x:c>
      <x:c r="I353" s="4" t="str">
        <x:v>低</x:v>
      </x:c>
    </x:row>
    <x:row r="354" ht="38" customHeight="1">
      <x:c r="A354" s="4" t="str">
        <x:v>PH</x:v>
      </x:c>
      <x:c r="B354" s="4" t="str">
        <x:v>改建及修繕建照申報價值</x:v>
      </x:c>
      <x:c r="C354" s="18" t="n">
        <x:v>43.05</x:v>
      </x:c>
      <x:c r="D354" s="4" t="str">
        <x:v>PHP billion</x:v>
      </x:c>
      <x:c r="E354" s="16" t="n">
        <x:v>2024</x:v>
      </x:c>
      <x:c r="F354" s="4" t="str">
        <x:v>PH01</x:v>
      </x:c>
      <x:c r="G354" s="24" t="str">
        <x:v>https://psa.gov.ph/statistics/construction/pcs/node/1684076766</x:v>
      </x:c>
      <x:c r="H354" s="4" t="str">
        <x:v>【示意】alteration and repair；住宅與非住宅混合；不含無申報工程；獨立來源1；來源A級</x:v>
      </x:c>
      <x:c r="I354" s="4" t="str">
        <x:v>低</x:v>
      </x:c>
    </x:row>
    <x:row r="355" ht="30" customHeight="1">
      <x:c r="A355" s="4" t="str">
        <x:v>PH</x:v>
      </x:c>
      <x:c r="B355" s="4" t="str">
        <x:v>改建及修繕申報價值年增</x:v>
      </x:c>
      <x:c r="C355" s="19" t="n">
        <x:v>26.7</x:v>
      </x:c>
      <x:c r="D355" s="4" t="str">
        <x:v>%</x:v>
      </x:c>
      <x:c r="E355" s="16" t="n">
        <x:v>2024</x:v>
      </x:c>
      <x:c r="F355" s="4" t="str">
        <x:v>PH01</x:v>
      </x:c>
      <x:c r="G355" s="24" t="str">
        <x:v>https://psa.gov.ph/statistics/construction/pcs/node/1684076766</x:v>
      </x:c>
      <x:c r="H355" s="4" t="str">
        <x:v>【示意】住宅與非住宅混合申報金額；獨立來源1；來源A級</x:v>
      </x:c>
      <x:c r="I355" s="4" t="str">
        <x:v>低</x:v>
      </x:c>
    </x:row>
    <x:row r="356" ht="38" customHeight="1">
      <x:c r="A356" s="4" t="str">
        <x:v>PH</x:v>
      </x:c>
      <x:c r="B356" s="4" t="str">
        <x:v>Wilcon gross revenue</x:v>
      </x:c>
      <x:c r="C356" s="23" t="n">
        <x:v>34.620976305</x:v>
      </x:c>
      <x:c r="D356" s="4" t="str">
        <x:v>PHP billion</x:v>
      </x:c>
      <x:c r="E356" s="16" t="n">
        <x:v>2024</x:v>
      </x:c>
      <x:c r="F356" s="4" t="str">
        <x:v>PH02</x:v>
      </x:c>
      <x:c r="G356" s="24" t="str">
        <x:v>https://edge.pse.com.ph/downloadHtml.do?file_id=1709278</x:v>
      </x:c>
      <x:c r="H356" s="4" t="str">
        <x:v>【示意】PSE annual summary gross revenue，非net sales亦非裝修市場；獨立來源1；來源A級</x:v>
      </x:c>
      <x:c r="I356" s="4" t="str">
        <x:v>低</x:v>
      </x:c>
    </x:row>
    <x:row r="357" ht="30" customHeight="1">
      <x:c r="A357" s="4" t="str">
        <x:v>PH</x:v>
      </x:c>
      <x:c r="B357" s="4" t="str">
        <x:v>Wilcon稅後淨利</x:v>
      </x:c>
      <x:c r="C357" s="23" t="n">
        <x:v>2.528431482</x:v>
      </x:c>
      <x:c r="D357" s="4" t="str">
        <x:v>PHP billion</x:v>
      </x:c>
      <x:c r="E357" s="16" t="n">
        <x:v>2024</x:v>
      </x:c>
      <x:c r="F357" s="4" t="str">
        <x:v>PH02</x:v>
      </x:c>
      <x:c r="G357" s="24" t="str">
        <x:v>https://edge.pse.com.ph/downloadHtml.do?file_id=1709278</x:v>
      </x:c>
      <x:c r="H357" s="4" t="str">
        <x:v>【示意】公司全年稅後淨利；獨立來源1；來源A級</x:v>
      </x:c>
      <x:c r="I357" s="4" t="str">
        <x:v>低</x:v>
      </x:c>
    </x:row>
    <x:row r="358" ht="38" customHeight="1">
      <x:c r="A358" s="4" t="str">
        <x:v>PH</x:v>
      </x:c>
      <x:c r="B358" s="4" t="str">
        <x:v>Wilcon淨銷售額</x:v>
      </x:c>
      <x:c r="C358" s="21" t="n">
        <x:v>17.184</x:v>
      </x:c>
      <x:c r="D358" s="4" t="str">
        <x:v>PHP billion</x:v>
      </x:c>
      <x:c r="E358" s="16" t="str">
        <x:v>2024H1</x:v>
      </x:c>
      <x:c r="F358" s="4" t="str">
        <x:v>PH03</x:v>
      </x:c>
      <x:c r="G358" s="24" t="str">
        <x:v>https://investor.wilcon.com.ph/wp-content/uploads/2024/08/WLCON-17Q-Q2-2024-FS.pdf</x:v>
      </x:c>
      <x:c r="H358" s="4" t="str">
        <x:v>【示意】公司上半年net sales；獨立來源1；來源A級</x:v>
      </x:c>
      <x:c r="I358" s="4" t="str">
        <x:v>低</x:v>
      </x:c>
    </x:row>
    <x:row r="359" ht="38" customHeight="1">
      <x:c r="A359" s="4" t="str">
        <x:v>PH</x:v>
      </x:c>
      <x:c r="B359" s="4" t="str">
        <x:v>Wilcon毛利率</x:v>
      </x:c>
      <x:c r="C359" s="19" t="n">
        <x:v>39.8</x:v>
      </x:c>
      <x:c r="D359" s="4" t="str">
        <x:v>%</x:v>
      </x:c>
      <x:c r="E359" s="16" t="str">
        <x:v>2024H1</x:v>
      </x:c>
      <x:c r="F359" s="4" t="str">
        <x:v>PH03</x:v>
      </x:c>
      <x:c r="G359" s="24" t="str">
        <x:v>https://investor.wilcon.com.ph/wp-content/uploads/2024/08/WLCON-17Q-Q2-2024-FS.pdf</x:v>
      </x:c>
      <x:c r="H359" s="4" t="str">
        <x:v>【示意】材料家居零售毛利，不是工程毛利；獨立來源1；來源A級</x:v>
      </x:c>
      <x:c r="I359" s="4" t="str">
        <x:v>低</x:v>
      </x:c>
    </x:row>
    <x:row r="360" ht="38" customHeight="1">
      <x:c r="A360" s="4" t="str">
        <x:v>PH</x:v>
      </x:c>
      <x:c r="B360" s="4" t="str">
        <x:v>Wilcon淨利率</x:v>
      </x:c>
      <x:c r="C360" s="19" t="n">
        <x:v>8.8</x:v>
      </x:c>
      <x:c r="D360" s="4" t="str">
        <x:v>%</x:v>
      </x:c>
      <x:c r="E360" s="16" t="str">
        <x:v>2024H1</x:v>
      </x:c>
      <x:c r="F360" s="4" t="str">
        <x:v>PH03</x:v>
      </x:c>
      <x:c r="G360" s="24" t="str">
        <x:v>https://investor.wilcon.com.ph/wp-content/uploads/2024/08/WLCON-17Q-Q2-2024-FS.pdf</x:v>
      </x:c>
      <x:c r="H360" s="4" t="str">
        <x:v>【示意】公司上半年；獨立來源1；來源A級</x:v>
      </x:c>
      <x:c r="I360" s="4" t="str">
        <x:v>低</x:v>
      </x:c>
    </x:row>
    <x:row r="361" ht="38" customHeight="1">
      <x:c r="A361" s="4" t="str">
        <x:v>PH</x:v>
      </x:c>
      <x:c r="B361" s="4" t="str">
        <x:v>Wilcon同店銷售年增</x:v>
      </x:c>
      <x:c r="C361" s="19" t="n">
        <x:v>-4.6</x:v>
      </x:c>
      <x:c r="D361" s="4" t="str">
        <x:v>%</x:v>
      </x:c>
      <x:c r="E361" s="16" t="str">
        <x:v>2024H1</x:v>
      </x:c>
      <x:c r="F361" s="4" t="str">
        <x:v>PH03</x:v>
      </x:c>
      <x:c r="G361" s="24" t="str">
        <x:v>https://investor.wilcon.com.ph/wp-content/uploads/2024/08/WLCON-17Q-Q2-2024-FS.pdf</x:v>
      </x:c>
      <x:c r="H361" s="4" t="str">
        <x:v>【示意】comparable sales；獨立來源1；來源A級</x:v>
      </x:c>
      <x:c r="I361" s="4" t="str">
        <x:v>低</x:v>
      </x:c>
    </x:row>
    <x:row r="362" ht="38" customHeight="1">
      <x:c r="A362" s="4" t="str">
        <x:v>PH</x:v>
      </x:c>
      <x:c r="B362" s="4" t="str">
        <x:v>Wilcon獨家與自有品牌收入占比</x:v>
      </x:c>
      <x:c r="C362" s="17" t="n">
        <x:v>52</x:v>
      </x:c>
      <x:c r="D362" s="4" t="str">
        <x:v>%</x:v>
      </x:c>
      <x:c r="E362" s="16" t="str">
        <x:v>2024H1</x:v>
      </x:c>
      <x:c r="F362" s="4" t="str">
        <x:v>PH03</x:v>
      </x:c>
      <x:c r="G362" s="24" t="str">
        <x:v>https://investor.wilcon.com.ph/wp-content/uploads/2024/08/WLCON-17Q-Q2-2024-FS.pdf</x:v>
      </x:c>
      <x:c r="H362" s="4" t="str">
        <x:v>【示意】exclusive and in-house brands；獨立來源1；來源A級</x:v>
      </x:c>
      <x:c r="I362" s="4" t="str">
        <x:v>低</x:v>
      </x:c>
    </x:row>
    <x:row r="363" ht="38" customHeight="1">
      <x:c r="A363" s="4" t="str">
        <x:v>PH</x:v>
      </x:c>
      <x:c r="B363" s="4" t="str">
        <x:v>Wilcon店數</x:v>
      </x:c>
      <x:c r="C363" s="17" t="n">
        <x:v>95</x:v>
      </x:c>
      <x:c r="D363" s="4" t="str">
        <x:v>店</x:v>
      </x:c>
      <x:c r="E363" s="16" t="str">
        <x:v>2024-06</x:v>
      </x:c>
      <x:c r="F363" s="4" t="str">
        <x:v>PH03</x:v>
      </x:c>
      <x:c r="G363" s="24" t="str">
        <x:v>https://investor.wilcon.com.ph/wp-content/uploads/2024/08/WLCON-17Q-Q2-2024-FS.pdf</x:v>
      </x:c>
      <x:c r="H363" s="4" t="str">
        <x:v>【示意】期末全店，不是平均店數；獨立來源1；來源A級</x:v>
      </x:c>
      <x:c r="I363" s="4" t="str">
        <x:v>低</x:v>
      </x:c>
    </x:row>
    <x:row r="364" ht="30" customHeight="1">
      <x:c r="A364" s="4" t="str">
        <x:v>PH</x:v>
      </x:c>
      <x:c r="B364" s="4" t="str">
        <x:v>室內設計師考試及格人數</x:v>
      </x:c>
      <x:c r="C364" s="17" t="n">
        <x:v>119</x:v>
      </x:c>
      <x:c r="D364" s="4" t="str">
        <x:v>人</x:v>
      </x:c>
      <x:c r="E364" s="16" t="n">
        <x:v>2024</x:v>
      </x:c>
      <x:c r="F364" s="4" t="str">
        <x:v>PH06</x:v>
      </x:c>
      <x:c r="G364" s="24" t="str">
        <x:v>https://prc.gov.ph/index.php/node/6770</x:v>
      </x:c>
      <x:c r="H364" s="4" t="str">
        <x:v>【示意】7月考試新增及格；不是總執業人數；獨立來源1；來源A級</x:v>
      </x:c>
      <x:c r="I364" s="4" t="str">
        <x:v>低</x:v>
      </x:c>
    </x:row>
    <x:row r="365" ht="30" customHeight="1">
      <x:c r="A365" s="4" t="str">
        <x:v>PH</x:v>
      </x:c>
      <x:c r="B365" s="4" t="str">
        <x:v>室內設計師考試報考參試人數</x:v>
      </x:c>
      <x:c r="C365" s="17" t="n">
        <x:v>400</x:v>
      </x:c>
      <x:c r="D365" s="4" t="str">
        <x:v>人</x:v>
      </x:c>
      <x:c r="E365" s="16" t="n">
        <x:v>2024</x:v>
      </x:c>
      <x:c r="F365" s="4" t="str">
        <x:v>PH06</x:v>
      </x:c>
      <x:c r="G365" s="24" t="str">
        <x:v>https://prc.gov.ph/index.php/node/6770</x:v>
      </x:c>
      <x:c r="H365" s="4" t="str">
        <x:v>【示意】7月考試；獨立來源1；來源A級</x:v>
      </x:c>
      <x:c r="I365" s="4" t="str">
        <x:v>低</x:v>
      </x:c>
    </x:row>
    <x:row r="366" ht="30" customHeight="1">
      <x:c r="A366" s="4" t="str">
        <x:v>PH</x:v>
      </x:c>
      <x:c r="B366" s="4" t="str">
        <x:v>室內設計師考試及格人數</x:v>
      </x:c>
      <x:c r="C366" s="17" t="n">
        <x:v>381</x:v>
      </x:c>
      <x:c r="D366" s="4" t="str">
        <x:v>人</x:v>
      </x:c>
      <x:c r="E366" s="16" t="n">
        <x:v>2026</x:v>
      </x:c>
      <x:c r="F366" s="4" t="str">
        <x:v>PH07</x:v>
      </x:c>
      <x:c r="G366" s="24" t="str">
        <x:v>https://www.prc.gov.ph/node/9177</x:v>
      </x:c>
      <x:c r="H366" s="4" t="str">
        <x:v>【示意】7月考試新增及格；不是畢業人數；獨立來源1；來源A級</x:v>
      </x:c>
      <x:c r="I366" s="4" t="str">
        <x:v>低</x:v>
      </x:c>
    </x:row>
    <x:row r="367" ht="30" customHeight="1">
      <x:c r="A367" s="4" t="str">
        <x:v>PH</x:v>
      </x:c>
      <x:c r="B367" s="4" t="str">
        <x:v>室內設計師考試參試人數</x:v>
      </x:c>
      <x:c r="C367" s="17" t="n">
        <x:v>432</x:v>
      </x:c>
      <x:c r="D367" s="4" t="str">
        <x:v>人</x:v>
      </x:c>
      <x:c r="E367" s="16" t="n">
        <x:v>2026</x:v>
      </x:c>
      <x:c r="F367" s="4" t="str">
        <x:v>PH07</x:v>
      </x:c>
      <x:c r="G367" s="24" t="str">
        <x:v>https://www.prc.gov.ph/node/9177</x:v>
      </x:c>
      <x:c r="H367" s="4" t="str">
        <x:v>【示意】7月考試；獨立來源1；來源A級</x:v>
      </x:c>
      <x:c r="I367" s="4" t="str">
        <x:v>低</x:v>
      </x:c>
    </x:row>
    <x:row r="368" ht="30" customHeight="1">
      <x:c r="A368" s="4" t="str">
        <x:v>PH</x:v>
      </x:c>
      <x:c r="B368" s="4" t="str">
        <x:v>NCR建材零售價格年度平均增幅</x:v>
      </x:c>
      <x:c r="C368" s="17" t="n">
        <x:v>1</x:v>
      </x:c>
      <x:c r="D368" s="4" t="str">
        <x:v>%</x:v>
      </x:c>
      <x:c r="E368" s="16" t="n">
        <x:v>2025</x:v>
      </x:c>
      <x:c r="F368" s="4" t="str">
        <x:v>PH09</x:v>
      </x:c>
      <x:c r="G368" s="24" t="str">
        <x:v>https://psa.gov.ph/price-indices/cmrpi/node/1684082307</x:v>
      </x:c>
      <x:c r="H368" s="4" t="str">
        <x:v>【示意】馬尼拉首都區建材零售指數，非全國裝修報價；獨立來源1；來源A級</x:v>
      </x:c>
      <x:c r="I368" s="4" t="str">
        <x:v>低</x:v>
      </x:c>
    </x:row>
    <x:row r="369" ht="30" customHeight="1">
      <x:c r="A369" s="4" t="str">
        <x:v>PH</x:v>
      </x:c>
      <x:c r="B369" s="4" t="str">
        <x:v>NCR建材零售價格年度平均增幅</x:v>
      </x:c>
      <x:c r="C369" s="19" t="n">
        <x:v>1.2</x:v>
      </x:c>
      <x:c r="D369" s="4" t="str">
        <x:v>%</x:v>
      </x:c>
      <x:c r="E369" s="16" t="n">
        <x:v>2024</x:v>
      </x:c>
      <x:c r="F369" s="4" t="str">
        <x:v>PH09</x:v>
      </x:c>
      <x:c r="G369" s="24" t="str">
        <x:v>https://psa.gov.ph/price-indices/cmrpi/node/1684082307</x:v>
      </x:c>
      <x:c r="H369" s="4" t="str">
        <x:v>【示意】馬尼拉首都區；獨立來源1；來源A級</x:v>
      </x:c>
      <x:c r="I369" s="4" t="str">
        <x:v>低</x:v>
      </x:c>
    </x:row>
    <x:row r="370" ht="30" customHeight="1">
      <x:c r="A370" s="4" t="str">
        <x:v>PH</x:v>
      </x:c>
      <x:c r="B370" s="4" t="str">
        <x:v>外資零售最低實收資本</x:v>
      </x:c>
      <x:c r="C370" s="17" t="n">
        <x:v>25</x:v>
      </x:c>
      <x:c r="D370" s="4" t="str">
        <x:v>PHP million</x:v>
      </x:c>
      <x:c r="E370" s="16" t="str">
        <x:v>2021法／2026核閱</x:v>
      </x:c>
      <x:c r="F370" s="4" t="str">
        <x:v>PH10</x:v>
      </x:c>
      <x:c r="G370" s="24" t="str">
        <x:v>https://www.lawphil.net/statutes/repacts/ra2021/ra_11595_2021.html</x:v>
      </x:c>
      <x:c r="H370" s="4" t="str">
        <x:v>【示意】另需互惠；多店投資門檻適用條件另見法條；獨立來源1；來源A級</x:v>
      </x:c>
      <x:c r="I370" s="4" t="str">
        <x:v>低</x:v>
      </x:c>
    </x:row>
    <x:row r="371" ht="30" customHeight="1">
      <x:c r="A371" s="4" t="str">
        <x:v>PH</x:v>
      </x:c>
      <x:c r="B371" s="4" t="str">
        <x:v>外資多店每店最低投資</x:v>
      </x:c>
      <x:c r="C371" s="17" t="n">
        <x:v>10</x:v>
      </x:c>
      <x:c r="D371" s="4" t="str">
        <x:v>PHP million</x:v>
      </x:c>
      <x:c r="E371" s="16" t="str">
        <x:v>2021法／2026核閱</x:v>
      </x:c>
      <x:c r="F371" s="4" t="str">
        <x:v>PH10</x:v>
      </x:c>
      <x:c r="G371" s="24" t="str">
        <x:v>https://www.lawphil.net/statutes/repacts/ra2021/ra_11595_2021.html</x:v>
      </x:c>
      <x:c r="H371" s="4" t="str">
        <x:v>【示意】多於一實體店，既有合法業者有例外；獨立來源1；來源A級</x:v>
      </x:c>
      <x:c r="I371" s="4" t="str">
        <x:v>低</x:v>
      </x:c>
    </x:row>
    <x:row r="372" ht="52" customHeight="1">
      <x:c r="A372" s="4" t="str">
        <x:v>PH</x:v>
      </x:c>
      <x:c r="B372" s="4" t="str">
        <x:v>家具與室內設計廣義市場</x:v>
      </x:c>
      <x:c r="C372" s="19" t="n">
        <x:v>4.1</x:v>
      </x:c>
      <x:c r="D372" s="4" t="str">
        <x:v>USD billion</x:v>
      </x:c>
      <x:c r="E372" s="16" t="str">
        <x:v>2024基期／2025發布</x:v>
      </x:c>
      <x:c r="F372" s="4" t="str">
        <x:v>PH11</x:v>
      </x:c>
      <x:c r="G372" s="24" t="str">
        <x:v>https://www.kenresearch.com/philippines-furniture-and-interior-design-market</x:v>
      </x:c>
      <x:c r="H372" s="4" t="str">
        <x:v>【示意】Ken Research 家具與室內設計混合市場，涵蓋住宅及商用家具；銷售頁 Base Year2024，非純住宅翻修。；獨立來源1；來源C級；查核限制：頁面 L227 Base Year2024，L229 USD4.1bn；發布 October2025，家具與設計混合。</x:v>
      </x:c>
      <x:c r="I372" s="4" t="str">
        <x:v>低</x:v>
      </x:c>
    </x:row>
    <x:row r="373" ht="38" customHeight="1">
      <x:c r="A373" s="4" t="str">
        <x:v>PH</x:v>
      </x:c>
      <x:c r="B373" s="4" t="str">
        <x:v>人均名目GDP</x:v>
      </x:c>
      <x:c r="C373" s="19" t="n">
        <x:v>3983.1</x:v>
      </x:c>
      <x:c r="D373" s="4" t="str">
        <x:v>USD/人</x:v>
      </x:c>
      <x:c r="E373" s="16" t="n">
        <x:v>2024</x:v>
      </x:c>
      <x:c r="F373" s="4" t="str">
        <x:v>PH12</x:v>
      </x:c>
      <x:c r="G373" s="24" t="str">
        <x:v>https://thedocs.worldbank.org/en/doc/b991970a7f5096ab093720e27d5f0b68-0500012021/related/data-phl.pdf</x:v>
      </x:c>
      <x:c r="H373" s="4" t="str">
        <x:v>【示意】世界銀行目前開啟表之2024欄；網頁搜尋快取3984.8與現行表不同，採實際開啟值；獨立來源1；來源A級</x:v>
      </x:c>
      <x:c r="I373" s="4" t="str">
        <x:v>低</x:v>
      </x:c>
    </x:row>
    <x:row r="374" ht="38" customHeight="1">
      <x:c r="A374" s="4" t="str">
        <x:v>PH</x:v>
      </x:c>
      <x:c r="B374" s="4" t="str">
        <x:v>馬尼拉商辦裝修成本</x:v>
      </x:c>
      <x:c r="C374" s="20" t="n">
        <x:v>1130.2105937545207</x:v>
      </x:c>
      <x:c r="D374" s="4" t="str">
        <x:v>USD/m²</x:v>
      </x:c>
      <x:c r="E374" s="16" t="n">
        <x:v>2026</x:v>
      </x:c>
      <x:c r="F374" s="4" t="str">
        <x:v>X02</x:v>
      </x:c>
      <x:c r="G374" s="24" t="str">
        <x:v>https://digital.cushmanwakefield.com/fitoutcostguide-03-2026-apac-regional-en-content-pds-office/30-31/</x:v>
      </x:c>
      <x:c r="H374" s="4" t="str">
        <x:v>【示意】C&amp;W 2026商辦fit-out，價格基準2025年12月；USD/ft²÷0.09290304，非住宅報價，報告自身匯率；獨立來源1；來源B級</x:v>
      </x:c>
      <x:c r="I374" s="4" t="str">
        <x:v>低</x:v>
      </x:c>
    </x:row>
    <x:row r="375" ht="38" customHeight="1">
      <x:c r="A375" s="4" t="str">
        <x:v>IN</x:v>
      </x:c>
      <x:c r="B375" s="4" t="str">
        <x:v>室內設計服務合約市場</x:v>
      </x:c>
      <x:c r="C375" s="18" t="n">
        <x:v>31.43</x:v>
      </x:c>
      <x:c r="D375" s="4" t="str">
        <x:v>USD billion</x:v>
      </x:c>
      <x:c r="E375" s="16" t="n">
        <x:v>2025</x:v>
      </x:c>
      <x:c r="F375" s="4" t="str">
        <x:v>IN01</x:v>
      </x:c>
      <x:c r="G375" s="24" t="str">
        <x:v>https://www.mordorintelligence.com/industry-reports/india-interior-design-market</x:v>
      </x:c>
      <x:c r="H375" s="4" t="str">
        <x:v>【示意】市調估計：住宅商用、新建翻修；含服務合約附隨供應，排除獨立家具建材交易；獨立來源1；來源C級</x:v>
      </x:c>
      <x:c r="I375" s="4" t="str">
        <x:v>低</x:v>
      </x:c>
    </x:row>
    <x:row r="376" ht="38" customHeight="1">
      <x:c r="A376" s="4" t="str">
        <x:v>IN</x:v>
      </x:c>
      <x:c r="B376" s="4" t="str">
        <x:v>室內設計服務合約市場預測</x:v>
      </x:c>
      <x:c r="C376" s="18" t="n">
        <x:v>35.48</x:v>
      </x:c>
      <x:c r="D376" s="4" t="str">
        <x:v>USD billion</x:v>
      </x:c>
      <x:c r="E376" s="16" t="n">
        <x:v>2026</x:v>
      </x:c>
      <x:c r="F376" s="4" t="str">
        <x:v>IN01</x:v>
      </x:c>
      <x:c r="G376" s="24" t="str">
        <x:v>https://www.mordorintelligence.com/industry-reports/india-interior-design-market</x:v>
      </x:c>
      <x:c r="H376" s="4" t="str">
        <x:v>【預測／示意】市調模型預測，非2026官方實績；獨立來源1；來源C級</x:v>
      </x:c>
      <x:c r="I376" s="4" t="str">
        <x:v>低</x:v>
      </x:c>
    </x:row>
    <x:row r="377" ht="38" customHeight="1">
      <x:c r="A377" s="4" t="str">
        <x:v>IN</x:v>
      </x:c>
      <x:c r="B377" s="4" t="str">
        <x:v>設計服務合約商業空間占比</x:v>
      </x:c>
      <x:c r="C377" s="18" t="n">
        <x:v>74.44</x:v>
      </x:c>
      <x:c r="D377" s="4" t="str">
        <x:v>%</x:v>
      </x:c>
      <x:c r="E377" s="16" t="n">
        <x:v>2025</x:v>
      </x:c>
      <x:c r="F377" s="4" t="str">
        <x:v>IN01</x:v>
      </x:c>
      <x:c r="G377" s="24" t="str">
        <x:v>https://www.mordorintelligence.com/industry-reports/india-interior-design-market</x:v>
      </x:c>
      <x:c r="H377" s="4" t="str">
        <x:v>【示意】市調口徑，不能當住宅市場比重；獨立來源1；來源C級</x:v>
      </x:c>
      <x:c r="I377" s="4" t="str">
        <x:v>低</x:v>
      </x:c>
    </x:row>
    <x:row r="378" ht="38" customHeight="1">
      <x:c r="A378" s="4" t="str">
        <x:v>IN</x:v>
      </x:c>
      <x:c r="B378" s="4" t="str">
        <x:v>設計服務合約新建占比</x:v>
      </x:c>
      <x:c r="C378" s="18" t="n">
        <x:v>57.39</x:v>
      </x:c>
      <x:c r="D378" s="4" t="str">
        <x:v>%</x:v>
      </x:c>
      <x:c r="E378" s="16" t="n">
        <x:v>2025</x:v>
      </x:c>
      <x:c r="F378" s="4" t="str">
        <x:v>IN01</x:v>
      </x:c>
      <x:c r="G378" s="24" t="str">
        <x:v>https://www.mordorintelligence.com/industry-reports/india-interior-design-market</x:v>
      </x:c>
      <x:c r="H378" s="4" t="str">
        <x:v>【示意】住宅與商用混合；獨立來源1；來源C級</x:v>
      </x:c>
      <x:c r="I378" s="4" t="str">
        <x:v>低</x:v>
      </x:c>
    </x:row>
    <x:row r="379" ht="38" customHeight="1">
      <x:c r="A379" s="4" t="str">
        <x:v>IN</x:v>
      </x:c>
      <x:c r="B379" s="4" t="str">
        <x:v>Home Interiors市場估計</x:v>
      </x:c>
      <x:c r="C379" s="18" t="n">
        <x:v>1.27</x:v>
      </x:c>
      <x:c r="D379" s="4" t="str">
        <x:v>INR trillion</x:v>
      </x:c>
      <x:c r="E379" s="16" t="n">
        <x:v>2024</x:v>
      </x:c>
      <x:c r="F379" s="4" t="str">
        <x:v>IN02</x:v>
      </x:c>
      <x:c r="G379" s="24" t="str">
        <x:v>https://property.magicbricks.com/microsite/research-insights/src/pdf/sample/Interiors-Sample-Report.pdf</x:v>
      </x:c>
      <x:c r="H379" s="4" t="str">
        <x:v>【示意】原文1.27 lakh crore；住宅內裝家具模組範圍，非純住宅翻修；獨立來源1；來源C級</x:v>
      </x:c>
      <x:c r="I379" s="4" t="str">
        <x:v>低</x:v>
      </x:c>
    </x:row>
    <x:row r="380" ht="38" customHeight="1">
      <x:c r="A380" s="4" t="str">
        <x:v>IN</x:v>
      </x:c>
      <x:c r="B380" s="4" t="str">
        <x:v>Home Interiors市場2030預測</x:v>
      </x:c>
      <x:c r="C380" s="18" t="n">
        <x:v>2.75</x:v>
      </x:c>
      <x:c r="D380" s="4" t="str">
        <x:v>INR trillion</x:v>
      </x:c>
      <x:c r="E380" s="16" t="n">
        <x:v>2030</x:v>
      </x:c>
      <x:c r="F380" s="4" t="str">
        <x:v>IN02</x:v>
      </x:c>
      <x:c r="G380" s="24" t="str">
        <x:v>https://property.magicbricks.com/microsite/research-insights/src/pdf/sample/Interiors-Sample-Report.pdf</x:v>
      </x:c>
      <x:c r="H380" s="4" t="str">
        <x:v>【預測／示意】平台研究預測，非官方；獨立來源1；來源C級</x:v>
      </x:c>
      <x:c r="I380" s="4" t="str">
        <x:v>低</x:v>
      </x:c>
    </x:row>
    <x:row r="381" ht="38" customHeight="1">
      <x:c r="A381" s="4" t="str">
        <x:v>IN</x:v>
      </x:c>
      <x:c r="B381" s="4" t="str">
        <x:v>二線城市Home Interiors市場</x:v>
      </x:c>
      <x:c r="C381" s="18" t="n">
        <x:v>230.74</x:v>
      </x:c>
      <x:c r="D381" s="4" t="str">
        <x:v>INR billion</x:v>
      </x:c>
      <x:c r="E381" s="16" t="n">
        <x:v>2024</x:v>
      </x:c>
      <x:c r="F381" s="4" t="str">
        <x:v>IN02</x:v>
      </x:c>
      <x:c r="G381" s="24" t="str">
        <x:v>https://property.magicbricks.com/microsite/research-insights/src/pdf/sample/Interiors-Sample-Report.pdf</x:v>
      </x:c>
      <x:c r="H381" s="4" t="str">
        <x:v>【示意】原文23074 crore；獨立來源1；來源C級</x:v>
      </x:c>
      <x:c r="I381" s="4" t="str">
        <x:v>低</x:v>
      </x:c>
    </x:row>
    <x:row r="382" ht="38" customHeight="1">
      <x:c r="A382" s="4" t="str">
        <x:v>IN</x:v>
      </x:c>
      <x:c r="B382" s="4" t="str">
        <x:v>二線城市Home Interiors市場2030預測</x:v>
      </x:c>
      <x:c r="C382" s="17" t="n">
        <x:v>725</x:v>
      </x:c>
      <x:c r="D382" s="4" t="str">
        <x:v>INR billion</x:v>
      </x:c>
      <x:c r="E382" s="16" t="n">
        <x:v>2030</x:v>
      </x:c>
      <x:c r="F382" s="4" t="str">
        <x:v>IN02</x:v>
      </x:c>
      <x:c r="G382" s="24" t="str">
        <x:v>https://property.magicbricks.com/microsite/research-insights/src/pdf/sample/Interiors-Sample-Report.pdf</x:v>
      </x:c>
      <x:c r="H382" s="4" t="str">
        <x:v>【預測／示意】原文72500 crore；獨立來源1；來源C級</x:v>
      </x:c>
      <x:c r="I382" s="4" t="str">
        <x:v>低</x:v>
      </x:c>
    </x:row>
    <x:row r="383" ht="66" customHeight="1">
      <x:c r="A383" s="4" t="str">
        <x:v>IN</x:v>
      </x:c>
      <x:c r="B383" s="4" t="str">
        <x:v>二線城市內装市場中古住宅來源占比</x:v>
      </x:c>
      <x:c r="C383" s="17" t="n">
        <x:v>82</x:v>
      </x:c>
      <x:c r="D383" s="4" t="str">
        <x:v>%</x:v>
      </x:c>
      <x:c r="E383" s="16" t="str">
        <x:v>2025發布／觀察期未明</x:v>
      </x:c>
      <x:c r="F383" s="4" t="str">
        <x:v>IN02</x:v>
      </x:c>
      <x:c r="G383" s="24" t="str">
        <x:v>https://property.magicbricks.com/microsite/research-insights/src/pdf/sample/Interiors-Sample-Report.pdf</x:v>
      </x:c>
      <x:c r="H383" s="4" t="str">
        <x:v>【示意】內裝市場來源，絕非中古交易占全國住宅交易比重；報告未公開完整方法；樣本簡報未公開觀察期間。；獨立來源1；來源C級；查核限制：PDF P3：2024總額1.27 lakh crore、2030目標2.75；二線23074／72500 crore，來源中古82%；P4平均3.9 lakh。樣本發表於2025，82%與均價觀察期未註。</x:v>
      </x:c>
      <x:c r="I383" s="4" t="str">
        <x:v>低</x:v>
      </x:c>
    </x:row>
    <x:row r="384" ht="52" customHeight="1">
      <x:c r="A384" s="4" t="str">
        <x:v>IN</x:v>
      </x:c>
      <x:c r="B384" s="4" t="str">
        <x:v>二線城市平均內装花費</x:v>
      </x:c>
      <x:c r="C384" s="17" t="n">
        <x:v>390000</x:v>
      </x:c>
      <x:c r="D384" s="4" t="str">
        <x:v>INR/案</x:v>
      </x:c>
      <x:c r="E384" s="16" t="str">
        <x:v>2025發布／觀察期未明</x:v>
      </x:c>
      <x:c r="F384" s="4" t="str">
        <x:v>IN02</x:v>
      </x:c>
      <x:c r="G384" s="24" t="str">
        <x:v>https://property.magicbricks.com/microsite/research-insights/src/pdf/sample/Interiors-Sample-Report.pdf</x:v>
      </x:c>
      <x:c r="H384" s="4" t="str">
        <x:v>【示意】原文3.9 lakh；平台研究樣本；樣本簡報未公開觀察期間。；獨立來源1；來源C級；查核限制：PDF P3：2024總額1.27 lakh crore、2030目標2.75；二線23074／72500 crore，來源中古82%；P4平均3.9 lakh。樣本發表於2025，82%與均價觀察期未註。</x:v>
      </x:c>
      <x:c r="I384" s="4" t="str">
        <x:v>低</x:v>
      </x:c>
    </x:row>
    <x:row r="385" ht="38" customHeight="1">
      <x:c r="A385" s="4" t="str">
        <x:v>IN</x:v>
      </x:c>
      <x:c r="B385" s="4" t="str">
        <x:v>七大城市住宅銷售</x:v>
      </x:c>
      <x:c r="C385" s="17" t="n">
        <x:v>459600</x:v>
      </x:c>
      <x:c r="D385" s="4" t="str">
        <x:v>戶</x:v>
      </x:c>
      <x:c r="E385" s="16" t="n">
        <x:v>2024</x:v>
      </x:c>
      <x:c r="F385" s="4" t="str">
        <x:v>IN03</x:v>
      </x:c>
      <x:c r="G385" s="24" t="str">
        <x:v>https://websitemedia.anarock.com/media/ANAROCK_Research_Indian_Residential_Market_Annual_Update_2024_3b5aa5b04d.pdf</x:v>
      </x:c>
      <x:c r="H385" s="4" t="str">
        <x:v>【示意】原報告摘要四捨五入；不是全印度，不等於交屋；獨立來源1；來源B級</x:v>
      </x:c>
      <x:c r="I385" s="4" t="str">
        <x:v>低</x:v>
      </x:c>
    </x:row>
    <x:row r="386" ht="38" customHeight="1">
      <x:c r="A386" s="4" t="str">
        <x:v>IN</x:v>
      </x:c>
      <x:c r="B386" s="4" t="str">
        <x:v>七大城市住宅新推案</x:v>
      </x:c>
      <x:c r="C386" s="17" t="n">
        <x:v>412500</x:v>
      </x:c>
      <x:c r="D386" s="4" t="str">
        <x:v>戶</x:v>
      </x:c>
      <x:c r="E386" s="16" t="n">
        <x:v>2024</x:v>
      </x:c>
      <x:c r="F386" s="4" t="str">
        <x:v>IN03</x:v>
      </x:c>
      <x:c r="G386" s="24" t="str">
        <x:v>https://websitemedia.anarock.com/media/ANAROCK_Research_Indian_Residential_Market_Annual_Update_2024_3b5aa5b04d.pdf</x:v>
      </x:c>
      <x:c r="H386" s="4" t="str">
        <x:v>【示意】新上市供給，非完工；獨立來源1；來源B級</x:v>
      </x:c>
      <x:c r="I386" s="4" t="str">
        <x:v>低</x:v>
      </x:c>
    </x:row>
    <x:row r="387" ht="38" customHeight="1">
      <x:c r="A387" s="4" t="str">
        <x:v>IN</x:v>
      </x:c>
      <x:c r="B387" s="4" t="str">
        <x:v>七大城市住宅銷售年增</x:v>
      </x:c>
      <x:c r="C387" s="17" t="n">
        <x:v>-4</x:v>
      </x:c>
      <x:c r="D387" s="4" t="str">
        <x:v>%</x:v>
      </x:c>
      <x:c r="E387" s="16" t="n">
        <x:v>2024</x:v>
      </x:c>
      <x:c r="F387" s="4" t="str">
        <x:v>IN03</x:v>
      </x:c>
      <x:c r="G387" s="24" t="str">
        <x:v>https://websitemedia.anarock.com/media/ANAROCK_Research_Indian_Residential_Market_Annual_Update_2024_3b5aa5b04d.pdf</x:v>
      </x:c>
      <x:c r="H387" s="4" t="str">
        <x:v>【示意】新案市場樣本；四捨五入；獨立來源1；來源B級</x:v>
      </x:c>
      <x:c r="I387" s="4" t="str">
        <x:v>低</x:v>
      </x:c>
    </x:row>
    <x:row r="388" ht="38" customHeight="1">
      <x:c r="A388" s="4" t="str">
        <x:v>IN</x:v>
      </x:c>
      <x:c r="B388" s="4" t="str">
        <x:v>Livspace兩房基本預算</x:v>
      </x:c>
      <x:c r="C388" s="17" t="n">
        <x:v>1059000</x:v>
      </x:c>
      <x:c r="D388" s="4" t="str">
        <x:v>INR/案</x:v>
      </x:c>
      <x:c r="E388" s="16" t="n">
        <x:v>2026</x:v>
      </x:c>
      <x:c r="F388" s="4" t="str">
        <x:v>IN04</x:v>
      </x:c>
      <x:c r="G388" s="24" t="str">
        <x:v>https://www.livspace.com/in/magazine/how-much-does-an-interior-designer-charge</x:v>
      </x:c>
      <x:c r="H388" s="4" t="str">
        <x:v>【示意】2BHK Essentials廠商示意，面積未一致，非全國均價；獨立來源1；來源C級</x:v>
      </x:c>
      <x:c r="I388" s="4" t="str">
        <x:v>低</x:v>
      </x:c>
    </x:row>
    <x:row r="389" ht="38" customHeight="1">
      <x:c r="A389" s="4" t="str">
        <x:v>IN</x:v>
      </x:c>
      <x:c r="B389" s="4" t="str">
        <x:v>Livspace兩房中階預算</x:v>
      </x:c>
      <x:c r="C389" s="17" t="n">
        <x:v>1368000</x:v>
      </x:c>
      <x:c r="D389" s="4" t="str">
        <x:v>INR/案</x:v>
      </x:c>
      <x:c r="E389" s="16" t="n">
        <x:v>2026</x:v>
      </x:c>
      <x:c r="F389" s="4" t="str">
        <x:v>IN04</x:v>
      </x:c>
      <x:c r="G389" s="24" t="str">
        <x:v>https://www.livspace.com/in/magazine/how-much-does-an-interior-designer-charge</x:v>
      </x:c>
      <x:c r="H389" s="4" t="str">
        <x:v>【示意】2BHK Premium廠商示意；獨立來源1；來源C級</x:v>
      </x:c>
      <x:c r="I389" s="4" t="str">
        <x:v>低</x:v>
      </x:c>
    </x:row>
    <x:row r="390" ht="38" customHeight="1">
      <x:c r="A390" s="4" t="str">
        <x:v>IN</x:v>
      </x:c>
      <x:c r="B390" s="4" t="str">
        <x:v>Livspace兩房高階預算</x:v>
      </x:c>
      <x:c r="C390" s="17" t="n">
        <x:v>1919000</x:v>
      </x:c>
      <x:c r="D390" s="4" t="str">
        <x:v>INR/案</x:v>
      </x:c>
      <x:c r="E390" s="16" t="n">
        <x:v>2026</x:v>
      </x:c>
      <x:c r="F390" s="4" t="str">
        <x:v>IN04</x:v>
      </x:c>
      <x:c r="G390" s="24" t="str">
        <x:v>https://www.livspace.com/in/magazine/how-much-does-an-interior-designer-charge</x:v>
      </x:c>
      <x:c r="H390" s="4" t="str">
        <x:v>【示意】2BHK Luxe廠商示意；獨立來源1；來源C級</x:v>
      </x:c>
      <x:c r="I390" s="4" t="str">
        <x:v>低</x:v>
      </x:c>
    </x:row>
    <x:row r="391" ht="30" customHeight="1">
      <x:c r="A391" s="4" t="str">
        <x:v>IN</x:v>
      </x:c>
      <x:c r="B391" s="4" t="str">
        <x:v>HomeLane標準交付承諾</x:v>
      </x:c>
      <x:c r="C391" s="17" t="n">
        <x:v>45</x:v>
      </x:c>
      <x:c r="D391" s="4" t="str">
        <x:v>天</x:v>
      </x:c>
      <x:c r="E391" s="16" t="str">
        <x:v>2026存取</x:v>
      </x:c>
      <x:c r="F391" s="4" t="str">
        <x:v>IN05</x:v>
      </x:c>
      <x:c r="G391" s="24" t="str">
        <x:v>https://www.homelane.com/homelane-terms-conditions</x:v>
      </x:c>
      <x:c r="H391" s="4" t="str">
        <x:v>【示意】All-Set-Go後標準範圍；土建拆除等排除；獨立來源1；來源C級</x:v>
      </x:c>
      <x:c r="I391" s="4" t="str">
        <x:v>低</x:v>
      </x:c>
    </x:row>
    <x:row r="392" ht="30" customHeight="1">
      <x:c r="A392" s="4" t="str">
        <x:v>IN</x:v>
      </x:c>
      <x:c r="B392" s="4" t="str">
        <x:v>HomeLane有條件延遲補償</x:v>
      </x:c>
      <x:c r="C392" s="17" t="n">
        <x:v>1000</x:v>
      </x:c>
      <x:c r="D392" s="4" t="str">
        <x:v>INR/日</x:v>
      </x:c>
      <x:c r="E392" s="16" t="str">
        <x:v>2026存取</x:v>
      </x:c>
      <x:c r="F392" s="4" t="str">
        <x:v>IN05</x:v>
      </x:c>
      <x:c r="G392" s="24" t="str">
        <x:v>https://www.homelane.com/homelane-terms-conditions</x:v>
      </x:c>
      <x:c r="H392" s="4" t="str">
        <x:v>【示意】合約有上限、前提與例外；獨立來源1；來源C級</x:v>
      </x:c>
      <x:c r="I392" s="4" t="str">
        <x:v>低</x:v>
      </x:c>
    </x:row>
    <x:row r="393" ht="52" customHeight="1">
      <x:c r="A393" s="4" t="str">
        <x:v>IN</x:v>
      </x:c>
      <x:c r="B393" s="4" t="str">
        <x:v>Livspace營收</x:v>
      </x:c>
      <x:c r="C393" s="19" t="n">
        <x:v>14.6</x:v>
      </x:c>
      <x:c r="D393" s="4" t="str">
        <x:v>INR billion</x:v>
      </x:c>
      <x:c r="E393" s="16" t="str">
        <x:v>FY25</x:v>
      </x:c>
      <x:c r="F393" s="4" t="str">
        <x:v>IN06</x:v>
      </x:c>
      <x:c r="G393" s="24" t="str">
        <x:v>https://economictimes.indiatimes.com/tech/startups/homedecor-startup-livspaces-fy25-revenue-rises-23-to-rs-1460-crore/articleshow/124520597.cms?from=mdr</x:v>
      </x:c>
      <x:c r="H393" s="4" t="str">
        <x:v>【示意】公司透過媒體發布，集團含境外不可全算印度；獨立來源1；來源B級</x:v>
      </x:c>
      <x:c r="I393" s="4" t="str">
        <x:v>低</x:v>
      </x:c>
    </x:row>
    <x:row r="394" ht="52" customHeight="1">
      <x:c r="A394" s="4" t="str">
        <x:v>IN</x:v>
      </x:c>
      <x:c r="B394" s="4" t="str">
        <x:v>Livspace毛利率</x:v>
      </x:c>
      <x:c r="C394" s="19" t="n">
        <x:v>51.5</x:v>
      </x:c>
      <x:c r="D394" s="4" t="str">
        <x:v>%</x:v>
      </x:c>
      <x:c r="E394" s="16" t="str">
        <x:v>FY25</x:v>
      </x:c>
      <x:c r="F394" s="4" t="str">
        <x:v>IN06</x:v>
      </x:c>
      <x:c r="G394" s="24" t="str">
        <x:v>https://economictimes.indiatimes.com/tech/startups/homedecor-startup-livspaces-fy25-revenue-rises-23-to-rs-1460-crore/articleshow/124520597.cms?from=mdr</x:v>
      </x:c>
      <x:c r="H394" s="4" t="str">
        <x:v>【示意】公司自報口徑；非每案工程毛利；獨立來源1；來源B級</x:v>
      </x:c>
      <x:c r="I394" s="4" t="str">
        <x:v>低</x:v>
      </x:c>
    </x:row>
    <x:row r="395" ht="52" customHeight="1">
      <x:c r="A395" s="4" t="str">
        <x:v>IN</x:v>
      </x:c>
      <x:c r="B395" s="4" t="str">
        <x:v>Livspace毛利</x:v>
      </x:c>
      <x:c r="C395" s="18" t="n">
        <x:v>7.52</x:v>
      </x:c>
      <x:c r="D395" s="4" t="str">
        <x:v>INR billion</x:v>
      </x:c>
      <x:c r="E395" s="16" t="str">
        <x:v>FY25</x:v>
      </x:c>
      <x:c r="F395" s="4" t="str">
        <x:v>IN06</x:v>
      </x:c>
      <x:c r="G395" s="24" t="str">
        <x:v>https://economictimes.indiatimes.com/tech/startups/homedecor-startup-livspaces-fy25-revenue-rises-23-to-rs-1460-crore/articleshow/124520597.cms?from=mdr</x:v>
      </x:c>
      <x:c r="H395" s="4" t="str">
        <x:v>【示意】公司自報gross profit；獨立來源1；來源B級</x:v>
      </x:c>
      <x:c r="I395" s="4" t="str">
        <x:v>低</x:v>
      </x:c>
    </x:row>
    <x:row r="396" ht="52" customHeight="1">
      <x:c r="A396" s="4" t="str">
        <x:v>IN</x:v>
      </x:c>
      <x:c r="B396" s="4" t="str">
        <x:v>Livspace調整EBITDA虧損</x:v>
      </x:c>
      <x:c r="C396" s="18" t="n">
        <x:v>-1.31</x:v>
      </x:c>
      <x:c r="D396" s="4" t="str">
        <x:v>INR billion</x:v>
      </x:c>
      <x:c r="E396" s="16" t="str">
        <x:v>FY25</x:v>
      </x:c>
      <x:c r="F396" s="4" t="str">
        <x:v>IN06</x:v>
      </x:c>
      <x:c r="G396" s="24" t="str">
        <x:v>https://economictimes.indiatimes.com/tech/startups/homedecor-startup-livspaces-fy25-revenue-rises-23-to-rs-1460-crore/articleshow/124520597.cms?from=mdr</x:v>
      </x:c>
      <x:c r="H396" s="4" t="str">
        <x:v>【示意】排除ESOP等調整，非淨虧損；損益符號統一：虧損記負數；獨立來源1；來源B級</x:v>
      </x:c>
      <x:c r="I396" s="4" t="str">
        <x:v>低</x:v>
      </x:c>
    </x:row>
    <x:row r="397" ht="52" customHeight="1">
      <x:c r="A397" s="4" t="str">
        <x:v>IN</x:v>
      </x:c>
      <x:c r="B397" s="4" t="str">
        <x:v>HomeLane併購同時募資</x:v>
      </x:c>
      <x:c r="C397" s="18" t="n">
        <x:v>2.25</x:v>
      </x:c>
      <x:c r="D397" s="4" t="str">
        <x:v>INR billion</x:v>
      </x:c>
      <x:c r="E397" s="16" t="n">
        <x:v>2024</x:v>
      </x:c>
      <x:c r="F397" s="4" t="str">
        <x:v>IN07</x:v>
      </x:c>
      <x:c r="G397" s="24" t="str">
        <x:v>https://www.linkedin.com/posts/homelane_growth-acquisition-homeinteriors-activity-7249658945546428416-Bt0D</x:v>
      </x:c>
      <x:c r="H397" s="4" t="str">
        <x:v>【示意】225 crore；募資不是營收；獨立來源1；來源C級；查核限制：公司公告文字225 crore；頁面日期顯示2y，未提供絕對發布日期，交易律師2024公告支持事件年度但非該數值雙源。</x:v>
      </x:c>
      <x:c r="I397" s="4" t="str">
        <x:v>低</x:v>
      </x:c>
    </x:row>
    <x:row r="398" ht="52" customHeight="1">
      <x:c r="A398" s="4" t="str">
        <x:v>IN</x:v>
      </x:c>
      <x:c r="B398" s="4" t="str">
        <x:v>HomeLane與DesignCafe合併估值</x:v>
      </x:c>
      <x:c r="C398" s="17" t="n">
        <x:v>30</x:v>
      </x:c>
      <x:c r="D398" s="4" t="str">
        <x:v>INR billion</x:v>
      </x:c>
      <x:c r="E398" s="16" t="n">
        <x:v>2024</x:v>
      </x:c>
      <x:c r="F398" s="4" t="str">
        <x:v>IN08</x:v>
      </x:c>
      <x:c r="G398" s="24" t="str">
        <x:v>https://www.mondaq.com/pressrelease/154532/homelane-acquires-designcafe-raises-primary-funds-from-an-investor-club-consisting-of-hero-enterprise-claypond-capital-partners-westbridge-and-others</x:v>
      </x:c>
      <x:c r="H398" s="4" t="str">
        <x:v>【示意】法律顧問發布約3000 crore估值，非收購現金對價；獨立來源1；來源C級</x:v>
      </x:c>
      <x:c r="I398" s="4" t="str">
        <x:v>低</x:v>
      </x:c>
    </x:row>
    <x:row r="399" ht="38" customHeight="1">
      <x:c r="A399" s="4" t="str">
        <x:v>IN</x:v>
      </x:c>
      <x:c r="B399" s="4" t="str">
        <x:v>Livspace Series F募資</x:v>
      </x:c>
      <x:c r="C399" s="17" t="n">
        <x:v>180</x:v>
      </x:c>
      <x:c r="D399" s="4" t="str">
        <x:v>USD million</x:v>
      </x:c>
      <x:c r="E399" s="16" t="n">
        <x:v>2022</x:v>
      </x:c>
      <x:c r="F399" s="4" t="str">
        <x:v>IN09</x:v>
      </x:c>
      <x:c r="G399" s="24" t="str">
        <x:v>https://media.kkr.com/rss-feed/news-release?news_id=a4de6b9d-bdf9-44cc-9d56-02e9e632942a</x:v>
      </x:c>
      <x:c r="H399" s="4" t="str">
        <x:v>【示意】歷史資本來源；不列近三年事件；獨立來源1；來源C級</x:v>
      </x:c>
      <x:c r="I399" s="4" t="str">
        <x:v>低</x:v>
      </x:c>
    </x:row>
    <x:row r="400" ht="38" customHeight="1">
      <x:c r="A400" s="4" t="str">
        <x:v>IN</x:v>
      </x:c>
      <x:c r="B400" s="4" t="str">
        <x:v>COA室內建築費率指引</x:v>
      </x:c>
      <x:c r="C400" s="19" t="n">
        <x:v>7.5</x:v>
      </x:c>
      <x:c r="D400" s="4" t="str">
        <x:v>%工程費</x:v>
      </x:c>
      <x:c r="E400" s="16" t="str">
        <x:v>2026存取</x:v>
      </x:c>
      <x:c r="F400" s="4" t="str">
        <x:v>IN14</x:v>
      </x:c>
      <x:c r="G400" s="24" t="str">
        <x:v>https://coa.gov.in/index1.php?lang=1&amp;level=2&amp;lid=86&amp;sublinkid=299</x:v>
      </x:c>
      <x:c r="H400" s="4" t="str">
        <x:v>【示意】註冊建築師室內建築服務Scale of Charges；非市場成交平均；獨立來源1；來源A級</x:v>
      </x:c>
      <x:c r="I400" s="4" t="str">
        <x:v>低</x:v>
      </x:c>
    </x:row>
    <x:row r="401" ht="30" customHeight="1">
      <x:c r="A401" s="4" t="str">
        <x:v>IN</x:v>
      </x:c>
      <x:c r="B401" s="4" t="str">
        <x:v>COA文件與溝通附加費</x:v>
      </x:c>
      <x:c r="C401" s="17" t="n">
        <x:v>10</x:v>
      </x:c>
      <x:c r="D401" s="4" t="str">
        <x:v>%專業費</x:v>
      </x:c>
      <x:c r="E401" s="16" t="str">
        <x:v>2026存取</x:v>
      </x:c>
      <x:c r="F401" s="4" t="str">
        <x:v>IN14</x:v>
      </x:c>
      <x:c r="G401" s="24" t="str">
        <x:v>https://coa.gov.in/index1.php?lang=1&amp;level=2&amp;lid=86&amp;sublinkid=299</x:v>
      </x:c>
      <x:c r="H401" s="4" t="str">
        <x:v>【示意】不是工程價10%；獨立來源1；來源A級</x:v>
      </x:c>
      <x:c r="I401" s="4" t="str">
        <x:v>低</x:v>
      </x:c>
    </x:row>
    <x:row r="402" ht="38" customHeight="1">
      <x:c r="A402" s="4" t="str">
        <x:v>IN</x:v>
      </x:c>
      <x:c r="B402" s="4" t="str">
        <x:v>人均名目GDP</x:v>
      </x:c>
      <x:c r="C402" s="19" t="n">
        <x:v>2591.5</x:v>
      </x:c>
      <x:c r="D402" s="4" t="str">
        <x:v>USD/人</x:v>
      </x:c>
      <x:c r="E402" s="16" t="str">
        <x:v>2024/25E</x:v>
      </x:c>
      <x:c r="F402" s="4" t="str">
        <x:v>IN16</x:v>
      </x:c>
      <x:c r="G402" s="24" t="str">
        <x:v>https://thedocs.worldbank.org/en/doc/ab46b9f05a34cb860d84774b7bfbd77f-0500052021/related/data-ind.pdf</x:v>
      </x:c>
      <x:c r="H402" s="4" t="str">
        <x:v>【預測／示意】現行世界銀行財政年度估計，不可與曆年2024直接混同比；獨立來源1；來源A級</x:v>
      </x:c>
      <x:c r="I402" s="4" t="str">
        <x:v>低</x:v>
      </x:c>
    </x:row>
    <x:row r="403" ht="38" customHeight="1">
      <x:c r="A403" s="4" t="str">
        <x:v>IN</x:v>
      </x:c>
      <x:c r="B403" s="4" t="str">
        <x:v>人均GDP</x:v>
      </x:c>
      <x:c r="C403" s="18" t="n">
        <x:v>2702.48</x:v>
      </x:c>
      <x:c r="D403" s="4" t="str">
        <x:v>USD/人</x:v>
      </x:c>
      <x:c r="E403" s="16" t="n">
        <x:v>2025</x:v>
      </x:c>
      <x:c r="F403" s="4" t="str">
        <x:v>MIN</x:v>
      </x:c>
      <x:c r="G403" s="24" t="str">
        <x:v>https://data.worldbank.org/country/india</x:v>
      </x:c>
      <x:c r="H403" s="4" t="str">
        <x:v>【示意】名目、現價美元；WDI 2025歷史數列，可能修訂，非家庭可支配所得；獨立來源1；來源A級</x:v>
      </x:c>
      <x:c r="I403" s="4" t="str">
        <x:v>低</x:v>
      </x:c>
    </x:row>
    <x:row r="404" ht="38" customHeight="1">
      <x:c r="A404" s="4" t="str">
        <x:v>IN</x:v>
      </x:c>
      <x:c r="B404" s="4" t="str">
        <x:v>人口</x:v>
      </x:c>
      <x:c r="C404" s="17" t="n">
        <x:v>1460000000</x:v>
      </x:c>
      <x:c r="D404" s="4" t="str">
        <x:v>人</x:v>
      </x:c>
      <x:c r="E404" s="16" t="n">
        <x:v>2025</x:v>
      </x:c>
      <x:c r="F404" s="4" t="str">
        <x:v>MIN</x:v>
      </x:c>
      <x:c r="G404" s="24" t="str">
        <x:v>https://data.worldbank.org/country/india</x:v>
      </x:c>
      <x:c r="H404" s="4" t="str">
        <x:v>【示意】WDI 2025；CN、IN為頁面billion顯示的四捨五入值，其餘依顯示人數；獨立來源1；來源A級</x:v>
      </x:c>
      <x:c r="I404" s="4" t="str">
        <x:v>低</x:v>
      </x:c>
    </x:row>
    <x:row r="405" ht="30" customHeight="1">
      <x:c r="A405" s="4" t="str">
        <x:v>IN</x:v>
      </x:c>
      <x:c r="B405" s="4" t="str">
        <x:v>GDP</x:v>
      </x:c>
      <x:c r="C405" s="17" t="n">
        <x:v>3960000000000</x:v>
      </x:c>
      <x:c r="D405" s="4" t="str">
        <x:v>USD</x:v>
      </x:c>
      <x:c r="E405" s="16" t="n">
        <x:v>2025</x:v>
      </x:c>
      <x:c r="F405" s="4" t="str">
        <x:v>MIN</x:v>
      </x:c>
      <x:c r="G405" s="24" t="str">
        <x:v>https://data.worldbank.org/country/india</x:v>
      </x:c>
      <x:c r="H405" s="4" t="str">
        <x:v>【示意】WDI 2025現價；頁面billion/trillion四捨五入值；獨立來源1；來源A級</x:v>
      </x:c>
      <x:c r="I405" s="4" t="str">
        <x:v>低</x:v>
      </x:c>
    </x:row>
    <x:row r="406" ht="38" customHeight="1">
      <x:c r="A406" s="4" t="str">
        <x:v>IN</x:v>
      </x:c>
      <x:c r="B406" s="4" t="str">
        <x:v>孟買商辦裝修成本</x:v>
      </x:c>
      <x:c r="C406" s="20" t="n">
        <x:v>785.7654604198096</x:v>
      </x:c>
      <x:c r="D406" s="4" t="str">
        <x:v>USD/m²</x:v>
      </x:c>
      <x:c r="E406" s="16" t="n">
        <x:v>2026</x:v>
      </x:c>
      <x:c r="F406" s="4" t="str">
        <x:v>X02</x:v>
      </x:c>
      <x:c r="G406" s="24" t="str">
        <x:v>https://digital.cushmanwakefield.com/fitoutcostguide-03-2026-apac-regional-en-content-pds-office/30-31/</x:v>
      </x:c>
      <x:c r="H406" s="4" t="str">
        <x:v>【示意】C&amp;W 2026商辦fit-out，價格基準2025年12月；USD/ft²÷0.09290304，非住宅報價，報告自身匯率；獨立來源1；來源B級</x:v>
      </x:c>
      <x:c r="I406" s="4" t="str">
        <x:v>低</x:v>
      </x:c>
    </x:row>
    <x:row r="407" ht="38" customHeight="1">
      <x:c r="A407" s="4" t="str">
        <x:v>GLOBAL</x:v>
      </x:c>
      <x:c r="B407" s="4" t="str">
        <x:v>Inter IKEA營收</x:v>
      </x:c>
      <x:c r="C407" s="17" t="n">
        <x:v>26306</x:v>
      </x:c>
      <x:c r="D407" s="4" t="str">
        <x:v>百萬EUR</x:v>
      </x:c>
      <x:c r="E407" s="16" t="str">
        <x:v>FY2025</x:v>
      </x:c>
      <x:c r="F407" s="4" t="str">
        <x:v>X05</x:v>
      </x:c>
      <x:c r="G407" s="24" t="str">
        <x:v>https://www.inter.ikea.com/en/performance/fy25-financial-results</x:v>
      </x:c>
      <x:c r="H407" s="4" t="str">
        <x:v>【示意】全球Inter IKEA批發／授權體系，非加盟商零售總額；表內損益值；費率為加盟商淨銷售額之比例；獨立來源1；來源C級</x:v>
      </x:c>
      <x:c r="I407" s="4" t="str">
        <x:v>低</x:v>
      </x:c>
    </x:row>
    <x:row r="408" ht="38" customHeight="1">
      <x:c r="A408" s="4" t="str">
        <x:v>GLOBAL</x:v>
      </x:c>
      <x:c r="B408" s="4" t="str">
        <x:v>Inter IKEA毛利</x:v>
      </x:c>
      <x:c r="C408" s="17" t="n">
        <x:v>4978</x:v>
      </x:c>
      <x:c r="D408" s="4" t="str">
        <x:v>百萬EUR</x:v>
      </x:c>
      <x:c r="E408" s="16" t="str">
        <x:v>FY2025</x:v>
      </x:c>
      <x:c r="F408" s="4" t="str">
        <x:v>X05</x:v>
      </x:c>
      <x:c r="G408" s="24" t="str">
        <x:v>https://www.inter.ikea.com/en/performance/fy25-financial-results</x:v>
      </x:c>
      <x:c r="H408" s="4" t="str">
        <x:v>【示意】全球Inter IKEA批發／授權體系，非加盟商零售總額；表內損益值；費率為加盟商淨銷售額之比例；獨立來源1；來源C級</x:v>
      </x:c>
      <x:c r="I408" s="4" t="str">
        <x:v>低</x:v>
      </x:c>
    </x:row>
    <x:row r="409" ht="38" customHeight="1">
      <x:c r="A409" s="4" t="str">
        <x:v>GLOBAL</x:v>
      </x:c>
      <x:c r="B409" s="4" t="str">
        <x:v>Inter IKEA營業利益</x:v>
      </x:c>
      <x:c r="C409" s="17" t="n">
        <x:v>1725</x:v>
      </x:c>
      <x:c r="D409" s="4" t="str">
        <x:v>百萬EUR</x:v>
      </x:c>
      <x:c r="E409" s="16" t="str">
        <x:v>FY2025</x:v>
      </x:c>
      <x:c r="F409" s="4" t="str">
        <x:v>X05</x:v>
      </x:c>
      <x:c r="G409" s="24" t="str">
        <x:v>https://www.inter.ikea.com/en/performance/fy25-financial-results</x:v>
      </x:c>
      <x:c r="H409" s="4" t="str">
        <x:v>【示意】全球Inter IKEA批發／授權體系，非加盟商零售總額；表內損益值；費率為加盟商淨銷售額之比例；獨立來源1；來源C級</x:v>
      </x:c>
      <x:c r="I409" s="4" t="str">
        <x:v>低</x:v>
      </x:c>
    </x:row>
    <x:row r="410" ht="38" customHeight="1">
      <x:c r="A410" s="4" t="str">
        <x:v>GLOBAL</x:v>
      </x:c>
      <x:c r="B410" s="4" t="str">
        <x:v>Inter IKEA淨利</x:v>
      </x:c>
      <x:c r="C410" s="17" t="n">
        <x:v>1496</x:v>
      </x:c>
      <x:c r="D410" s="4" t="str">
        <x:v>百萬EUR</x:v>
      </x:c>
      <x:c r="E410" s="16" t="str">
        <x:v>FY2025</x:v>
      </x:c>
      <x:c r="F410" s="4" t="str">
        <x:v>X05</x:v>
      </x:c>
      <x:c r="G410" s="24" t="str">
        <x:v>https://www.inter.ikea.com/en/performance/fy25-financial-results</x:v>
      </x:c>
      <x:c r="H410" s="4" t="str">
        <x:v>【示意】全球Inter IKEA批發／授權體系，非加盟商零售總額；表內損益值；費率為加盟商淨銷售額之比例；獨立來源1；來源C級</x:v>
      </x:c>
      <x:c r="I410" s="4" t="str">
        <x:v>低</x:v>
      </x:c>
    </x:row>
    <x:row r="411" ht="38" customHeight="1">
      <x:c r="A411" s="4" t="str">
        <x:v>GLOBAL</x:v>
      </x:c>
      <x:c r="B411" s="4" t="str">
        <x:v>Inter IKEA標準加盟費率</x:v>
      </x:c>
      <x:c r="C411" s="17" t="n">
        <x:v>3</x:v>
      </x:c>
      <x:c r="D411" s="4" t="str">
        <x:v>%</x:v>
      </x:c>
      <x:c r="E411" s="16" t="str">
        <x:v>FY2025</x:v>
      </x:c>
      <x:c r="F411" s="4" t="str">
        <x:v>X05</x:v>
      </x:c>
      <x:c r="G411" s="24" t="str">
        <x:v>https://www.inter.ikea.com/en/performance/fy25-financial-results</x:v>
      </x:c>
      <x:c r="H411" s="4" t="str">
        <x:v>【示意】全球Inter IKEA批發／授權體系，非加盟商零售總額；表內損益值；費率為加盟商淨銷售額之比例；獨立來源1；來源C級</x:v>
      </x:c>
      <x:c r="I411" s="4" t="str">
        <x:v>低</x:v>
      </x:c>
    </x:row>
    <x:row r="412" ht="30" customHeight="1">
      <x:c r="A412" s="4" t="str">
        <x:v>TW</x:v>
      </x:c>
      <x:c r="B412" s="4" t="str">
        <x:v>住宅使用執照宅數_約數</x:v>
      </x:c>
      <x:c r="C412" s="17" t="n">
        <x:v>142000</x:v>
      </x:c>
      <x:c r="D412" s="4" t="str">
        <x:v>宅約</x:v>
      </x:c>
      <x:c r="E412" s="16" t="n">
        <x:v>2025</x:v>
      </x:c>
      <x:c r="F412" s="4" t="str">
        <x:v>TW04</x:v>
      </x:c>
      <x:c r="G412" s="24" t="str">
        <x:v>https://www.moi.gov.tw/News_Content.aspx?n=2905&amp;s=339707</x:v>
      </x:c>
      <x:c r="H412" s="4" t="str">
        <x:v>【示意】官方新聞稿約數；住宅使照，非全建物第一次登記；獨立來源1；來源A級</x:v>
      </x:c>
      <x:c r="I412" s="4" t="str">
        <x:v>低</x:v>
      </x:c>
    </x:row>
    <x:row r="413" ht="30" customHeight="1">
      <x:c r="A413" s="4" t="str">
        <x:v>TW</x:v>
      </x:c>
      <x:c r="B413" s="4" t="str">
        <x:v>新建餘屋待售住宅</x:v>
      </x:c>
      <x:c r="C413" s="17" t="n">
        <x:v>112501</x:v>
      </x:c>
      <x:c r="D413" s="4" t="str">
        <x:v>宅</x:v>
      </x:c>
      <x:c r="E413" s="16" t="str">
        <x:v>2025Q4</x:v>
      </x:c>
      <x:c r="F413" s="4" t="str">
        <x:v>TW04</x:v>
      </x:c>
      <x:c r="G413" s="24" t="str">
        <x:v>https://www.moi.gov.tw/News_Content.aspx?n=2905&amp;s=339707</x:v>
      </x:c>
      <x:c r="H413" s="4" t="str">
        <x:v>【示意】新建餘屋待售住宅存量；非全部空屋；獨立來源1；來源A級</x:v>
      </x:c>
      <x:c r="I413" s="4" t="str">
        <x:v>低</x:v>
      </x:c>
    </x:row>
    <x:row r="414" ht="30" customHeight="1">
      <x:c r="A414" s="4" t="str">
        <x:v>TW</x:v>
      </x:c>
      <x:c r="B414" s="4" t="str">
        <x:v>臺北市新建餘屋待售住宅</x:v>
      </x:c>
      <x:c r="C414" s="17" t="n">
        <x:v>4710</x:v>
      </x:c>
      <x:c r="D414" s="4" t="str">
        <x:v>宅</x:v>
      </x:c>
      <x:c r="E414" s="16" t="str">
        <x:v>2025Q4</x:v>
      </x:c>
      <x:c r="F414" s="4" t="str">
        <x:v>TW04</x:v>
      </x:c>
      <x:c r="G414" s="24" t="str">
        <x:v>https://www.moi.gov.tw/News_Content.aspx?n=2905&amp;s=339707</x:v>
      </x:c>
      <x:c r="H414" s="4" t="str">
        <x:v>【示意】同一新建餘屋待售住宅指標，行政市範圍；獨立來源1；來源A級</x:v>
      </x:c>
      <x:c r="I414" s="4" t="str">
        <x:v>低</x:v>
      </x:c>
    </x:row>
    <x:row r="415" ht="30" customHeight="1">
      <x:c r="A415" s="4" t="str">
        <x:v>TW</x:v>
      </x:c>
      <x:c r="B415" s="4" t="str">
        <x:v>宜蘭縣新建餘屋待售住宅</x:v>
      </x:c>
      <x:c r="C415" s="17" t="n">
        <x:v>2685</x:v>
      </x:c>
      <x:c r="D415" s="4" t="str">
        <x:v>宅</x:v>
      </x:c>
      <x:c r="E415" s="16" t="str">
        <x:v>2025Q4</x:v>
      </x:c>
      <x:c r="F415" s="4" t="str">
        <x:v>TW04</x:v>
      </x:c>
      <x:c r="G415" s="24" t="str">
        <x:v>https://www.moi.gov.tw/News_Content.aspx?n=2905&amp;s=339707</x:v>
      </x:c>
      <x:c r="H415" s="4" t="str">
        <x:v>【示意】同一新建餘屋待售住宅指標，行政縣範圍；獨立來源1；來源A級</x:v>
      </x:c>
      <x:c r="I415" s="4" t="str">
        <x:v>低</x:v>
      </x:c>
    </x:row>
    <x:row r="416" ht="30" customHeight="1">
      <x:c r="A416" s="4" t="str">
        <x:v>TW</x:v>
      </x:c>
      <x:c r="B416" s="4" t="str">
        <x:v>潤德年度累積月營收</x:v>
      </x:c>
      <x:c r="C416" s="17" t="n">
        <x:v>2464505000</x:v>
      </x:c>
      <x:c r="D416" s="4" t="str">
        <x:v>TWD</x:v>
      </x:c>
      <x:c r="E416" s="16" t="n">
        <x:v>2025</x:v>
      </x:c>
      <x:c r="F416" s="4" t="str">
        <x:v>TW13</x:v>
      </x:c>
      <x:c r="G416" s="24" t="str">
        <x:v>https://rd.ruentex.com.tw/zh/financial-information/monthly-revenue</x:v>
      </x:c>
      <x:c r="H416" s="4" t="str">
        <x:v>【示意】官網月營收千元累計表；住宅與商用未分，不是住宅市占；獨立來源1；來源A級</x:v>
      </x:c>
      <x:c r="I416" s="4" t="str">
        <x:v>低</x:v>
      </x:c>
    </x:row>
    <x:row r="417" ht="38" customHeight="1">
      <x:c r="A417" s="4" t="str">
        <x:v>TW</x:v>
      </x:c>
      <x:c r="B417" s="4" t="str">
        <x:v>特力集團營業利益_簡表圓整</x:v>
      </x:c>
      <x:c r="C417" s="17" t="n">
        <x:v>625000000</x:v>
      </x:c>
      <x:c r="D417" s="4" t="str">
        <x:v>TWD</x:v>
      </x:c>
      <x:c r="E417" s="16" t="n">
        <x:v>2024</x:v>
      </x:c>
      <x:c r="F417" s="4" t="str">
        <x:v>TW12</x:v>
      </x:c>
      <x:c r="G417" s="24" t="str">
        <x:v>https://www.testritegroup.com/uploads/2024_069db0ff1f.pdf</x:v>
      </x:c>
      <x:c r="H417" s="4" t="str">
        <x:v>【示意】年報百萬元簡表625；集團口徑包含零售與貿易，不是室裝工程毛利；獨立來源1；來源A級</x:v>
      </x:c>
      <x:c r="I417" s="4" t="str">
        <x:v>低</x:v>
      </x:c>
    </x:row>
    <x:row r="418" ht="38" customHeight="1">
      <x:c r="A418" s="4" t="str">
        <x:v>TW</x:v>
      </x:c>
      <x:c r="B418" s="4" t="str">
        <x:v>30年以上住宅存量占比_官方方向值</x:v>
      </x:c>
      <x:c r="C418" s="14" t="str">
        <x:v>&gt;50</x:v>
      </x:c>
      <x:c r="D418" s="4" t="str">
        <x:v>%</x:v>
      </x:c>
      <x:c r="E418" s="16" t="str">
        <x:v>2025-02發布</x:v>
      </x:c>
      <x:c r="F418" s="4" t="str">
        <x:v>TW21</x:v>
      </x:c>
      <x:c r="G418" s="24" t="str">
        <x:v>https://www.moi.gov.tw/News_Content.aspx?n=4&amp;s=325449</x:v>
      </x:c>
      <x:c r="H418" s="4" t="str">
        <x:v>【示意】官方新聞稿約數；原始統計基期與分母未載，不當作精確占比；獨立來源1；來源A級</x:v>
      </x:c>
      <x:c r="I418" s="4" t="str">
        <x:v>低</x:v>
      </x:c>
    </x:row>
    <x:row r="419" ht="38" customHeight="1">
      <x:c r="A419" s="4" t="str">
        <x:v>JP</x:v>
      </x:c>
      <x:c r="B419" s="4" t="str">
        <x:v>住まいるダイヤル新規相談總數</x:v>
      </x:c>
      <x:c r="C419" s="17" t="n">
        <x:v>30812</x:v>
      </x:c>
      <x:c r="D419" s="4" t="str">
        <x:v>件</x:v>
      </x:c>
      <x:c r="E419" s="16" t="str">
        <x:v>2024年度</x:v>
      </x:c>
      <x:c r="F419" s="4" t="str">
        <x:v>JP09</x:v>
      </x:c>
      <x:c r="G419" s="24" t="str">
        <x:v>https://www.chord.or.jp/assets/NP2025_web..pdf</x:v>
      </x:c>
      <x:c r="H419" s="4" t="str">
        <x:v>【示意】2025年報的諮詢服務記錄，不代表全國投訴、確認違法或獨立受害人數；獨立來源1；來源B級</x:v>
      </x:c>
      <x:c r="I419" s="4" t="str">
        <x:v>低</x:v>
      </x:c>
    </x:row>
    <x:row r="420" ht="30" customHeight="1">
      <x:c r="A420" s="4" t="str">
        <x:v>JP</x:v>
      </x:c>
      <x:c r="B420" s="4" t="str">
        <x:v>住まいるダイヤル翻修相談</x:v>
      </x:c>
      <x:c r="C420" s="17" t="n">
        <x:v>11920</x:v>
      </x:c>
      <x:c r="D420" s="4" t="str">
        <x:v>件</x:v>
      </x:c>
      <x:c r="E420" s="16" t="str">
        <x:v>2024年度</x:v>
      </x:c>
      <x:c r="F420" s="4" t="str">
        <x:v>JP09</x:v>
      </x:c>
      <x:c r="G420" s="24" t="str">
        <x:v>https://www.chord.or.jp/assets/NP2025_web..pdf</x:v>
      </x:c>
      <x:c r="H420" s="4" t="str">
        <x:v>【示意】2025年報リフォーム諮詢分類；不是全國糾紛率；獨立來源1；來源B級</x:v>
      </x:c>
      <x:c r="I420" s="4" t="str">
        <x:v>低</x:v>
      </x:c>
    </x:row>
    <x:row r="421" ht="38" customHeight="1">
      <x:c r="A421" s="4" t="str">
        <x:v>SG</x:v>
      </x:c>
      <x:c r="B421" s="4" t="str">
        <x:v>住宅翻修市場（研究商估計）</x:v>
      </x:c>
      <x:c r="C421" s="19" t="n">
        <x:v>1638.7</x:v>
      </x:c>
      <x:c r="D421" s="4" t="str">
        <x:v>百萬SGD</x:v>
      </x:c>
      <x:c r="E421" s="16" t="n">
        <x:v>2022</x:v>
      </x:c>
      <x:c r="F421" s="4" t="str">
        <x:v>SG21</x:v>
      </x:c>
      <x:c r="G421" s="24" t="str">
        <x:v>https://www.sec.gov/Archives/edgar/data/2002236/000121390024045316/image_017.jpg</x:v>
      </x:c>
      <x:c r="H421" s="4" t="str">
        <x:v>【示意】Frost &amp; Sullivan，2024簡報第17頁住宅 renovation 分桶；排除另列 A&amp;A、新建與重建；非官方實績，細部方法未公開。；獨立來源1；來源B級</x:v>
      </x:c>
      <x:c r="I421" s="4" t="str">
        <x:v>低</x:v>
      </x:c>
    </x:row>
    <x:row r="422" ht="38" customHeight="1">
      <x:c r="A422" s="4" t="str">
        <x:v>SG</x:v>
      </x:c>
      <x:c r="B422" s="4" t="str">
        <x:v>住宅翻修市場（事前預測）</x:v>
      </x:c>
      <x:c r="C422" s="19" t="n">
        <x:v>1771.5</x:v>
      </x:c>
      <x:c r="D422" s="4" t="str">
        <x:v>百萬SGD</x:v>
      </x:c>
      <x:c r="E422" s="16" t="str">
        <x:v>2024E</x:v>
      </x:c>
      <x:c r="F422" s="4" t="str">
        <x:v>SG21</x:v>
      </x:c>
      <x:c r="G422" s="24" t="str">
        <x:v>https://www.sec.gov/Archives/edgar/data/2002236/000121390024045316/image_017.jpg</x:v>
      </x:c>
      <x:c r="H422" s="4" t="str">
        <x:v>【預測／示意】Frost &amp; Sullivan，2024簡報第17頁住宅 renovation 分桶；排除另列 A&amp;A、新建與重建；非官方實績，細部方法未公開。；獨立來源1；來源B級</x:v>
      </x:c>
      <x:c r="I422" s="4" t="str">
        <x:v>低</x:v>
      </x:c>
    </x:row>
    <x:row r="423" ht="38" customHeight="1">
      <x:c r="A423" s="4" t="str">
        <x:v>SG</x:v>
      </x:c>
      <x:c r="B423" s="4" t="str">
        <x:v>住宅翻修市場（事前預測）</x:v>
      </x:c>
      <x:c r="C423" s="19" t="n">
        <x:v>1847.5</x:v>
      </x:c>
      <x:c r="D423" s="4" t="str">
        <x:v>百萬SGD</x:v>
      </x:c>
      <x:c r="E423" s="16" t="str">
        <x:v>2025E</x:v>
      </x:c>
      <x:c r="F423" s="4" t="str">
        <x:v>SG21</x:v>
      </x:c>
      <x:c r="G423" s="24" t="str">
        <x:v>https://www.sec.gov/Archives/edgar/data/2002236/000121390024045316/image_017.jpg</x:v>
      </x:c>
      <x:c r="H423" s="4" t="str">
        <x:v>【預測／示意】Frost &amp; Sullivan，2024簡報第17頁住宅 renovation 分桶；排除另列 A&amp;A、新建與重建；非官方實績，細部方法未公開。；獨立來源1；來源B級</x:v>
      </x:c>
      <x:c r="I423" s="4" t="str">
        <x:v>低</x:v>
      </x:c>
    </x:row>
    <x:row r="424" ht="38" customHeight="1">
      <x:c r="A424" s="4" t="str">
        <x:v>SG</x:v>
      </x:c>
      <x:c r="B424" s="4" t="str">
        <x:v>住宅翻修市場（事前預測）</x:v>
      </x:c>
      <x:c r="C424" s="19" t="n">
        <x:v>2048.5</x:v>
      </x:c>
      <x:c r="D424" s="4" t="str">
        <x:v>百萬SGD</x:v>
      </x:c>
      <x:c r="E424" s="16" t="str">
        <x:v>2027E</x:v>
      </x:c>
      <x:c r="F424" s="4" t="str">
        <x:v>SG21</x:v>
      </x:c>
      <x:c r="G424" s="24" t="str">
        <x:v>https://www.sec.gov/Archives/edgar/data/2002236/000121390024045316/image_017.jpg</x:v>
      </x:c>
      <x:c r="H424" s="4" t="str">
        <x:v>【預測／示意】Frost &amp; Sullivan，2024簡報第17頁住宅 renovation 分桶；排除另列 A&amp;A、新建與重建；非官方實績，細部方法未公開。；獨立來源1；來源B級</x:v>
      </x:c>
      <x:c r="I424" s="4" t="str">
        <x:v>低</x:v>
      </x:c>
    </x:row>
    <x:row r="425" ht="38" customHeight="1">
      <x:c r="A425" s="4" t="str">
        <x:v>SG</x:v>
      </x:c>
      <x:c r="B425" s="4" t="str">
        <x:v>CaseTrust認證方案工藝保固</x:v>
      </x:c>
      <x:c r="C425" s="17" t="n">
        <x:v>12</x:v>
      </x:c>
      <x:c r="D425" s="4" t="str">
        <x:v>月</x:v>
      </x:c>
      <x:c r="E425" s="16" t="str">
        <x:v>查閱2026</x:v>
      </x:c>
      <x:c r="F425" s="4" t="str">
        <x:v>SG16</x:v>
      </x:c>
      <x:c r="G425" s="24" t="str">
        <x:v>https://www.case.org.sg/casetrust/casetrust-accreditation-for-renovation-businesses/</x:v>
      </x:c>
      <x:c r="H425" s="4" t="str">
        <x:v>【示意】完工起算，依認證方案契約；不是全部裝修法定統一保固。；獨立來源1；來源B級</x:v>
      </x:c>
      <x:c r="I425" s="4" t="str">
        <x:v>低</x:v>
      </x:c>
    </x:row>
    <x:row r="426" ht="38" customHeight="1">
      <x:c r="A426" s="4" t="str">
        <x:v>SG</x:v>
      </x:c>
      <x:c r="B426" s="4" t="str">
        <x:v>CaseTrust認證方案初始訂金上限</x:v>
      </x:c>
      <x:c r="C426" s="17" t="n">
        <x:v>20</x:v>
      </x:c>
      <x:c r="D426" s="4" t="str">
        <x:v>%</x:v>
      </x:c>
      <x:c r="E426" s="16" t="str">
        <x:v>查閱2026</x:v>
      </x:c>
      <x:c r="F426" s="4" t="str">
        <x:v>SG16</x:v>
      </x:c>
      <x:c r="G426" s="24" t="str">
        <x:v>https://www.case.org.sg/casetrust/casetrust-accreditation-for-renovation-businesses/</x:v>
      </x:c>
      <x:c r="H426" s="4" t="str">
        <x:v>【示意】認證方案條件，非所有承包商法定上限。；獨立來源1；來源B級</x:v>
      </x:c>
      <x:c r="I426" s="4" t="str">
        <x:v>低</x:v>
      </x:c>
    </x:row>
    <x:row r="427" ht="38" customHeight="1">
      <x:c r="A427" s="4" t="str">
        <x:v>SG</x:v>
      </x:c>
      <x:c r="B427" s="4" t="str">
        <x:v>非金融業EP最低月薪（年齡23歲以下）</x:v>
      </x:c>
      <x:c r="C427" s="17" t="n">
        <x:v>5600</x:v>
      </x:c>
      <x:c r="D427" s="4" t="str">
        <x:v>SGD／月</x:v>
      </x:c>
      <x:c r="E427" s="16" t="str">
        <x:v>查閱2026</x:v>
      </x:c>
      <x:c r="F427" s="4" t="str">
        <x:v>SG19</x:v>
      </x:c>
      <x:c r="G427" s="24" t="str">
        <x:v>https://www.mom.gov.sg/passes-and-permits/employment-pass/eligibility</x:v>
      </x:c>
      <x:c r="H427" s="4" t="str">
        <x:v>【示意】非金融業且年齡23歲以下；隨年齡提高，另受COMPASS等條件約束；不是設計師市場薪資。；獨立來源1；來源A級</x:v>
      </x:c>
      <x:c r="I427" s="4" t="str">
        <x:v>低</x:v>
      </x:c>
    </x:row>
    <x:row r="428" ht="38" customHeight="1">
      <x:c r="A428" s="4" t="str">
        <x:v>SG</x:v>
      </x:c>
      <x:c r="B428" s="4" t="str">
        <x:v>非金融業EP最低月薪（2027新申請規則）</x:v>
      </x:c>
      <x:c r="C428" s="17" t="n">
        <x:v>6000</x:v>
      </x:c>
      <x:c r="D428" s="4" t="str">
        <x:v>SGD／月</x:v>
      </x:c>
      <x:c r="E428" s="16" t="str">
        <x:v>2027-01-01</x:v>
      </x:c>
      <x:c r="F428" s="4" t="str">
        <x:v>SG19</x:v>
      </x:c>
      <x:c r="G428" s="24" t="str">
        <x:v>https://www.mom.gov.sg/passes-and-permits/employment-pass/eligibility</x:v>
      </x:c>
      <x:c r="H428" s="4" t="str">
        <x:v>【示意】研究日已公告、尚未生效的未來規則；適用年齡23歲以下，隨年齡提高；不是市場薪資預測。；獨立來源1；來源A級</x:v>
      </x:c>
      <x:c r="I428" s="4" t="str">
        <x:v>低</x:v>
      </x:c>
    </x:row>
    <x:row r="429" ht="30" customHeight="1">
      <x:c r="A429" s="4" t="str">
        <x:v>CN</x:v>
      </x:c>
      <x:c r="B429" s="4" t="str">
        <x:v>住宅竣工面積</x:v>
      </x:c>
      <x:c r="C429" s="17" t="n">
        <x:v>14798</x:v>
      </x:c>
      <x:c r="D429" s="4" t="str">
        <x:v>萬m²</x:v>
      </x:c>
      <x:c r="E429" s="16" t="str">
        <x:v>2026年1–8月</x:v>
      </x:c>
      <x:c r="F429" s="4" t="str">
        <x:v>CN15</x:v>
      </x:c>
      <x:c r="G429" s="24" t="str">
        <x:v>https://www.stats.gov.cn/sj/zxfb/202609/t20260915_1965310.html</x:v>
      </x:c>
      <x:c r="H429" s="4" t="str">
        <x:v>【示意】全國房地產開發企业2026年1–8月累計；非沿海翻修市場；獨立來源1；來源A級</x:v>
      </x:c>
      <x:c r="I429" s="4" t="str">
        <x:v>低</x:v>
      </x:c>
    </x:row>
    <x:row r="430" ht="30" customHeight="1">
      <x:c r="A430" s="4" t="str">
        <x:v>CN</x:v>
      </x:c>
      <x:c r="B430" s="4" t="str">
        <x:v>住宅竣工面積年變動</x:v>
      </x:c>
      <x:c r="C430" s="19" t="n">
        <x:v>-25.4</x:v>
      </x:c>
      <x:c r="D430" s="4" t="str">
        <x:v>%</x:v>
      </x:c>
      <x:c r="E430" s="16" t="str">
        <x:v>2026年1–8月</x:v>
      </x:c>
      <x:c r="F430" s="4" t="str">
        <x:v>CN15</x:v>
      </x:c>
      <x:c r="G430" s="24" t="str">
        <x:v>https://www.stats.gov.cn/sj/zxfb/202609/t20260915_1965310.html</x:v>
      </x:c>
      <x:c r="H430" s="4" t="str">
        <x:v>【示意】2026年1–8月累計年增減；按可比口徑；獨立來源1；來源A級</x:v>
      </x:c>
      <x:c r="I430" s="4" t="str">
        <x:v>低</x:v>
      </x:c>
    </x:row>
    <x:row r="431" ht="30" customHeight="1">
      <x:c r="A431" s="4" t="str">
        <x:v>CN</x:v>
      </x:c>
      <x:c r="B431" s="4" t="str">
        <x:v>住宅新開工面積</x:v>
      </x:c>
      <x:c r="C431" s="17" t="n">
        <x:v>21840</x:v>
      </x:c>
      <x:c r="D431" s="4" t="str">
        <x:v>萬m²</x:v>
      </x:c>
      <x:c r="E431" s="16" t="str">
        <x:v>2026年1–8月</x:v>
      </x:c>
      <x:c r="F431" s="4" t="str">
        <x:v>CN15</x:v>
      </x:c>
      <x:c r="G431" s="24" t="str">
        <x:v>https://www.stats.gov.cn/sj/zxfb/202609/t20260915_1965310.html</x:v>
      </x:c>
      <x:c r="H431" s="4" t="str">
        <x:v>【示意】全國房地產開發企業2026年1–8月累計；獨立來源1；來源A級</x:v>
      </x:c>
      <x:c r="I431" s="4" t="str">
        <x:v>低</x:v>
      </x:c>
    </x:row>
    <x:row r="432" ht="30" customHeight="1">
      <x:c r="A432" s="4" t="str">
        <x:v>CN</x:v>
      </x:c>
      <x:c r="B432" s="4" t="str">
        <x:v>新建商品住宅銷售面積年變動</x:v>
      </x:c>
      <x:c r="C432" s="17" t="n">
        <x:v>-13</x:v>
      </x:c>
      <x:c r="D432" s="4" t="str">
        <x:v>%</x:v>
      </x:c>
      <x:c r="E432" s="16" t="str">
        <x:v>2026年1–8月</x:v>
      </x:c>
      <x:c r="F432" s="4" t="str">
        <x:v>CN15</x:v>
      </x:c>
      <x:c r="G432" s="24" t="str">
        <x:v>https://www.stats.gov.cn/sj/zxfb/202609/t20260915_1965310.html</x:v>
      </x:c>
      <x:c r="H432" s="4" t="str">
        <x:v>【示意】2026年1–8月累計年增減；按可比口徑；獨立來源1；來源A級</x:v>
      </x:c>
      <x:c r="I432" s="4" t="str">
        <x:v>低</x:v>
      </x:c>
    </x:row>
    <x:row r="433" ht="38" customHeight="1">
      <x:c r="A433" s="4" t="str">
        <x:v>CN</x:v>
      </x:c>
      <x:c r="B433" s="4" t="str">
        <x:v>二手房交易網簽面積</x:v>
      </x:c>
      <x:c r="C433" s="17" t="n">
        <x:v>54923</x:v>
      </x:c>
      <x:c r="D433" s="4" t="str">
        <x:v>萬m²</x:v>
      </x:c>
      <x:c r="E433" s="16" t="str">
        <x:v>2026年1–8月</x:v>
      </x:c>
      <x:c r="F433" s="4" t="str">
        <x:v>CN15</x:v>
      </x:c>
      <x:c r="G433" s="24" t="str">
        <x:v>https://www.stats.gov.cn/sj/zxfb/202609/t20260915_1965310.html</x:v>
      </x:c>
      <x:c r="H433" s="4" t="str">
        <x:v>【示意】國統引用住建部資料；城鎮二手房合同總面積，未單列住宅，不能直接作住宅中古占比；獨立來源1；來源A級</x:v>
      </x:c>
      <x:c r="I433" s="4" t="str">
        <x:v>低</x:v>
      </x:c>
    </x:row>
    <x:row r="434" ht="30" customHeight="1">
      <x:c r="A434" s="4" t="str">
        <x:v>CN</x:v>
      </x:c>
      <x:c r="B434" s="4" t="str">
        <x:v>二手房交易網簽面積年變動</x:v>
      </x:c>
      <x:c r="C434" s="19" t="n">
        <x:v>10.6</x:v>
      </x:c>
      <x:c r="D434" s="4" t="str">
        <x:v>%</x:v>
      </x:c>
      <x:c r="E434" s="16" t="str">
        <x:v>2026年1–8月</x:v>
      </x:c>
      <x:c r="F434" s="4" t="str">
        <x:v>CN15</x:v>
      </x:c>
      <x:c r="G434" s="24" t="str">
        <x:v>https://www.stats.gov.cn/sj/zxfb/202609/t20260915_1965310.html</x:v>
      </x:c>
      <x:c r="H434" s="4" t="str">
        <x:v>【示意】國統引用住建部；2026年1–8月累計；非住宅裝修年增率；獨立來源1；來源A級</x:v>
      </x:c>
      <x:c r="I434" s="4" t="str">
        <x:v>低</x:v>
      </x:c>
    </x:row>
    <x:row r="435" ht="38" customHeight="1">
      <x:c r="A435" s="4" t="str">
        <x:v>MY</x:v>
      </x:c>
      <x:c r="B435" s="4" t="str">
        <x:v>住宅改善商品市場</x:v>
      </x:c>
      <x:c r="C435" s="18" t="n">
        <x:v>47.73</x:v>
      </x:c>
      <x:c r="D435" s="4" t="str">
        <x:v>十億MYR</x:v>
      </x:c>
      <x:c r="E435" s="16" t="n">
        <x:v>2024</x:v>
      </x:c>
      <x:c r="F435" s="4" t="str">
        <x:v>MY24</x:v>
      </x:c>
      <x:c r="G435" s="24" t="str">
        <x:v>https://anns.sgp1.cdn.digitaloceanspaces.com/3629602.pdf</x:v>
      </x:c>
      <x:c r="H435" s="4" t="str">
        <x:v>【示意】Protégé估計商品銷售；行業範圍含製造／批零／相關服務，但此規模表明列products sales；非純施工；獨立來源1；來源A級</x:v>
      </x:c>
      <x:c r="I435" s="4" t="str">
        <x:v>低</x:v>
      </x:c>
    </x:row>
    <x:row r="436" ht="30" customHeight="1">
      <x:c r="A436" s="4" t="str">
        <x:v>MY</x:v>
      </x:c>
      <x:c r="B436" s="4" t="str">
        <x:v>住宅改善商品市場估計</x:v>
      </x:c>
      <x:c r="C436" s="18" t="n">
        <x:v>49.64</x:v>
      </x:c>
      <x:c r="D436" s="4" t="str">
        <x:v>十億MYR</x:v>
      </x:c>
      <x:c r="E436" s="16" t="n">
        <x:v>2025</x:v>
      </x:c>
      <x:c r="F436" s="4" t="str">
        <x:v>MY24</x:v>
      </x:c>
      <x:c r="G436" s="24" t="str">
        <x:v>https://anns.sgp1.cdn.digitaloceanspaces.com/3629602.pdf</x:v>
      </x:c>
      <x:c r="H436" s="4" t="str">
        <x:v>【示意】招股書標e估計；非2025官方實績；獨立來源1；來源A級</x:v>
      </x:c>
      <x:c r="I436" s="4" t="str">
        <x:v>低</x:v>
      </x:c>
    </x:row>
    <x:row r="437" ht="30" customHeight="1">
      <x:c r="A437" s="4" t="str">
        <x:v>MY</x:v>
      </x:c>
      <x:c r="B437" s="4" t="str">
        <x:v>住宅改善商品市場預測</x:v>
      </x:c>
      <x:c r="C437" s="18" t="n">
        <x:v>59.19</x:v>
      </x:c>
      <x:c r="D437" s="4" t="str">
        <x:v>十億MYR</x:v>
      </x:c>
      <x:c r="E437" s="16" t="n">
        <x:v>2029</x:v>
      </x:c>
      <x:c r="F437" s="4" t="str">
        <x:v>MY24</x:v>
      </x:c>
      <x:c r="G437" s="24" t="str">
        <x:v>https://anns.sgp1.cdn.digitaloceanspaces.com/3629602.pdf</x:v>
      </x:c>
      <x:c r="H437" s="4" t="str">
        <x:v>【預測／示意】招股書標f預測，不是2030實績；獨立來源1；來源A級</x:v>
      </x:c>
      <x:c r="I437" s="4" t="str">
        <x:v>低</x:v>
      </x:c>
    </x:row>
    <x:row r="438" ht="192" customHeight="1">
      <x:c r="A438" s="4" t="str">
        <x:v>TH</x:v>
      </x:c>
      <x:c r="B438" s="4" t="str">
        <x:v>最低日薪下限</x:v>
      </x:c>
      <x:c r="C438" s="17" t="n">
        <x:v>337</x:v>
      </x:c>
      <x:c r="D438" s="4" t="str">
        <x:v>THB/日</x:v>
      </x:c>
      <x:c r="E438" s="16" t="str">
        <x:v>2025-07-01起</x:v>
      </x:c>
      <x:c r="F438" s="4" t="str">
        <x:v>TH25</x:v>
      </x:c>
      <x:c r="G438" s="24" t="str">
        <x:v>https://www.mol.go.th/news/%E0%B9%80%E0%B8%A3%E0%B8%B4%E0%B9%88%E0%B8%A1-1-%E0%B8%81%E0%B8%A3%E0%B8%81%E0%B8%8E%E0%B8%B2%E0%B8%84%E0%B8%A1%E0%B8%99%E0%B8%B5%E0%B9%89-%E0%B8%81%E0%B8%A3%E0%B8%B0%E0%B8%97%E0%B8%A3%E0%B8%A7%E0%B8%87%E0%B9%81%E0%B8%A3%E0%B8%87%E0%B8%87%E0%B8%B2%E0%B8%99-%E0%B8%9B%E0%B8%A3%E0%B8%B1%E0%B8%9A%E0%B9%83%E0%B8%AB%E0%B8%A1%E0%B9%88%E0%B8%84%E0%B9%88%E0%B8%B2%E0%B9%81%E0%B8%A3%E0%B8%87%E0%B8%82%E0%B8%B1%E0%B9%89%E0%B8%99%E0%B8%95%E0%B9%88%E0%B8%B3-%E0%B8%AA%E0%B8%AD%E0%B8%94%E0%B8%A3%E0%B8%B1%E0%B8%9A%E0%B9%80%E0%B8%A8%E0%B8%A3%E0%B8%A9%E0%B8%90%E0%B8%81%E0%B8%B4%E0%B8%88-%E0%B8%A2%E0%B8%81%E0%B8%A3%E0%B8%B0%E0%B8%94%E0%B8%B1%E0%B8%9A%E0%B8%84%E0%B8%B8%E0%B8%93%E0%B8%A0%E0%B8%B2%E0%B8%9E%E0%B8%8A%E0%B8%B5%E0%B8%A7%E0%B8%B4%E0%B8%95%E0%B9%81%E0%B8%A3%E0%B8%87%E0%B8%87%E0%B8%B2%E0%B8%99</x:v>
      </x:c>
      <x:c r="H438" s="4" t="str">
        <x:v>【示意】依區域／行業；非熟練師傅市場行情；獨立來源1；來源A級</x:v>
      </x:c>
      <x:c r="I438" s="4" t="str">
        <x:v>低</x:v>
      </x:c>
    </x:row>
    <x:row r="439" ht="192" customHeight="1">
      <x:c r="A439" s="4" t="str">
        <x:v>TH</x:v>
      </x:c>
      <x:c r="B439" s="4" t="str">
        <x:v>曼谷最低日薪</x:v>
      </x:c>
      <x:c r="C439" s="17" t="n">
        <x:v>400</x:v>
      </x:c>
      <x:c r="D439" s="4" t="str">
        <x:v>THB/日</x:v>
      </x:c>
      <x:c r="E439" s="16" t="str">
        <x:v>2025-07-01起</x:v>
      </x:c>
      <x:c r="F439" s="4" t="str">
        <x:v>TH25</x:v>
      </x:c>
      <x:c r="G439" s="24" t="str">
        <x:v>https://www.mol.go.th/news/%E0%B9%80%E0%B8%A3%E0%B8%B4%E0%B9%88%E0%B8%A1-1-%E0%B8%81%E0%B8%A3%E0%B8%81%E0%B8%8E%E0%B8%B2%E0%B8%84%E0%B8%A1%E0%B8%99%E0%B8%B5%E0%B9%89-%E0%B8%81%E0%B8%A3%E0%B8%B0%E0%B8%97%E0%B8%A3%E0%B8%A7%E0%B8%87%E0%B9%81%E0%B8%A3%E0%B8%87%E0%B8%87%E0%B8%B2%E0%B8%99-%E0%B8%9B%E0%B8%A3%E0%B8%B1%E0%B8%9A%E0%B9%83%E0%B8%AB%E0%B8%A1%E0%B9%88%E0%B8%84%E0%B9%88%E0%B8%B2%E0%B9%81%E0%B8%A3%E0%B8%87%E0%B8%82%E0%B8%B1%E0%B9%89%E0%B8%99%E0%B8%95%E0%B9%88%E0%B8%B3-%E0%B8%AA%E0%B8%AD%E0%B8%94%E0%B8%A3%E0%B8%B1%E0%B8%9A%E0%B9%80%E0%B8%A8%E0%B8%A3%E0%B8%A9%E0%B8%90%E0%B8%81%E0%B8%B4%E0%B8%88-%E0%B8%A2%E0%B8%81%E0%B8%A3%E0%B8%B0%E0%B8%94%E0%B8%B1%E0%B8%9A%E0%B8%84%E0%B8%B8%E0%B8%93%E0%B8%A0%E0%B8%B2%E0%B8%9E%E0%B8%8A%E0%B8%B5%E0%B8%A7%E0%B8%B4%E0%B8%95%E0%B9%81%E0%B8%A3%E0%B8%87%E0%B8%87%E0%B8%B2%E0%B8%99</x:v>
      </x:c>
      <x:c r="H439" s="4" t="str">
        <x:v>【示意】法定門檻，不是木工／水電報價；獨立來源1；來源A級</x:v>
      </x:c>
      <x:c r="I439" s="4" t="str">
        <x:v>低</x:v>
      </x:c>
    </x:row>
    <x:row r="440" ht="30" customHeight="1">
      <x:c r="A440" s="4" t="str">
        <x:v>MY</x:v>
      </x:c>
      <x:c r="B440" s="4" t="str">
        <x:v>Qanvast基本住宅裝修平台參考價</x:v>
      </x:c>
      <x:c r="C440" s="14" t="str">
        <x:v>20–40</x:v>
      </x:c>
      <x:c r="D440" s="4" t="str">
        <x:v>MYR/平方英尺</x:v>
      </x:c>
      <x:c r="E440" s="16" t="str">
        <x:v>2026查閱</x:v>
      </x:c>
      <x:c r="F440" s="4" t="str">
        <x:v>MY10</x:v>
      </x:c>
      <x:c r="G440" s="24" t="str">
        <x:v>https://qanvast.com/my/interior-designers</x:v>
      </x:c>
      <x:c r="H440" s="4" t="str">
        <x:v>【示意】平台FAQ範圍；樣本、面積、税項未披露；非全國基本級調查；獨立來源1；來源C級</x:v>
      </x:c>
      <x:c r="I440" s="4" t="str">
        <x:v>低</x:v>
      </x:c>
    </x:row>
    <x:row r="441" ht="30" customHeight="1">
      <x:c r="A441" s="4" t="str">
        <x:v>MY</x:v>
      </x:c>
      <x:c r="B441" s="4" t="str">
        <x:v>Qanvast中階住宅裝修平台參考價</x:v>
      </x:c>
      <x:c r="C441" s="14" t="str">
        <x:v>40–70</x:v>
      </x:c>
      <x:c r="D441" s="4" t="str">
        <x:v>MYR/平方英尺</x:v>
      </x:c>
      <x:c r="E441" s="16" t="str">
        <x:v>2026查閱</x:v>
      </x:c>
      <x:c r="F441" s="4" t="str">
        <x:v>MY10</x:v>
      </x:c>
      <x:c r="G441" s="24" t="str">
        <x:v>https://qanvast.com/my/interior-designers</x:v>
      </x:c>
      <x:c r="H441" s="4" t="str">
        <x:v>【示意】平台FAQ範圍；非同規格全國中階行情；獨立來源1；來源C級</x:v>
      </x:c>
      <x:c r="I441" s="4" t="str">
        <x:v>低</x:v>
      </x:c>
    </x:row>
    <x:row r="442" ht="30" customHeight="1">
      <x:c r="A442" s="4" t="str">
        <x:v>MY</x:v>
      </x:c>
      <x:c r="B442" s="4" t="str">
        <x:v>Qanvast高階住宅裝修平台參考價</x:v>
      </x:c>
      <x:c r="C442" s="14" t="str">
        <x:v>70–150+</x:v>
      </x:c>
      <x:c r="D442" s="4" t="str">
        <x:v>MYR/平方英尺</x:v>
      </x:c>
      <x:c r="E442" s="16" t="str">
        <x:v>2026查閱</x:v>
      </x:c>
      <x:c r="F442" s="4" t="str">
        <x:v>MY10</x:v>
      </x:c>
      <x:c r="G442" s="24" t="str">
        <x:v>https://qanvast.com/my/interior-designers</x:v>
      </x:c>
      <x:c r="H442" s="4" t="str">
        <x:v>【示意】平台FAQ高階飾面；上端另有+，不能當封頂價；獨立來源1；來源C級</x:v>
      </x:c>
      <x:c r="I442" s="4" t="str">
        <x:v>低</x:v>
      </x:c>
    </x:row>
    <x:row r="443" ht="38" customHeight="1">
      <x:c r="A443" s="4" t="str">
        <x:v>MY</x:v>
      </x:c>
      <x:c r="B443" s="4" t="str">
        <x:v>Qanvast設計及管理費平台参考比例</x:v>
      </x:c>
      <x:c r="C443" s="14" t="str">
        <x:v>8–12</x:v>
      </x:c>
      <x:c r="D443" s="4" t="str">
        <x:v>%</x:v>
      </x:c>
      <x:c r="E443" s="16" t="str">
        <x:v>2026查閱</x:v>
      </x:c>
      <x:c r="F443" s="4" t="str">
        <x:v>MY10</x:v>
      </x:c>
      <x:c r="G443" s="24" t="str">
        <x:v>https://qanvast.com/my/interior-designers</x:v>
      </x:c>
      <x:c r="H443" s="4" t="str">
        <x:v>【示意】分母總翻修預算；含規劃、3D、選材、管理，不等於純設計費/工程費；獨立來源1；來源C級</x:v>
      </x:c>
      <x:c r="I443" s="4" t="str">
        <x:v>低</x:v>
      </x:c>
    </x:row>
    <x:row r="444" ht="30" customHeight="1">
      <x:c r="A444" s="4" t="str">
        <x:v>MY</x:v>
      </x:c>
      <x:c r="B444" s="4" t="str">
        <x:v>Qanvast設計施工平台参考工期</x:v>
      </x:c>
      <x:c r="C444" s="14" t="str">
        <x:v>8–16</x:v>
      </x:c>
      <x:c r="D444" s="4" t="str">
        <x:v>週</x:v>
      </x:c>
      <x:c r="E444" s="16" t="str">
        <x:v>2026查閱</x:v>
      </x:c>
      <x:c r="F444" s="4" t="str">
        <x:v>MY10</x:v>
      </x:c>
      <x:c r="G444" s="24" t="str">
        <x:v>https://qanvast.com/my/interior-designers</x:v>
      </x:c>
      <x:c r="H444" s="4" t="str">
        <x:v>【示意】平台典型全流程範圍；非成交樣本工期分布；獨立來源1；來源C級</x:v>
      </x:c>
      <x:c r="I444" s="4" t="str">
        <x:v>低</x:v>
      </x:c>
    </x:row>
  </x:sheetData>
  <x:pageMargins left="0.7" right="0.7" top="0.75" bottom="0.75" header="0.3" footer="0.3"/>
  <x:tableParts count="1">
    <x:tablePart xmlns:r="http://schemas.openxmlformats.org/officeDocument/2006/relationships" r:id="Reda1001dee434c4b"/>
  </x:tableParts>
</x:worksheet>
</file>

<file path=xl/worksheets/sheet2.xml><?xml version="1.0" encoding="utf-8"?>
<x:worksheet xmlns:x="http://schemas.openxmlformats.org/spreadsheetml/2006/main">
  <x:sheetPr>
    <x:tabColor rgb="FF668497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21" max="21" width="10" hidden="0" customWidth="1"/>
    <x:col min="22" max="22" width="18.329999923706055" hidden="0" customWidth="1"/>
    <x:col min="23" max="23" width="21.110000610351562" hidden="0" customWidth="1"/>
    <x:col min="24" max="24" width="12.220000267028809" hidden="0" customWidth="1"/>
    <x:col min="25" max="25" width="50" hidden="0" customWidth="1"/>
    <x:col min="26" max="26" width="31.110000610351562" hidden="0" customWidth="1"/>
    <x:col min="1" max="1" width="8.890000343322754" hidden="0" customWidth="1"/>
    <x:col min="2" max="2" width="31.670000076293945" hidden="0" customWidth="1"/>
    <x:col min="3" max="3" width="17.780000686645508" hidden="0" customWidth="1"/>
    <x:col min="4" max="4" width="18.329999923706055" hidden="0" customWidth="1"/>
    <x:col min="5" max="5" width="16.110000610351562" hidden="0" customWidth="1"/>
    <x:col min="6" max="6" width="13.890000343322754" hidden="0" customWidth="1"/>
    <x:col min="7" max="7" width="9.4399995803833" hidden="0" customWidth="1"/>
    <x:col min="8" max="8" width="22.219999313354492" hidden="0" customWidth="1"/>
    <x:col min="9" max="9" width="18.329999923706055" hidden="0" customWidth="1"/>
    <x:col min="10" max="10" width="22.219999313354492" hidden="0" customWidth="1"/>
    <x:col min="11" max="11" width="13.890000343322754" hidden="0" customWidth="1"/>
    <x:col min="12" max="12" width="23.329999923706055" hidden="0" customWidth="1"/>
    <x:col min="13" max="13" width="15.5600004196167" hidden="0" customWidth="1"/>
    <x:col min="14" max="14" width="11.109999656677246" hidden="0" customWidth="1"/>
    <x:col min="15" max="15" width="44.439998626708984" hidden="0" customWidth="1"/>
    <x:col min="16" max="16" width="11.109999656677246" hidden="0" customWidth="1"/>
    <x:col min="17" max="17" width="53.33000183105469" hidden="0" customWidth="1"/>
    <x:col min="18" max="18" width="9.4399995803833" hidden="0" customWidth="1"/>
  </x:cols>
  <x:sheetData>
    <x:row r="2">
      <x:c r="A2" s="25" t="str">
        <x:v>固定匯率金額換算</x:v>
      </x:c>
    </x:row>
    <x:row r="3" ht="25" customHeight="1">
      <x:c r="A3" s="1" t="str">
        <x:v>匯率在 U–Z 欄，黃色儲存格可調整。固定比較匯率不是即期匯率；原值、單位乘數與來源均保留。</x:v>
      </x:c>
    </x:row>
    <x:row r="5" ht="32" customHeight="1">
      <x:c r="A5" s="10" t="str">
        <x:v>市場</x:v>
      </x:c>
      <x:c r="B5" s="11" t="str">
        <x:v>指標</x:v>
      </x:c>
      <x:c r="C5" s="11" t="str">
        <x:v>年份／期間</x:v>
      </x:c>
      <x:c r="D5" s="11" t="str">
        <x:v>原幣數值</x:v>
      </x:c>
      <x:c r="E5" s="11" t="str">
        <x:v>原幣單位</x:v>
      </x:c>
      <x:c r="F5" s="11" t="str">
        <x:v>單位乘數</x:v>
      </x:c>
      <x:c r="G5" s="11" t="str">
        <x:v>幣別</x:v>
      </x:c>
      <x:c r="H5" s="11" t="str">
        <x:v>原幣完整金額</x:v>
      </x:c>
      <x:c r="I5" s="11" t="str">
        <x:v>每 USD 原幣</x:v>
      </x:c>
      <x:c r="J5" s="11" t="str">
        <x:v>美元金額</x:v>
      </x:c>
      <x:c r="K5" s="11" t="str">
        <x:v>美元單位</x:v>
      </x:c>
      <x:c r="L5" s="11" t="str">
        <x:v>新台幣金額</x:v>
      </x:c>
      <x:c r="M5" s="11" t="str">
        <x:v>新台幣單位</x:v>
      </x:c>
      <x:c r="N5" s="11" t="str">
        <x:v>來源編號</x:v>
      </x:c>
      <x:c r="O5" s="11" t="str">
        <x:v>來源 URL</x:v>
      </x:c>
      <x:c r="P5" s="11" t="str">
        <x:v>匯率來源</x:v>
      </x:c>
      <x:c r="Q5" s="11" t="str">
        <x:v>定義與採用標籤</x:v>
      </x:c>
      <x:c r="R5" s="12" t="str">
        <x:v>信心</x:v>
      </x:c>
      <x:c r="U5" s="29" t="str">
        <x:v>幣別</x:v>
      </x:c>
      <x:c r="V5" s="29" t="str">
        <x:v>每 USD 原幣</x:v>
      </x:c>
      <x:c r="W5" s="29" t="str">
        <x:v>參照期間</x:v>
      </x:c>
      <x:c r="X5" s="29" t="str">
        <x:v>來源編號</x:v>
      </x:c>
      <x:c r="Y5" s="29" t="str">
        <x:v>來源 URL</x:v>
      </x:c>
      <x:c r="Z5" s="29" t="str">
        <x:v>使用限制</x:v>
      </x:c>
    </x:row>
    <x:row r="6" ht="64" customHeight="1">
      <x:c r="A6" s="4" t="str">
        <x:v>TW</x:v>
      </x:c>
      <x:c r="B6" s="4" t="str">
        <x:v>名目人均GDP</x:v>
      </x:c>
      <x:c r="C6" s="4" t="n">
        <x:v>2025</x:v>
      </x:c>
      <x:c r="D6" s="17" t="n">
        <x:v>39492</x:v>
      </x:c>
      <x:c r="E6" s="4" t="str">
        <x:v>USD/人</x:v>
      </x:c>
      <x:c r="F6" s="17" t="n">
        <x:v>1</x:v>
      </x:c>
      <x:c r="G6" s="4" t="str">
        <x:v>USD</x:v>
      </x:c>
      <x:c r="H6" s="17" t="n">
        <x:f>D6*F6</x:f>
        <x:v>39492</x:v>
      </x:c>
      <x:c r="I6" s="17" t="n">
        <x:f>INDEX($V$6:$V$19,MATCH(G6,$U$6:$U$19,0))</x:f>
        <x:v>1</x:v>
      </x:c>
      <x:c r="J6" s="36" t="n">
        <x:f>IF(I6&lt;=0,"無有效匯率",H6/I6)</x:f>
        <x:v>39492</x:v>
      </x:c>
      <x:c r="K6" s="4" t="str">
        <x:v>USD/人</x:v>
      </x:c>
      <x:c r="L6" s="36" t="n">
        <x:f>IF(OR(NOT(ISNUMBER(J6)),$V$6&lt;=0),"無有效匯率",J6*$V$6)</x:f>
        <x:v>1230819.5196</x:v>
      </x:c>
      <x:c r="M6" s="4" t="str">
        <x:v>TWD/人</x:v>
      </x:c>
      <x:c r="N6" s="4" t="str">
        <x:v>TW01</x:v>
      </x:c>
      <x:c r="O6" s="4" t="str">
        <x:v>https://www.dgbas.gov.tw/News_Content.aspx?n=3602&amp;s=235719</x:v>
      </x:c>
      <x:c r="P6" s="4" t="str">
        <x:v>X01</x:v>
      </x:c>
      <x:c r="Q6" s="4" t="str">
        <x:v>【示意】2026-02-13初步統計；後續可能修訂；獨立來源1；來源A級</x:v>
      </x:c>
      <x:c r="R6" s="4" t="str">
        <x:v>低</x:v>
      </x:c>
      <x:c r="U6" s="3" t="str">
        <x:v>TWD</x:v>
      </x:c>
      <x:c r="V6" s="32" t="n">
        <x:v>31.1663</x:v>
      </x:c>
      <x:c r="W6" s="3" t="str">
        <x:v>2025年度平均</x:v>
      </x:c>
      <x:c r="X6" s="3" t="str">
        <x:v>X01</x:v>
      </x:c>
      <x:c r="Y6" s="33" t="str">
        <x:v>https://www.federalreserve.gov/releases/g5a/current/default.htm</x:v>
      </x:c>
      <x:c r="Z6" s="3" t="str">
        <x:v>單源示意；固定比較參照，非即期</x:v>
      </x:c>
    </x:row>
    <x:row r="7" ht="64" customHeight="1">
      <x:c r="A7" s="4" t="str">
        <x:v>TW</x:v>
      </x:c>
      <x:c r="B7" s="4" t="str">
        <x:v>老宅延壽預算</x:v>
      </x:c>
      <x:c r="C7" s="4" t="str">
        <x:v>2025–2027</x:v>
      </x:c>
      <x:c r="D7" s="17" t="n">
        <x:v>5000000000</x:v>
      </x:c>
      <x:c r="E7" s="4" t="str">
        <x:v>TWD</x:v>
      </x:c>
      <x:c r="F7" s="17" t="n">
        <x:v>1</x:v>
      </x:c>
      <x:c r="G7" s="4" t="str">
        <x:v>TWD</x:v>
      </x:c>
      <x:c r="H7" s="17" t="n">
        <x:f>D7*F7</x:f>
        <x:v>5000000000</x:v>
      </x:c>
      <x:c r="I7" s="35" t="n">
        <x:f>INDEX($V$6:$V$19,MATCH(G7,$U$6:$U$19,0))</x:f>
        <x:v>31.1663</x:v>
      </x:c>
      <x:c r="J7" s="36" t="n">
        <x:f>IF(I7&lt;=0,"無有效匯率",H7/I7)</x:f>
        <x:v>160429694.89480624</x:v>
      </x:c>
      <x:c r="K7" s="4" t="str">
        <x:v>USD</x:v>
      </x:c>
      <x:c r="L7" s="36" t="n">
        <x:f>IF(OR(NOT(ISNUMBER(J7)),$V$6&lt;=0),"無有效匯率",J7*$V$6)</x:f>
        <x:v>5000000000</x:v>
      </x:c>
      <x:c r="M7" s="4" t="str">
        <x:v>TWD</x:v>
      </x:c>
      <x:c r="N7" s="4" t="str">
        <x:v>TW05</x:v>
      </x:c>
      <x:c r="O7" s="4" t="str">
        <x:v>https://www.ey.gov.tw/Page/5A8A0CB5B41DA11E/2fcc4669-ac6d-43af-bbe5-d1359c21c4c8</x:v>
      </x:c>
      <x:c r="P7" s="4" t="str">
        <x:v>X01</x:v>
      </x:c>
      <x:c r="Q7" s="4" t="str">
        <x:v>【示意】政策投入總額，不是室內裝修市場營收；獨立來源1；來源A級</x:v>
      </x:c>
      <x:c r="R7" s="4" t="str">
        <x:v>低</x:v>
      </x:c>
      <x:c r="U7" s="3" t="str">
        <x:v>JPY</x:v>
      </x:c>
      <x:c r="V7" s="32" t="n">
        <x:v>149.5686</x:v>
      </x:c>
      <x:c r="W7" s="3" t="str">
        <x:v>2025年度平均</x:v>
      </x:c>
      <x:c r="X7" s="3" t="str">
        <x:v>X01</x:v>
      </x:c>
      <x:c r="Y7" s="33" t="str">
        <x:v>https://www.federalreserve.gov/releases/g5a/current/default.htm</x:v>
      </x:c>
      <x:c r="Z7" s="3" t="str">
        <x:v>單源示意；固定比較參照，非即期</x:v>
      </x:c>
    </x:row>
    <x:row r="8" ht="64" customHeight="1">
      <x:c r="A8" s="4" t="str">
        <x:v>TW</x:v>
      </x:c>
      <x:c r="B8" s="4" t="str">
        <x:v>特力集團合併營收</x:v>
      </x:c>
      <x:c r="C8" s="4" t="n">
        <x:v>2024</x:v>
      </x:c>
      <x:c r="D8" s="17" t="n">
        <x:v>36832000000</x:v>
      </x:c>
      <x:c r="E8" s="4" t="str">
        <x:v>TWD</x:v>
      </x:c>
      <x:c r="F8" s="17" t="n">
        <x:v>1</x:v>
      </x:c>
      <x:c r="G8" s="4" t="str">
        <x:v>TWD</x:v>
      </x:c>
      <x:c r="H8" s="17" t="n">
        <x:f>D8*F8</x:f>
        <x:v>36832000000</x:v>
      </x:c>
      <x:c r="I8" s="35" t="n">
        <x:f>INDEX($V$6:$V$19,MATCH(G8,$U$6:$U$19,0))</x:f>
        <x:v>31.1663</x:v>
      </x:c>
      <x:c r="J8" s="36" t="n">
        <x:f>IF(I8&lt;=0,"無有效匯率",H8/I8)</x:f>
        <x:v>1181789304.4731007</x:v>
      </x:c>
      <x:c r="K8" s="4" t="str">
        <x:v>USD</x:v>
      </x:c>
      <x:c r="L8" s="36" t="n">
        <x:f>IF(OR(NOT(ISNUMBER(J8)),$V$6&lt;=0),"無有效匯率",J8*$V$6)</x:f>
        <x:v>36832000000</x:v>
      </x:c>
      <x:c r="M8" s="4" t="str">
        <x:v>TWD</x:v>
      </x:c>
      <x:c r="N8" s="4" t="str">
        <x:v>TW12</x:v>
      </x:c>
      <x:c r="O8" s="4" t="str">
        <x:v>https://www.testritegroup.com/uploads/2024_069db0ff1f.pdf</x:v>
      </x:c>
      <x:c r="P8" s="4" t="str">
        <x:v>X01</x:v>
      </x:c>
      <x:c r="Q8" s="4" t="str">
        <x:v>【示意】全球貿易及零售等，不是台灣裝修TAM；獨立來源1；來源A級</x:v>
      </x:c>
      <x:c r="R8" s="4" t="str">
        <x:v>低</x:v>
      </x:c>
      <x:c r="U8" s="3" t="str">
        <x:v>KRW</x:v>
      </x:c>
      <x:c r="V8" s="32" t="n">
        <x:v>1421.3963</x:v>
      </x:c>
      <x:c r="W8" s="3" t="str">
        <x:v>2025年度平均</x:v>
      </x:c>
      <x:c r="X8" s="3" t="str">
        <x:v>X01</x:v>
      </x:c>
      <x:c r="Y8" s="33" t="str">
        <x:v>https://www.federalreserve.gov/releases/g5a/current/default.htm</x:v>
      </x:c>
      <x:c r="Z8" s="3" t="str">
        <x:v>單源示意；固定比較參照，非即期</x:v>
      </x:c>
    </x:row>
    <x:row r="9" ht="64" customHeight="1">
      <x:c r="A9" s="4" t="str">
        <x:v>TW</x:v>
      </x:c>
      <x:c r="B9" s="4" t="str">
        <x:v>特力台灣零售營收</x:v>
      </x:c>
      <x:c r="C9" s="4" t="n">
        <x:v>2024</x:v>
      </x:c>
      <x:c r="D9" s="17" t="n">
        <x:v>13720000000</x:v>
      </x:c>
      <x:c r="E9" s="4" t="str">
        <x:v>TWD</x:v>
      </x:c>
      <x:c r="F9" s="17" t="n">
        <x:v>1</x:v>
      </x:c>
      <x:c r="G9" s="4" t="str">
        <x:v>TWD</x:v>
      </x:c>
      <x:c r="H9" s="17" t="n">
        <x:f>D9*F9</x:f>
        <x:v>13720000000</x:v>
      </x:c>
      <x:c r="I9" s="35" t="n">
        <x:f>INDEX($V$6:$V$19,MATCH(G9,$U$6:$U$19,0))</x:f>
        <x:v>31.1663</x:v>
      </x:c>
      <x:c r="J9" s="36" t="n">
        <x:f>IF(I9&lt;=0,"無有效匯率",H9/I9)</x:f>
        <x:v>440219082.79134834</x:v>
      </x:c>
      <x:c r="K9" s="4" t="str">
        <x:v>USD</x:v>
      </x:c>
      <x:c r="L9" s="36" t="n">
        <x:f>IF(OR(NOT(ISNUMBER(J9)),$V$6&lt;=0),"無有效匯率",J9*$V$6)</x:f>
        <x:v>13720000000</x:v>
      </x:c>
      <x:c r="M9" s="4" t="str">
        <x:v>TWD</x:v>
      </x:c>
      <x:c r="N9" s="4" t="str">
        <x:v>TW12</x:v>
      </x:c>
      <x:c r="O9" s="4" t="str">
        <x:v>https://www.testritegroup.com/uploads/2024_069db0ff1f.pdf</x:v>
      </x:c>
      <x:c r="P9" s="4" t="str">
        <x:v>X01</x:v>
      </x:c>
      <x:c r="Q9" s="4" t="str">
        <x:v>【示意】企業台灣零售分部，並非全台家居零售市場；獨立來源1；來源A級</x:v>
      </x:c>
      <x:c r="R9" s="4" t="str">
        <x:v>低</x:v>
      </x:c>
      <x:c r="U9" s="3" t="str">
        <x:v>SGD</x:v>
      </x:c>
      <x:c r="V9" s="32" t="n">
        <x:v>1.3065</x:v>
      </x:c>
      <x:c r="W9" s="3" t="str">
        <x:v>2025年度平均</x:v>
      </x:c>
      <x:c r="X9" s="3" t="str">
        <x:v>X01</x:v>
      </x:c>
      <x:c r="Y9" s="33" t="str">
        <x:v>https://www.federalreserve.gov/releases/g5a/current/default.htm</x:v>
      </x:c>
      <x:c r="Z9" s="3" t="str">
        <x:v>單源示意；固定比較參照，非即期</x:v>
      </x:c>
    </x:row>
    <x:row r="10" ht="64" customHeight="1">
      <x:c r="A10" s="4" t="str">
        <x:v>TW</x:v>
      </x:c>
      <x:c r="B10" s="4" t="str">
        <x:v>特力集團毛利</x:v>
      </x:c>
      <x:c r="C10" s="4" t="n">
        <x:v>2024</x:v>
      </x:c>
      <x:c r="D10" s="17" t="n">
        <x:v>9477000000</x:v>
      </x:c>
      <x:c r="E10" s="4" t="str">
        <x:v>TWD</x:v>
      </x:c>
      <x:c r="F10" s="17" t="n">
        <x:v>1</x:v>
      </x:c>
      <x:c r="G10" s="4" t="str">
        <x:v>TWD</x:v>
      </x:c>
      <x:c r="H10" s="17" t="n">
        <x:f>D10*F10</x:f>
        <x:v>9477000000</x:v>
      </x:c>
      <x:c r="I10" s="35" t="n">
        <x:f>INDEX($V$6:$V$19,MATCH(G10,$U$6:$U$19,0))</x:f>
        <x:v>31.1663</x:v>
      </x:c>
      <x:c r="J10" s="36" t="n">
        <x:f>IF(I10&lt;=0,"無有效匯率",H10/I10)</x:f>
        <x:v>304078443.7036158</x:v>
      </x:c>
      <x:c r="K10" s="4" t="str">
        <x:v>USD</x:v>
      </x:c>
      <x:c r="L10" s="36" t="n">
        <x:f>IF(OR(NOT(ISNUMBER(J10)),$V$6&lt;=0),"無有效匯率",J10*$V$6)</x:f>
        <x:v>9477000000</x:v>
      </x:c>
      <x:c r="M10" s="4" t="str">
        <x:v>TWD</x:v>
      </x:c>
      <x:c r="N10" s="4" t="str">
        <x:v>TW12</x:v>
      </x:c>
      <x:c r="O10" s="4" t="str">
        <x:v>https://www.testritegroup.com/uploads/2024_069db0ff1f.pdf</x:v>
      </x:c>
      <x:c r="P10" s="4" t="str">
        <x:v>X01</x:v>
      </x:c>
      <x:c r="Q10" s="4" t="str">
        <x:v>【示意】合併財報、全業務；獨立來源1；來源A級</x:v>
      </x:c>
      <x:c r="R10" s="4" t="str">
        <x:v>低</x:v>
      </x:c>
      <x:c r="U10" s="3" t="str">
        <x:v>HKD</x:v>
      </x:c>
      <x:c r="V10" s="32" t="n">
        <x:v>7.7956</x:v>
      </x:c>
      <x:c r="W10" s="3" t="str">
        <x:v>2025年度平均</x:v>
      </x:c>
      <x:c r="X10" s="3" t="str">
        <x:v>X01</x:v>
      </x:c>
      <x:c r="Y10" s="33" t="str">
        <x:v>https://www.federalreserve.gov/releases/g5a/current/default.htm</x:v>
      </x:c>
      <x:c r="Z10" s="3" t="str">
        <x:v>單源示意；固定比較參照，非即期</x:v>
      </x:c>
    </x:row>
    <x:row r="11" ht="64" customHeight="1">
      <x:c r="A11" s="4" t="str">
        <x:v>TW</x:v>
      </x:c>
      <x:c r="B11" s="4" t="str">
        <x:v>全裝修產值估算</x:v>
      </x:c>
      <x:c r="C11" s="4" t="n">
        <x:v>2025</x:v>
      </x:c>
      <x:c r="D11" s="17" t="n">
        <x:v>550000000000</x:v>
      </x:c>
      <x:c r="E11" s="4" t="str">
        <x:v>TWD</x:v>
      </x:c>
      <x:c r="F11" s="17" t="n">
        <x:v>1</x:v>
      </x:c>
      <x:c r="G11" s="4" t="str">
        <x:v>TWD</x:v>
      </x:c>
      <x:c r="H11" s="17" t="n">
        <x:f>D11*F11</x:f>
        <x:v>550000000000</x:v>
      </x:c>
      <x:c r="I11" s="35" t="n">
        <x:f>INDEX($V$6:$V$19,MATCH(G11,$U$6:$U$19,0))</x:f>
        <x:v>31.1663</x:v>
      </x:c>
      <x:c r="J11" s="36" t="n">
        <x:f>IF(I11&lt;=0,"無有效匯率",H11/I11)</x:f>
        <x:v>17647266438.428688</x:v>
      </x:c>
      <x:c r="K11" s="4" t="str">
        <x:v>USD</x:v>
      </x:c>
      <x:c r="L11" s="36" t="n">
        <x:f>IF(OR(NOT(ISNUMBER(J11)),$V$6&lt;=0),"無有效匯率",J11*$V$6)</x:f>
        <x:v>550000000000</x:v>
      </x:c>
      <x:c r="M11" s="4" t="str">
        <x:v>TWD</x:v>
      </x:c>
      <x:c r="N11" s="4" t="str">
        <x:v>TW15</x:v>
      </x:c>
      <x:c r="O11" s="4" t="str">
        <x:v>https://house.udn.com/house/story/123589/9245511</x:v>
      </x:c>
      <x:c r="P11" s="4" t="str">
        <x:v>X01</x:v>
      </x:c>
      <x:c r="Q11" s="4" t="str">
        <x:v>【示意】100平台據財政部推估；原始行業範圍未公開、不能當住宅翻修；獨立來源1；來源C級</x:v>
      </x:c>
      <x:c r="R11" s="4" t="str">
        <x:v>低</x:v>
      </x:c>
      <x:c r="U11" s="3" t="str">
        <x:v>CNY</x:v>
      </x:c>
      <x:c r="V11" s="32" t="n">
        <x:v>7.1875</x:v>
      </x:c>
      <x:c r="W11" s="3" t="str">
        <x:v>2025年度平均</x:v>
      </x:c>
      <x:c r="X11" s="3" t="str">
        <x:v>X01</x:v>
      </x:c>
      <x:c r="Y11" s="33" t="str">
        <x:v>https://www.federalreserve.gov/releases/g5a/current/default.htm</x:v>
      </x:c>
      <x:c r="Z11" s="3" t="str">
        <x:v>單源示意；固定比較參照，非即期</x:v>
      </x:c>
    </x:row>
    <x:row r="12" ht="64" customHeight="1">
      <x:c r="A12" s="4" t="str">
        <x:v>TW</x:v>
      </x:c>
      <x:c r="B12" s="4" t="str">
        <x:v>台北商辦裝修成本</x:v>
      </x:c>
      <x:c r="C12" s="4" t="n">
        <x:v>2026</x:v>
      </x:c>
      <x:c r="D12" s="20" t="n">
        <x:v>1560.7670104229096</x:v>
      </x:c>
      <x:c r="E12" s="4" t="str">
        <x:v>USD/m²</x:v>
      </x:c>
      <x:c r="F12" s="17" t="n">
        <x:v>1</x:v>
      </x:c>
      <x:c r="G12" s="4" t="str">
        <x:v>USD</x:v>
      </x:c>
      <x:c r="H12" s="20" t="n">
        <x:f>D12*F12</x:f>
        <x:v>1560.7670104229096</x:v>
      </x:c>
      <x:c r="I12" s="17" t="n">
        <x:f>INDEX($V$6:$V$19,MATCH(G12,$U$6:$U$19,0))</x:f>
        <x:v>1</x:v>
      </x:c>
      <x:c r="J12" s="36" t="n">
        <x:f>IF(I12&lt;=0,"無有效匯率",H12/I12)</x:f>
        <x:v>1560.7670104229096</x:v>
      </x:c>
      <x:c r="K12" s="4" t="str">
        <x:v>USD/m²</x:v>
      </x:c>
      <x:c r="L12" s="36" t="n">
        <x:f>IF(OR(NOT(ISNUMBER(J12)),$V$6&lt;=0),"無有效匯率",J12*$V$6)</x:f>
        <x:v>48643.332876943525</x:v>
      </x:c>
      <x:c r="M12" s="4" t="str">
        <x:v>TWD/m²</x:v>
      </x:c>
      <x:c r="N12" s="4" t="str">
        <x:v>X02</x:v>
      </x:c>
      <x:c r="O12" s="4" t="str">
        <x:v>https://digital.cushmanwakefield.com/fitoutcostguide-03-2026-apac-regional-en-content-pds-office/30-31/</x:v>
      </x:c>
      <x:c r="P12" s="4" t="str">
        <x:v>X01</x:v>
      </x:c>
      <x:c r="Q12" s="4" t="str">
        <x:v>【示意】C&amp;W 2026商辦fit-out，價格基準2025年12月；USD/ft²÷0.09290304，非住宅報價，報告自身匯率；獨立來源1；來源B級</x:v>
      </x:c>
      <x:c r="R12" s="4" t="str">
        <x:v>低</x:v>
      </x:c>
      <x:c r="U12" s="3" t="str">
        <x:v>MYR</x:v>
      </x:c>
      <x:c r="V12" s="32" t="n">
        <x:v>4.2809</x:v>
      </x:c>
      <x:c r="W12" s="3" t="str">
        <x:v>2025年度平均</x:v>
      </x:c>
      <x:c r="X12" s="3" t="str">
        <x:v>X01</x:v>
      </x:c>
      <x:c r="Y12" s="33" t="str">
        <x:v>https://www.federalreserve.gov/releases/g5a/current/default.htm</x:v>
      </x:c>
      <x:c r="Z12" s="3" t="str">
        <x:v>單源示意；固定比較參照，非即期</x:v>
      </x:c>
    </x:row>
    <x:row r="13" ht="64" customHeight="1">
      <x:c r="A13" s="4" t="str">
        <x:v>JP</x:v>
      </x:c>
      <x:c r="B13" s="4" t="str">
        <x:v>住宅翻修市場估算</x:v>
      </x:c>
      <x:c r="C13" s="4" t="n">
        <x:v>2025</x:v>
      </x:c>
      <x:c r="D13" s="17" t="n">
        <x:v>7511900000000</x:v>
      </x:c>
      <x:c r="E13" s="4" t="str">
        <x:v>JPY</x:v>
      </x:c>
      <x:c r="F13" s="17" t="n">
        <x:v>1</x:v>
      </x:c>
      <x:c r="G13" s="4" t="str">
        <x:v>JPY</x:v>
      </x:c>
      <x:c r="H13" s="17" t="n">
        <x:f>D13*F13</x:f>
        <x:v>7511900000000</x:v>
      </x:c>
      <x:c r="I13" s="35" t="n">
        <x:f>INDEX($V$6:$V$19,MATCH(G13,$U$6:$U$19,0))</x:f>
        <x:v>149.5686</x:v>
      </x:c>
      <x:c r="J13" s="36" t="n">
        <x:f>IF(I13&lt;=0,"無有效匯率",H13/I13)</x:f>
        <x:v>50223776915.74301</x:v>
      </x:c>
      <x:c r="K13" s="4" t="str">
        <x:v>USD</x:v>
      </x:c>
      <x:c r="L13" s="36" t="n">
        <x:f>IF(OR(NOT(ISNUMBER(J13)),$V$6&lt;=0),"無有效匯率",J13*$V$6)</x:f>
        <x:v>1565289298489.1213</x:v>
      </x:c>
      <x:c r="M13" s="4" t="str">
        <x:v>TWD</x:v>
      </x:c>
      <x:c r="N13" s="4" t="str">
        <x:v>JP01</x:v>
      </x:c>
      <x:c r="O13" s="4" t="str">
        <x:v>https://www.yano.co.jp/press-release/show/press_id/4153</x:v>
      </x:c>
      <x:c r="P13" s="4" t="str">
        <x:v>X01</x:v>
      </x:c>
      <x:c r="Q13" s="4" t="str">
        <x:v>【示意】居住者自付增改築+設備修繕維持+家具內裝；排除房東出租、公寓公共大修、非住宅；獨立來源1；來源B級</x:v>
      </x:c>
      <x:c r="R13" s="4" t="str">
        <x:v>低</x:v>
      </x:c>
      <x:c r="U13" s="3" t="str">
        <x:v>THB</x:v>
      </x:c>
      <x:c r="V13" s="32" t="n">
        <x:v>32.8619</x:v>
      </x:c>
      <x:c r="W13" s="3" t="str">
        <x:v>2025年度平均</x:v>
      </x:c>
      <x:c r="X13" s="3" t="str">
        <x:v>X01</x:v>
      </x:c>
      <x:c r="Y13" s="33" t="str">
        <x:v>https://www.federalreserve.gov/releases/g5a/current/default.htm</x:v>
      </x:c>
      <x:c r="Z13" s="3" t="str">
        <x:v>單源示意；固定比較參照，非即期</x:v>
      </x:c>
    </x:row>
    <x:row r="14" ht="64" customHeight="1">
      <x:c r="A14" s="4" t="str">
        <x:v>JP</x:v>
      </x:c>
      <x:c r="B14" s="4" t="str">
        <x:v>住宅翻修市場預測</x:v>
      </x:c>
      <x:c r="C14" s="4" t="n">
        <x:v>2026</x:v>
      </x:c>
      <x:c r="D14" s="17" t="n">
        <x:v>7700000000000</x:v>
      </x:c>
      <x:c r="E14" s="4" t="str">
        <x:v>JPY</x:v>
      </x:c>
      <x:c r="F14" s="17" t="n">
        <x:v>1</x:v>
      </x:c>
      <x:c r="G14" s="4" t="str">
        <x:v>JPY</x:v>
      </x:c>
      <x:c r="H14" s="17" t="n">
        <x:f>D14*F14</x:f>
        <x:v>7700000000000</x:v>
      </x:c>
      <x:c r="I14" s="35" t="n">
        <x:f>INDEX($V$6:$V$19,MATCH(G14,$U$6:$U$19,0))</x:f>
        <x:v>149.5686</x:v>
      </x:c>
      <x:c r="J14" s="36" t="n">
        <x:f>IF(I14&lt;=0,"無有效匯率",H14/I14)</x:f>
        <x:v>51481393821.9653</x:v>
      </x:c>
      <x:c r="K14" s="4" t="str">
        <x:v>USD</x:v>
      </x:c>
      <x:c r="L14" s="36" t="n">
        <x:f>IF(OR(NOT(ISNUMBER(J14)),$V$6&lt;=0),"無有效匯率",J14*$V$6)</x:f>
        <x:v>1604484564273.517</x:v>
      </x:c>
      <x:c r="M14" s="4" t="str">
        <x:v>TWD</x:v>
      </x:c>
      <x:c r="N14" s="4" t="str">
        <x:v>JP01</x:v>
      </x:c>
      <x:c r="O14" s="4" t="str">
        <x:v>https://www.yano.co.jp/press-release/show/press_id/4153</x:v>
      </x:c>
      <x:c r="P14" s="4" t="str">
        <x:v>X01</x:v>
      </x:c>
      <x:c r="Q14" s="4" t="str">
        <x:v>【預測／示意】預測非實績；同矢野口徑，公開摘要取整數；獨立來源1；來源B級</x:v>
      </x:c>
      <x:c r="R14" s="4" t="str">
        <x:v>低</x:v>
      </x:c>
      <x:c r="U14" s="3" t="str">
        <x:v>VND</x:v>
      </x:c>
      <x:c r="V14" s="32" t="n">
        <x:v>24976.91</x:v>
      </x:c>
      <x:c r="W14" s="3" t="str">
        <x:v>2025中央匯率年平均</x:v>
      </x:c>
      <x:c r="X14" s="3" t="str">
        <x:v>X10</x:v>
      </x:c>
      <x:c r="Y14" s="33" t="str">
        <x:v>https://www.nso.gov.vn/tin-tuc-thong-ke/2026/01/thong-cao-bao-chi-tinh-hinh-kinh-te-xa-hoi-quy-iv-va-nam-2025/</x:v>
      </x:c>
      <x:c r="Z14" s="3" t="str">
        <x:v>單源示意；固定比較參照，非即期</x:v>
      </x:c>
    </x:row>
    <x:row r="15" ht="64" customHeight="1">
      <x:c r="A15" s="4" t="str">
        <x:v>JP</x:v>
      </x:c>
      <x:c r="B15" s="4" t="str">
        <x:v>住宅翻修市場估算</x:v>
      </x:c>
      <x:c r="C15" s="4" t="n">
        <x:v>2024</x:v>
      </x:c>
      <x:c r="D15" s="17" t="n">
        <x:v>7347000000000</x:v>
      </x:c>
      <x:c r="E15" s="4" t="str">
        <x:v>JPY</x:v>
      </x:c>
      <x:c r="F15" s="17" t="n">
        <x:v>1</x:v>
      </x:c>
      <x:c r="G15" s="4" t="str">
        <x:v>JPY</x:v>
      </x:c>
      <x:c r="H15" s="17" t="n">
        <x:f>D15*F15</x:f>
        <x:v>7347000000000</x:v>
      </x:c>
      <x:c r="I15" s="35" t="n">
        <x:f>INDEX($V$6:$V$19,MATCH(G15,$U$6:$U$19,0))</x:f>
        <x:v>149.5686</x:v>
      </x:c>
      <x:c r="J15" s="36" t="n">
        <x:f>IF(I15&lt;=0,"無有效匯率",H15/I15)</x:f>
        <x:v>49121272780.51676</x:v>
      </x:c>
      <x:c r="K15" s="4" t="str">
        <x:v>USD</x:v>
      </x:c>
      <x:c r="L15" s="36" t="n">
        <x:f>IF(OR(NOT(ISNUMBER(J15)),$V$6&lt;=0),"無有效匯率",J15*$V$6)</x:f>
        <x:v>1530928323859.4194</x:v>
      </x:c>
      <x:c r="M15" s="4" t="str">
        <x:v>TWD</x:v>
      </x:c>
      <x:c r="N15" s="4" t="str">
        <x:v>JP02</x:v>
      </x:c>
      <x:c r="O15" s="4" t="str">
        <x:v>https://www.yano.co.jp/press-release/show/press_id/3877</x:v>
      </x:c>
      <x:c r="P15" s="4" t="str">
        <x:v>X01</x:v>
      </x:c>
      <x:c r="Q15" s="4" t="str">
        <x:v>【示意】2025報告歷史估算；與2026報告基期可能修訂；獨立來源1；來源B級</x:v>
      </x:c>
      <x:c r="R15" s="4" t="str">
        <x:v>低</x:v>
      </x:c>
      <x:c r="U15" s="3" t="str">
        <x:v>IDR</x:v>
      </x:c>
      <x:c r="V15" s="32" t="n">
        <x:v>16782</x:v>
      </x:c>
      <x:c r="W15" s="3" t="str">
        <x:v>2025-12年末中間價</x:v>
      </x:c>
      <x:c r="X15" s="3" t="str">
        <x:v>X09</x:v>
      </x:c>
      <x:c r="Y15" s="33" t="str">
        <x:v>https://www.bi.go.id/SEKI/tabel/TABEL5_40.pdf</x:v>
      </x:c>
      <x:c r="Z15" s="3" t="str">
        <x:v>單源示意；固定比較參照，非即期</x:v>
      </x:c>
    </x:row>
    <x:row r="16" ht="64" customHeight="1">
      <x:c r="A16" s="4" t="str">
        <x:v>JP</x:v>
      </x:c>
      <x:c r="B16" s="4" t="str">
        <x:v>育兒家庭翻修平均資金</x:v>
      </x:c>
      <x:c r="C16" s="4" t="str">
        <x:v>2025調查</x:v>
      </x:c>
      <x:c r="D16" s="17" t="n">
        <x:v>1490000</x:v>
      </x:c>
      <x:c r="E16" s="4" t="str">
        <x:v>JPY/案</x:v>
      </x:c>
      <x:c r="F16" s="17" t="n">
        <x:v>1</x:v>
      </x:c>
      <x:c r="G16" s="4" t="str">
        <x:v>JPY</x:v>
      </x:c>
      <x:c r="H16" s="17" t="n">
        <x:f>D16*F16</x:f>
        <x:v>1490000</x:v>
      </x:c>
      <x:c r="I16" s="35" t="n">
        <x:f>INDEX($V$6:$V$19,MATCH(G16,$U$6:$U$19,0))</x:f>
        <x:v>149.5686</x:v>
      </x:c>
      <x:c r="J16" s="36" t="n">
        <x:f>IF(I16&lt;=0,"無有效匯率",H16/I16)</x:f>
        <x:v>9961.983999315364</x:v>
      </x:c>
      <x:c r="K16" s="4" t="str">
        <x:v>USD/案</x:v>
      </x:c>
      <x:c r="L16" s="36" t="n">
        <x:f>IF(OR(NOT(ISNUMBER(J16)),$V$6&lt;=0),"無有效匯率",J16*$V$6)</x:f>
        <x:v>310478.18191786244</x:v>
      </x:c>
      <x:c r="M16" s="4" t="str">
        <x:v>TWD/案</x:v>
      </x:c>
      <x:c r="N16" s="4" t="str">
        <x:v>JP05</x:v>
      </x:c>
      <x:c r="O16" s="4" t="str">
        <x:v>https://www.mlit.go.jp/report/press/content/002012180.pdf</x:v>
      </x:c>
      <x:c r="P16" s="4" t="str">
        <x:v>X01</x:v>
      </x:c>
      <x:c r="Q16" s="4" t="str">
        <x:v>【示意】三大都市圈育兒家庭；2024-04至2025-03施工；包含小修非全屋平均；獨立來源1；來源A級</x:v>
      </x:c>
      <x:c r="R16" s="4" t="str">
        <x:v>低</x:v>
      </x:c>
      <x:c r="U16" s="3" t="str">
        <x:v>PHP</x:v>
      </x:c>
      <x:c r="V16" s="32" t="n">
        <x:v>57.5051</x:v>
      </x:c>
      <x:c r="W16" s="3" t="str">
        <x:v>2025年度平均</x:v>
      </x:c>
      <x:c r="X16" s="3" t="str">
        <x:v>X08</x:v>
      </x:c>
      <x:c r="Y16" s="33" t="str">
        <x:v>https://www.bsp.gov.ph/statistics/external/tab12_pus_data.aspx</x:v>
      </x:c>
      <x:c r="Z16" s="3" t="str">
        <x:v>單源示意；固定比較參照，非即期</x:v>
      </x:c>
    </x:row>
    <x:row r="17" ht="64" customHeight="1">
      <x:c r="A17" s="4" t="str">
        <x:v>JP</x:v>
      </x:c>
      <x:c r="B17" s="4" t="str">
        <x:v>一般內裝無許可輕微工程門檻</x:v>
      </x:c>
      <x:c r="C17" s="4" t="str">
        <x:v>2026-10-09查詢現行說明</x:v>
      </x:c>
      <x:c r="D17" s="17" t="n">
        <x:v>5000000</x:v>
      </x:c>
      <x:c r="E17" s="4" t="str">
        <x:v>JPY</x:v>
      </x:c>
      <x:c r="F17" s="17" t="n">
        <x:v>1</x:v>
      </x:c>
      <x:c r="G17" s="4" t="str">
        <x:v>JPY</x:v>
      </x:c>
      <x:c r="H17" s="17" t="n">
        <x:f>D17*F17</x:f>
        <x:v>5000000</x:v>
      </x:c>
      <x:c r="I17" s="35" t="n">
        <x:f>INDEX($V$6:$V$19,MATCH(G17,$U$6:$U$19,0))</x:f>
        <x:v>149.5686</x:v>
      </x:c>
      <x:c r="J17" s="36" t="n">
        <x:f>IF(I17&lt;=0,"無有效匯率",H17/I17)</x:f>
        <x:v>33429.47650776968</x:v>
      </x:c>
      <x:c r="K17" s="4" t="str">
        <x:v>USD</x:v>
      </x:c>
      <x:c r="L17" s="36" t="n">
        <x:f>IF(OR(NOT(ISNUMBER(J17)),$V$6&lt;=0),"無有效匯率",J17*$V$6)</x:f>
        <x:v>1041873.0936841022</x:v>
      </x:c>
      <x:c r="M17" s="4" t="str">
        <x:v>TWD</x:v>
      </x:c>
      <x:c r="N17" s="4" t="str">
        <x:v>JP06</x:v>
      </x:c>
      <x:c r="O17" s="4" t="str">
        <x:v>https://www.mlit.go.jp/totikensangyo/const/1_6_bt_000080.html</x:v>
      </x:c>
      <x:c r="P17" s="4" t="str">
        <x:v>X01</x:v>
      </x:c>
      <x:c r="Q17" s="4" t="str">
        <x:v>【示意】建築一式以外工程每件請負金額 &lt;5,000,000 JPY（含稅）；非其他法令豁免；2026為查詢年，不代表首次施行年；獨立來源1；來源A級</x:v>
      </x:c>
      <x:c r="R17" s="4" t="str">
        <x:v>低</x:v>
      </x:c>
      <x:c r="U17" s="3" t="str">
        <x:v>INR</x:v>
      </x:c>
      <x:c r="V17" s="32" t="n">
        <x:v>87.1468</x:v>
      </x:c>
      <x:c r="W17" s="3" t="str">
        <x:v>2025年度平均</x:v>
      </x:c>
      <x:c r="X17" s="3" t="str">
        <x:v>X01</x:v>
      </x:c>
      <x:c r="Y17" s="33" t="str">
        <x:v>https://www.federalreserve.gov/releases/g5a/current/default.htm</x:v>
      </x:c>
      <x:c r="Z17" s="3" t="str">
        <x:v>單源示意；固定比較參照，非即期</x:v>
      </x:c>
    </x:row>
    <x:row r="18" ht="64" customHeight="1">
      <x:c r="A18" s="4" t="str">
        <x:v>JP</x:v>
      </x:c>
      <x:c r="B18" s="4" t="str">
        <x:v>一般建設業財務條件</x:v>
      </x:c>
      <x:c r="C18" s="4" t="str">
        <x:v>2026-10-09查詢現行說明</x:v>
      </x:c>
      <x:c r="D18" s="17" t="n">
        <x:v>5000000</x:v>
      </x:c>
      <x:c r="E18" s="4" t="str">
        <x:v>JPY</x:v>
      </x:c>
      <x:c r="F18" s="17" t="n">
        <x:v>1</x:v>
      </x:c>
      <x:c r="G18" s="4" t="str">
        <x:v>JPY</x:v>
      </x:c>
      <x:c r="H18" s="17" t="n">
        <x:f>D18*F18</x:f>
        <x:v>5000000</x:v>
      </x:c>
      <x:c r="I18" s="35" t="n">
        <x:f>INDEX($V$6:$V$19,MATCH(G18,$U$6:$U$19,0))</x:f>
        <x:v>149.5686</x:v>
      </x:c>
      <x:c r="J18" s="36" t="n">
        <x:f>IF(I18&lt;=0,"無有效匯率",H18/I18)</x:f>
        <x:v>33429.47650776968</x:v>
      </x:c>
      <x:c r="K18" s="4" t="str">
        <x:v>USD</x:v>
      </x:c>
      <x:c r="L18" s="36" t="n">
        <x:f>IF(OR(NOT(ISNUMBER(J18)),$V$6&lt;=0),"無有效匯率",J18*$V$6)</x:f>
        <x:v>1041873.0936841022</x:v>
      </x:c>
      <x:c r="M18" s="4" t="str">
        <x:v>TWD</x:v>
      </x:c>
      <x:c r="N18" s="4" t="str">
        <x:v>JP07</x:v>
      </x:c>
      <x:c r="O18" s="4" t="str">
        <x:v>https://www.mlit.go.jp/totikensangyo/const/1_6_bt_000082.html</x:v>
      </x:c>
      <x:c r="P18" s="4" t="str">
        <x:v>X01</x:v>
      </x:c>
      <x:c r="Q18" s="4" t="str">
        <x:v>【示意】自有資本或資金籌措能力選項；另有技術與管理條件；2026為查詢年，不代表首次施行年；獨立來源1；來源A級</x:v>
      </x:c>
      <x:c r="R18" s="4" t="str">
        <x:v>低</x:v>
      </x:c>
      <x:c r="U18" s="3" t="str">
        <x:v>EUR</x:v>
      </x:c>
      <x:c r="V18" s="32" t="n">
        <x:v>0.884486113568017</x:v>
      </x:c>
      <x:c r="W18" s="3" t="str">
        <x:v>2025年度平均</x:v>
      </x:c>
      <x:c r="X18" s="3" t="str">
        <x:v>X01</x:v>
      </x:c>
      <x:c r="Y18" s="33" t="str">
        <x:v>https://www.federalreserve.gov/releases/g5a/current/default.htm</x:v>
      </x:c>
      <x:c r="Z18" s="3" t="str">
        <x:v>單源示意；固定比較參照，非即期</x:v>
      </x:c>
    </x:row>
    <x:row r="19" ht="64" customHeight="1">
      <x:c r="A19" s="4" t="str">
        <x:v>JP</x:v>
      </x:c>
      <x:c r="B19" s="4" t="str">
        <x:v>Nitori合併營收</x:v>
      </x:c>
      <x:c r="C19" s="4" t="str">
        <x:v>FY2025-03</x:v>
      </x:c>
      <x:c r="D19" s="17" t="n">
        <x:v>928828000000</x:v>
      </x:c>
      <x:c r="E19" s="4" t="str">
        <x:v>JPY</x:v>
      </x:c>
      <x:c r="F19" s="17" t="n">
        <x:v>1</x:v>
      </x:c>
      <x:c r="G19" s="4" t="str">
        <x:v>JPY</x:v>
      </x:c>
      <x:c r="H19" s="17" t="n">
        <x:f>D19*F19</x:f>
        <x:v>928828000000</x:v>
      </x:c>
      <x:c r="I19" s="35" t="n">
        <x:f>INDEX($V$6:$V$19,MATCH(G19,$U$6:$U$19,0))</x:f>
        <x:v>149.5686</x:v>
      </x:c>
      <x:c r="J19" s="36" t="n">
        <x:f>IF(I19&lt;=0,"無有效匯率",H19/I19)</x:f>
        <x:v>6210046761.151739</x:v>
      </x:c>
      <x:c r="K19" s="4" t="str">
        <x:v>USD</x:v>
      </x:c>
      <x:c r="L19" s="36" t="n">
        <x:f>IF(OR(NOT(ISNUMBER(J19)),$V$6&lt;=0),"無有效匯率",J19*$V$6)</x:f>
        <x:v>193544180372.08344</x:v>
      </x:c>
      <x:c r="M19" s="4" t="str">
        <x:v>TWD</x:v>
      </x:c>
      <x:c r="N19" s="4" t="str">
        <x:v>JP11</x:v>
      </x:c>
      <x:c r="O19" s="4" t="str">
        <x:v>https://www.nitorihd.co.jp/ir/performance/pl.html</x:v>
      </x:c>
      <x:c r="P19" s="4" t="str">
        <x:v>X01</x:v>
      </x:c>
      <x:c r="Q19" s="4" t="str">
        <x:v>【示意】IFRS全球家居零售等，不是日本住宅翻修；獨立來源1；來源A級</x:v>
      </x:c>
      <x:c r="R19" s="4" t="str">
        <x:v>低</x:v>
      </x:c>
      <x:c r="U19" s="3" t="str">
        <x:v>USD</x:v>
      </x:c>
      <x:c r="V19" s="32" t="n">
        <x:v>1</x:v>
      </x:c>
      <x:c r="W19" s="3" t="str">
        <x:v>恆等式</x:v>
      </x:c>
      <x:c r="X19" s="3" t="str">
        <x:v>計算定義</x:v>
      </x:c>
      <x:c r="Y19" s="33" t="str"/>
      <x:c r="Z19" s="3" t="str">
        <x:v>定義</x:v>
      </x:c>
    </x:row>
    <x:row r="20" ht="30" customHeight="1">
      <x:c r="A20" s="4" t="str">
        <x:v>JP</x:v>
      </x:c>
      <x:c r="B20" s="4" t="str">
        <x:v>Nitori合併營收</x:v>
      </x:c>
      <x:c r="C20" s="4" t="str">
        <x:v>FY2026-03</x:v>
      </x:c>
      <x:c r="D20" s="17" t="n">
        <x:v>912248000000</x:v>
      </x:c>
      <x:c r="E20" s="4" t="str">
        <x:v>JPY</x:v>
      </x:c>
      <x:c r="F20" s="17" t="n">
        <x:v>1</x:v>
      </x:c>
      <x:c r="G20" s="4" t="str">
        <x:v>JPY</x:v>
      </x:c>
      <x:c r="H20" s="17" t="n">
        <x:f>D20*F20</x:f>
        <x:v>912248000000</x:v>
      </x:c>
      <x:c r="I20" s="35" t="n">
        <x:f>INDEX($V$6:$V$19,MATCH(G20,$U$6:$U$19,0))</x:f>
        <x:v>149.5686</x:v>
      </x:c>
      <x:c r="J20" s="36" t="n">
        <x:f>IF(I20&lt;=0,"無有效匯率",H20/I20)</x:f>
        <x:v>6099194617.051974</x:v>
      </x:c>
      <x:c r="K20" s="4" t="str">
        <x:v>USD</x:v>
      </x:c>
      <x:c r="L20" s="36" t="n">
        <x:f>IF(OR(NOT(ISNUMBER(J20)),$V$6&lt;=0),"無有效匯率",J20*$V$6)</x:f>
        <x:v>190089329193.42694</x:v>
      </x:c>
      <x:c r="M20" s="4" t="str">
        <x:v>TWD</x:v>
      </x:c>
      <x:c r="N20" s="4" t="str">
        <x:v>JP11</x:v>
      </x:c>
      <x:c r="O20" s="4" t="str">
        <x:v>https://www.nitorihd.co.jp/ir/performance/pl.html</x:v>
      </x:c>
      <x:c r="P20" s="4" t="str">
        <x:v>X01</x:v>
      </x:c>
      <x:c r="Q20" s="4" t="str">
        <x:v>【示意】IFRS全球家居零售等；獨立來源1；來源A級</x:v>
      </x:c>
      <x:c r="R20" s="4" t="str">
        <x:v>低</x:v>
      </x:c>
    </x:row>
    <x:row r="21" ht="30" customHeight="1">
      <x:c r="A21" s="4" t="str">
        <x:v>JP</x:v>
      </x:c>
      <x:c r="B21" s="4" t="str">
        <x:v>Nitori營業利益</x:v>
      </x:c>
      <x:c r="C21" s="4" t="str">
        <x:v>FY2026-03</x:v>
      </x:c>
      <x:c r="D21" s="17" t="n">
        <x:v>125526000000</x:v>
      </x:c>
      <x:c r="E21" s="4" t="str">
        <x:v>JPY</x:v>
      </x:c>
      <x:c r="F21" s="17" t="n">
        <x:v>1</x:v>
      </x:c>
      <x:c r="G21" s="4" t="str">
        <x:v>JPY</x:v>
      </x:c>
      <x:c r="H21" s="17" t="n">
        <x:f>D21*F21</x:f>
        <x:v>125526000000</x:v>
      </x:c>
      <x:c r="I21" s="35" t="n">
        <x:f>INDEX($V$6:$V$19,MATCH(G21,$U$6:$U$19,0))</x:f>
        <x:v>149.5686</x:v>
      </x:c>
      <x:c r="J21" s="36" t="n">
        <x:f>IF(I21&lt;=0,"無有效匯率",H21/I21)</x:f>
        <x:v>839253693.6228594</x:v>
      </x:c>
      <x:c r="K21" s="4" t="str">
        <x:v>USD</x:v>
      </x:c>
      <x:c r="L21" s="36" t="n">
        <x:f>IF(OR(NOT(ISNUMBER(J21)),$V$6&lt;=0),"無有效匯率",J21*$V$6)</x:f>
        <x:v>26156432391.55812</x:v>
      </x:c>
      <x:c r="M21" s="4" t="str">
        <x:v>TWD</x:v>
      </x:c>
      <x:c r="N21" s="4" t="str">
        <x:v>JP11</x:v>
      </x:c>
      <x:c r="O21" s="4" t="str">
        <x:v>https://www.nitorihd.co.jp/ir/performance/pl.html</x:v>
      </x:c>
      <x:c r="P21" s="4" t="str">
        <x:v>X01</x:v>
      </x:c>
      <x:c r="Q21" s="4" t="str">
        <x:v>【示意】IFRS全球集團；獨立來源1；來源A級</x:v>
      </x:c>
      <x:c r="R21" s="4" t="str">
        <x:v>低</x:v>
      </x:c>
    </x:row>
    <x:row r="22" ht="30" customHeight="1">
      <x:c r="A22" s="4" t="str">
        <x:v>JP</x:v>
      </x:c>
      <x:c r="B22" s="4" t="str">
        <x:v>KATITAS營收</x:v>
      </x:c>
      <x:c r="C22" s="4" t="str">
        <x:v>FY2026-03</x:v>
      </x:c>
      <x:c r="D22" s="17" t="n">
        <x:v>151800000000</x:v>
      </x:c>
      <x:c r="E22" s="4" t="str">
        <x:v>JPY</x:v>
      </x:c>
      <x:c r="F22" s="17" t="n">
        <x:v>1</x:v>
      </x:c>
      <x:c r="G22" s="4" t="str">
        <x:v>JPY</x:v>
      </x:c>
      <x:c r="H22" s="17" t="n">
        <x:f>D22*F22</x:f>
        <x:v>151800000000</x:v>
      </x:c>
      <x:c r="I22" s="35" t="n">
        <x:f>INDEX($V$6:$V$19,MATCH(G22,$U$6:$U$19,0))</x:f>
        <x:v>149.5686</x:v>
      </x:c>
      <x:c r="J22" s="36" t="n">
        <x:f>IF(I22&lt;=0,"無有效匯率",H22/I22)</x:f>
        <x:v>1014918906.7758874</x:v>
      </x:c>
      <x:c r="K22" s="4" t="str">
        <x:v>USD</x:v>
      </x:c>
      <x:c r="L22" s="36" t="n">
        <x:f>IF(OR(NOT(ISNUMBER(J22)),$V$6&lt;=0),"無有效匯率",J22*$V$6)</x:f>
        <x:v>31631267124.24934</x:v>
      </x:c>
      <x:c r="M22" s="4" t="str">
        <x:v>TWD</x:v>
      </x:c>
      <x:c r="N22" s="4" t="str">
        <x:v>JP12</x:v>
      </x:c>
      <x:c r="O22" s="4" t="str">
        <x:v>https://katitas.co.jp/ir/business.html</x:v>
      </x:c>
      <x:c r="P22" s="4" t="str">
        <x:v>X01</x:v>
      </x:c>
      <x:c r="Q22" s="4" t="str">
        <x:v>【示意】買翻賣全屋售價收入，含物件取得價非純裝修；獨立來源1；來源A級</x:v>
      </x:c>
      <x:c r="R22" s="4" t="str">
        <x:v>低</x:v>
      </x:c>
    </x:row>
    <x:row r="23" ht="30" customHeight="1">
      <x:c r="A23" s="4" t="str">
        <x:v>JP</x:v>
      </x:c>
      <x:c r="B23" s="4" t="str">
        <x:v>KATITAS營業利益</x:v>
      </x:c>
      <x:c r="C23" s="4" t="str">
        <x:v>FY2026-03</x:v>
      </x:c>
      <x:c r="D23" s="17" t="n">
        <x:v>18200000000</x:v>
      </x:c>
      <x:c r="E23" s="4" t="str">
        <x:v>JPY</x:v>
      </x:c>
      <x:c r="F23" s="17" t="n">
        <x:v>1</x:v>
      </x:c>
      <x:c r="G23" s="4" t="str">
        <x:v>JPY</x:v>
      </x:c>
      <x:c r="H23" s="17" t="n">
        <x:f>D23*F23</x:f>
        <x:v>18200000000</x:v>
      </x:c>
      <x:c r="I23" s="35" t="n">
        <x:f>INDEX($V$6:$V$19,MATCH(G23,$U$6:$U$19,0))</x:f>
        <x:v>149.5686</x:v>
      </x:c>
      <x:c r="J23" s="36" t="n">
        <x:f>IF(I23&lt;=0,"無有效匯率",H23/I23)</x:f>
        <x:v>121683294.48828162</x:v>
      </x:c>
      <x:c r="K23" s="4" t="str">
        <x:v>USD</x:v>
      </x:c>
      <x:c r="L23" s="36" t="n">
        <x:f>IF(OR(NOT(ISNUMBER(J23)),$V$6&lt;=0),"無有效匯率",J23*$V$6)</x:f>
        <x:v>3792418061.0101314</x:v>
      </x:c>
      <x:c r="M23" s="4" t="str">
        <x:v>TWD</x:v>
      </x:c>
      <x:c r="N23" s="4" t="str">
        <x:v>JP12</x:v>
      </x:c>
      <x:c r="O23" s="4" t="str">
        <x:v>https://katitas.co.jp/ir/business.html</x:v>
      </x:c>
      <x:c r="P23" s="4" t="str">
        <x:v>X01</x:v>
      </x:c>
      <x:c r="Q23" s="4" t="str">
        <x:v>【示意】官方IR摘要取整數；獨立來源1；來源A級</x:v>
      </x:c>
      <x:c r="R23" s="4" t="str">
        <x:v>低</x:v>
      </x:c>
    </x:row>
    <x:row r="24" ht="30" customHeight="1">
      <x:c r="A24" s="4" t="str">
        <x:v>JP</x:v>
      </x:c>
      <x:c r="B24" s="4" t="str">
        <x:v>積水ハウス集團翻修營收</x:v>
      </x:c>
      <x:c r="C24" s="4" t="str">
        <x:v>2025榜單</x:v>
      </x:c>
      <x:c r="D24" s="17" t="n">
        <x:v>183870000000</x:v>
      </x:c>
      <x:c r="E24" s="4" t="str">
        <x:v>JPY</x:v>
      </x:c>
      <x:c r="F24" s="17" t="n">
        <x:v>1</x:v>
      </x:c>
      <x:c r="G24" s="4" t="str">
        <x:v>JPY</x:v>
      </x:c>
      <x:c r="H24" s="17" t="n">
        <x:f>D24*F24</x:f>
        <x:v>183870000000</x:v>
      </x:c>
      <x:c r="I24" s="35" t="n">
        <x:f>INDEX($V$6:$V$19,MATCH(G24,$U$6:$U$19,0))</x:f>
        <x:v>149.5686</x:v>
      </x:c>
      <x:c r="J24" s="36" t="n">
        <x:f>IF(I24&lt;=0,"無有效匯率",H24/I24)</x:f>
        <x:v>1229335569.0967221</x:v>
      </x:c>
      <x:c r="K24" s="4" t="str">
        <x:v>USD</x:v>
      </x:c>
      <x:c r="L24" s="36" t="n">
        <x:f>IF(OR(NOT(ISNUMBER(J24)),$V$6&lt;=0),"無有效匯率",J24*$V$6)</x:f>
        <x:v>38313841147.13917</x:v>
      </x:c>
      <x:c r="M24" s="4" t="str">
        <x:v>TWD</x:v>
      </x:c>
      <x:c r="N24" s="4" t="str">
        <x:v>JP15</x:v>
      </x:c>
      <x:c r="O24" s="4" t="str">
        <x:v>https://prtimes.jp/main/html/rd/p/000000232.000074598.html</x:v>
      </x:c>
      <x:c r="P24" s="4" t="str">
        <x:v>X01</x:v>
      </x:c>
      <x:c r="Q24" s="4" t="str">
        <x:v>【示意】Nikka新聞稿轉引產業新聞調查，決算基期依原榜；獨立來源1；來源C級</x:v>
      </x:c>
      <x:c r="R24" s="4" t="str">
        <x:v>低</x:v>
      </x:c>
    </x:row>
    <x:row r="25" ht="30" customHeight="1">
      <x:c r="A25" s="4" t="str">
        <x:v>JP</x:v>
      </x:c>
      <x:c r="B25" s="4" t="str">
        <x:v>大和ハウス集團翻修營收</x:v>
      </x:c>
      <x:c r="C25" s="4" t="str">
        <x:v>2025榜單</x:v>
      </x:c>
      <x:c r="D25" s="17" t="n">
        <x:v>178610000000</x:v>
      </x:c>
      <x:c r="E25" s="4" t="str">
        <x:v>JPY</x:v>
      </x:c>
      <x:c r="F25" s="17" t="n">
        <x:v>1</x:v>
      </x:c>
      <x:c r="G25" s="4" t="str">
        <x:v>JPY</x:v>
      </x:c>
      <x:c r="H25" s="17" t="n">
        <x:f>D25*F25</x:f>
        <x:v>178610000000</x:v>
      </x:c>
      <x:c r="I25" s="35" t="n">
        <x:f>INDEX($V$6:$V$19,MATCH(G25,$U$6:$U$19,0))</x:f>
        <x:v>149.5686</x:v>
      </x:c>
      <x:c r="J25" s="36" t="n">
        <x:f>IF(I25&lt;=0,"無有效匯率",H25/I25)</x:f>
        <x:v>1194167759.8105485</x:v>
      </x:c>
      <x:c r="K25" s="4" t="str">
        <x:v>USD</x:v>
      </x:c>
      <x:c r="L25" s="36" t="n">
        <x:f>IF(OR(NOT(ISNUMBER(J25)),$V$6&lt;=0),"無有效匯率",J25*$V$6)</x:f>
        <x:v>37217790652.583496</x:v>
      </x:c>
      <x:c r="M25" s="4" t="str">
        <x:v>TWD</x:v>
      </x:c>
      <x:c r="N25" s="4" t="str">
        <x:v>JP15</x:v>
      </x:c>
      <x:c r="O25" s="4" t="str">
        <x:v>https://prtimes.jp/main/html/rd/p/000000232.000074598.html</x:v>
      </x:c>
      <x:c r="P25" s="4" t="str">
        <x:v>X01</x:v>
      </x:c>
      <x:c r="Q25" s="4" t="str">
        <x:v>【示意】同上，不等同集團總營收；獨立來源1；來源C級</x:v>
      </x:c>
      <x:c r="R25" s="4" t="str">
        <x:v>低</x:v>
      </x:c>
    </x:row>
    <x:row r="26" ht="38" customHeight="1">
      <x:c r="A26" s="4" t="str">
        <x:v>JP</x:v>
      </x:c>
      <x:c r="B26" s="4" t="str">
        <x:v>公共工事設計勞務單價</x:v>
      </x:c>
      <x:c r="C26" s="4" t="n">
        <x:v>2026</x:v>
      </x:c>
      <x:c r="D26" s="17" t="n">
        <x:v>25834</x:v>
      </x:c>
      <x:c r="E26" s="4" t="str">
        <x:v>JPY/日</x:v>
      </x:c>
      <x:c r="F26" s="17" t="n">
        <x:v>1</x:v>
      </x:c>
      <x:c r="G26" s="4" t="str">
        <x:v>JPY</x:v>
      </x:c>
      <x:c r="H26" s="17" t="n">
        <x:f>D26*F26</x:f>
        <x:v>25834</x:v>
      </x:c>
      <x:c r="I26" s="35" t="n">
        <x:f>INDEX($V$6:$V$19,MATCH(G26,$U$6:$U$19,0))</x:f>
        <x:v>149.5686</x:v>
      </x:c>
      <x:c r="J26" s="36" t="n">
        <x:f>IF(I26&lt;=0,"無有效匯率",H26/I26)</x:f>
        <x:v>172.72341922034437</x:v>
      </x:c>
      <x:c r="K26" s="4" t="str">
        <x:v>USD/日</x:v>
      </x:c>
      <x:c r="L26" s="36" t="n">
        <x:f>IF(OR(NOT(ISNUMBER(J26)),$V$6&lt;=0),"無有效匯率",J26*$V$6)</x:f>
        <x:v>5383.149900447019</x:v>
      </x:c>
      <x:c r="M26" s="4" t="str">
        <x:v>TWD/日</x:v>
      </x:c>
      <x:c r="N26" s="4" t="str">
        <x:v>JP18</x:v>
      </x:c>
      <x:c r="O26" s="4" t="str">
        <x:v>https://www.mlit.go.jp/report/press/tochi_fudousan_kensetsugyo14_hh_000001_00337.html</x:v>
      </x:c>
      <x:c r="P26" s="4" t="str">
        <x:v>X01</x:v>
      </x:c>
      <x:c r="Q26" s="4" t="str">
        <x:v>【示意】全職種全國加權平均；非室裝木工實領/報價；獨立來源1；來源A級</x:v>
      </x:c>
      <x:c r="R26" s="4" t="str">
        <x:v>低</x:v>
      </x:c>
    </x:row>
    <x:row r="27" ht="30" customHeight="1">
      <x:c r="A27" s="4" t="str">
        <x:v>JP</x:v>
      </x:c>
      <x:c r="B27" s="4" t="str">
        <x:v>先進窗戶翻修每戶補助上限</x:v>
      </x:c>
      <x:c r="C27" s="4" t="n">
        <x:v>2026</x:v>
      </x:c>
      <x:c r="D27" s="17" t="n">
        <x:v>1000000</x:v>
      </x:c>
      <x:c r="E27" s="4" t="str">
        <x:v>JPY/戶</x:v>
      </x:c>
      <x:c r="F27" s="17" t="n">
        <x:v>1</x:v>
      </x:c>
      <x:c r="G27" s="4" t="str">
        <x:v>JPY</x:v>
      </x:c>
      <x:c r="H27" s="17" t="n">
        <x:f>D27*F27</x:f>
        <x:v>1000000</x:v>
      </x:c>
      <x:c r="I27" s="35" t="n">
        <x:f>INDEX($V$6:$V$19,MATCH(G27,$U$6:$U$19,0))</x:f>
        <x:v>149.5686</x:v>
      </x:c>
      <x:c r="J27" s="36" t="n">
        <x:f>IF(I27&lt;=0,"無有效匯率",H27/I27)</x:f>
        <x:v>6685.8953015539355</x:v>
      </x:c>
      <x:c r="K27" s="4" t="str">
        <x:v>USD/戶</x:v>
      </x:c>
      <x:c r="L27" s="36" t="n">
        <x:f>IF(OR(NOT(ISNUMBER(J27)),$V$6&lt;=0),"無有效匯率",J27*$V$6)</x:f>
        <x:v>208374.6187368204</x:v>
      </x:c>
      <x:c r="M27" s="4" t="str">
        <x:v>TWD/戶</x:v>
      </x:c>
      <x:c r="N27" s="4" t="str">
        <x:v>JP19</x:v>
      </x:c>
      <x:c r="O27" s="4" t="str">
        <x:v>https://jutaku-shoene2026.mlit.go.jp/about/reform.html</x:v>
      </x:c>
      <x:c r="P27" s="4" t="str">
        <x:v>X01</x:v>
      </x:c>
      <x:c r="Q27" s="4" t="str">
        <x:v>【示意】符合工項和產品資格、有預算額度；獨立來源1；來源A級</x:v>
      </x:c>
      <x:c r="R27" s="4" t="str">
        <x:v>低</x:v>
      </x:c>
    </x:row>
    <x:row r="28" ht="30" customHeight="1">
      <x:c r="A28" s="4" t="str">
        <x:v>JP</x:v>
      </x:c>
      <x:c r="B28" s="4" t="str">
        <x:v>窗戶翻修補助總預算</x:v>
      </x:c>
      <x:c r="C28" s="4" t="n">
        <x:v>2026</x:v>
      </x:c>
      <x:c r="D28" s="17" t="n">
        <x:v>112500000000</x:v>
      </x:c>
      <x:c r="E28" s="4" t="str">
        <x:v>JPY</x:v>
      </x:c>
      <x:c r="F28" s="17" t="n">
        <x:v>1</x:v>
      </x:c>
      <x:c r="G28" s="4" t="str">
        <x:v>JPY</x:v>
      </x:c>
      <x:c r="H28" s="17" t="n">
        <x:f>D28*F28</x:f>
        <x:v>112500000000</x:v>
      </x:c>
      <x:c r="I28" s="35" t="n">
        <x:f>INDEX($V$6:$V$19,MATCH(G28,$U$6:$U$19,0))</x:f>
        <x:v>149.5686</x:v>
      </x:c>
      <x:c r="J28" s="36" t="n">
        <x:f>IF(I28&lt;=0,"無有效匯率",H28/I28)</x:f>
        <x:v>752163221.4248178</x:v>
      </x:c>
      <x:c r="K28" s="4" t="str">
        <x:v>USD</x:v>
      </x:c>
      <x:c r="L28" s="36" t="n">
        <x:f>IF(OR(NOT(ISNUMBER(J28)),$V$6&lt;=0),"無有效匯率",J28*$V$6)</x:f>
        <x:v>23442144607.8923</x:v>
      </x:c>
      <x:c r="M28" s="4" t="str">
        <x:v>TWD</x:v>
      </x:c>
      <x:c r="N28" s="4" t="str">
        <x:v>JP19</x:v>
      </x:c>
      <x:c r="O28" s="4" t="str">
        <x:v>https://jutaku-shoene2026.mlit.go.jp/about/reform.html</x:v>
      </x:c>
      <x:c r="P28" s="4" t="str">
        <x:v>X01</x:v>
      </x:c>
      <x:c r="Q28" s="4" t="str">
        <x:v>【示意】環境省先進的窗戶翻修事業預算，非已實際支出；獨立來源1；來源A級</x:v>
      </x:c>
      <x:c r="R28" s="4" t="str">
        <x:v>低</x:v>
      </x:c>
    </x:row>
    <x:row r="29" ht="38" customHeight="1">
      <x:c r="A29" s="4" t="str">
        <x:v>JP</x:v>
      </x:c>
      <x:c r="B29" s="4" t="str">
        <x:v>人均GDP</x:v>
      </x:c>
      <x:c r="C29" s="4" t="n">
        <x:v>2025</x:v>
      </x:c>
      <x:c r="D29" s="21" t="n">
        <x:v>35951.045</x:v>
      </x:c>
      <x:c r="E29" s="4" t="str">
        <x:v>USD/人</x:v>
      </x:c>
      <x:c r="F29" s="17" t="n">
        <x:v>1</x:v>
      </x:c>
      <x:c r="G29" s="4" t="str">
        <x:v>USD</x:v>
      </x:c>
      <x:c r="H29" s="21" t="n">
        <x:f>D29*F29</x:f>
        <x:v>35951.045</x:v>
      </x:c>
      <x:c r="I29" s="17" t="n">
        <x:f>INDEX($V$6:$V$19,MATCH(G29,$U$6:$U$19,0))</x:f>
        <x:v>1</x:v>
      </x:c>
      <x:c r="J29" s="36" t="n">
        <x:f>IF(I29&lt;=0,"無有效匯率",H29/I29)</x:f>
        <x:v>35951.045</x:v>
      </x:c>
      <x:c r="K29" s="4" t="str">
        <x:v>USD/人</x:v>
      </x:c>
      <x:c r="L29" s="36" t="n">
        <x:f>IF(OR(NOT(ISNUMBER(J29)),$V$6&lt;=0),"無有效匯率",J29*$V$6)</x:f>
        <x:v>1120461.0537834999</x:v>
      </x:c>
      <x:c r="M29" s="4" t="str">
        <x:v>TWD/人</x:v>
      </x:c>
      <x:c r="N29" s="4" t="str">
        <x:v>MJP</x:v>
      </x:c>
      <x:c r="O29" s="4" t="str">
        <x:v>https://data.worldbank.org/country/japan</x:v>
      </x:c>
      <x:c r="P29" s="4" t="str">
        <x:v>X01</x:v>
      </x:c>
      <x:c r="Q29" s="4" t="str">
        <x:v>【示意】名目、現價美元；WDI 2025歷史數列，可能修訂，非家庭可支配所得；獨立來源1；來源A級</x:v>
      </x:c>
      <x:c r="R29" s="4" t="str">
        <x:v>低</x:v>
      </x:c>
    </x:row>
    <x:row r="30" ht="30" customHeight="1">
      <x:c r="A30" s="4" t="str">
        <x:v>JP</x:v>
      </x:c>
      <x:c r="B30" s="4" t="str">
        <x:v>GDP</x:v>
      </x:c>
      <x:c r="C30" s="4" t="n">
        <x:v>2025</x:v>
      </x:c>
      <x:c r="D30" s="17" t="n">
        <x:v>4440000000000</x:v>
      </x:c>
      <x:c r="E30" s="4" t="str">
        <x:v>USD</x:v>
      </x:c>
      <x:c r="F30" s="17" t="n">
        <x:v>1</x:v>
      </x:c>
      <x:c r="G30" s="4" t="str">
        <x:v>USD</x:v>
      </x:c>
      <x:c r="H30" s="17" t="n">
        <x:f>D30*F30</x:f>
        <x:v>4440000000000</x:v>
      </x:c>
      <x:c r="I30" s="17" t="n">
        <x:f>INDEX($V$6:$V$19,MATCH(G30,$U$6:$U$19,0))</x:f>
        <x:v>1</x:v>
      </x:c>
      <x:c r="J30" s="36" t="n">
        <x:f>IF(I30&lt;=0,"無有效匯率",H30/I30)</x:f>
        <x:v>4440000000000</x:v>
      </x:c>
      <x:c r="K30" s="4" t="str">
        <x:v>USD</x:v>
      </x:c>
      <x:c r="L30" s="36" t="n">
        <x:f>IF(OR(NOT(ISNUMBER(J30)),$V$6&lt;=0),"無有效匯率",J30*$V$6)</x:f>
        <x:v>138378372000000</x:v>
      </x:c>
      <x:c r="M30" s="4" t="str">
        <x:v>TWD</x:v>
      </x:c>
      <x:c r="N30" s="4" t="str">
        <x:v>MJP</x:v>
      </x:c>
      <x:c r="O30" s="4" t="str">
        <x:v>https://data.worldbank.org/country/japan</x:v>
      </x:c>
      <x:c r="P30" s="4" t="str">
        <x:v>X01</x:v>
      </x:c>
      <x:c r="Q30" s="4" t="str">
        <x:v>【示意】WDI 2025現價；頁面billion/trillion四捨五入值；獨立來源1；來源A級</x:v>
      </x:c>
      <x:c r="R30" s="4" t="str">
        <x:v>低</x:v>
      </x:c>
    </x:row>
    <x:row r="31" ht="38" customHeight="1">
      <x:c r="A31" s="4" t="str">
        <x:v>JP</x:v>
      </x:c>
      <x:c r="B31" s="4" t="str">
        <x:v>東京商辦裝修成本</x:v>
      </x:c>
      <x:c r="C31" s="4" t="n">
        <x:v>2026</x:v>
      </x:c>
      <x:c r="D31" s="20" t="n">
        <x:v>2314.24073959259</x:v>
      </x:c>
      <x:c r="E31" s="4" t="str">
        <x:v>USD/m²</x:v>
      </x:c>
      <x:c r="F31" s="17" t="n">
        <x:v>1</x:v>
      </x:c>
      <x:c r="G31" s="4" t="str">
        <x:v>USD</x:v>
      </x:c>
      <x:c r="H31" s="20" t="n">
        <x:f>D31*F31</x:f>
        <x:v>2314.24073959259</x:v>
      </x:c>
      <x:c r="I31" s="17" t="n">
        <x:f>INDEX($V$6:$V$19,MATCH(G31,$U$6:$U$19,0))</x:f>
        <x:v>1</x:v>
      </x:c>
      <x:c r="J31" s="36" t="n">
        <x:f>IF(I31&lt;=0,"無有效匯率",H31/I31)</x:f>
        <x:v>2314.24073959259</x:v>
      </x:c>
      <x:c r="K31" s="4" t="str">
        <x:v>USD/m²</x:v>
      </x:c>
      <x:c r="L31" s="36" t="n">
        <x:f>IF(OR(NOT(ISNUMBER(J31)),$V$6&lt;=0),"無有效匯率",J31*$V$6)</x:f>
        <x:v>72126.32116236455</x:v>
      </x:c>
      <x:c r="M31" s="4" t="str">
        <x:v>TWD/m²</x:v>
      </x:c>
      <x:c r="N31" s="4" t="str">
        <x:v>X02</x:v>
      </x:c>
      <x:c r="O31" s="4" t="str">
        <x:v>https://digital.cushmanwakefield.com/fitoutcostguide-03-2026-apac-regional-en-content-pds-office/30-31/</x:v>
      </x:c>
      <x:c r="P31" s="4" t="str">
        <x:v>X01</x:v>
      </x:c>
      <x:c r="Q31" s="4" t="str">
        <x:v>【示意】C&amp;W 2026商辦fit-out，價格基準2025年12月；USD/ft²÷0.09290304，非住宅報價，報告自身匯率；獨立來源1；來源B級</x:v>
      </x:c>
      <x:c r="R31" s="4" t="str">
        <x:v>低</x:v>
      </x:c>
    </x:row>
    <x:row r="32" ht="38" customHeight="1">
      <x:c r="A32" s="4" t="str">
        <x:v>JP</x:v>
      </x:c>
      <x:c r="B32" s="4" t="str">
        <x:v>MUJI營收</x:v>
      </x:c>
      <x:c r="C32" s="4" t="str">
        <x:v>FY2025-08</x:v>
      </x:c>
      <x:c r="D32" s="17" t="n">
        <x:v>784629</x:v>
      </x:c>
      <x:c r="E32" s="4" t="str">
        <x:v>百萬JPY</x:v>
      </x:c>
      <x:c r="F32" s="17" t="n">
        <x:v>1000000</x:v>
      </x:c>
      <x:c r="G32" s="4" t="str">
        <x:v>JPY</x:v>
      </x:c>
      <x:c r="H32" s="17" t="n">
        <x:f>D32*F32</x:f>
        <x:v>784629000000</x:v>
      </x:c>
      <x:c r="I32" s="35" t="n">
        <x:f>INDEX($V$6:$V$19,MATCH(G32,$U$6:$U$19,0))</x:f>
        <x:v>149.5686</x:v>
      </x:c>
      <x:c r="J32" s="36" t="n">
        <x:f>IF(I32&lt;=0,"無有效匯率",H32/I32)</x:f>
        <x:v>5245947344.562963</x:v>
      </x:c>
      <x:c r="K32" s="4" t="str">
        <x:v>USD</x:v>
      </x:c>
      <x:c r="L32" s="36" t="n">
        <x:f>IF(OR(NOT(ISNUMBER(J32)),$V$6&lt;=0),"無有效匯率",J32*$V$6)</x:f>
        <x:v>163496768724.85266</x:v>
      </x:c>
      <x:c r="M32" s="4" t="str">
        <x:v>TWD</x:v>
      </x:c>
      <x:c r="N32" s="4" t="str">
        <x:v>X06</x:v>
      </x:c>
      <x:c r="O32" s="4" t="str">
        <x:v>https://www.ryohin-keikaku.jp/pdf/corporate/overview/2025-2026_jp.pdf</x:v>
      </x:c>
      <x:c r="P32" s="4" t="str">
        <x:v>X01</x:v>
      </x:c>
      <x:c r="Q32" s="4" t="str">
        <x:v>【示意】良品計畫全球合併；生活雜貨含多項商品，不等於家具市場；獨立來源1；來源C級</x:v>
      </x:c>
      <x:c r="R32" s="4" t="str">
        <x:v>低</x:v>
      </x:c>
    </x:row>
    <x:row r="33" ht="38" customHeight="1">
      <x:c r="A33" s="4" t="str">
        <x:v>JP</x:v>
      </x:c>
      <x:c r="B33" s="4" t="str">
        <x:v>MUJI營業利益</x:v>
      </x:c>
      <x:c r="C33" s="4" t="str">
        <x:v>FY2025-08</x:v>
      </x:c>
      <x:c r="D33" s="17" t="n">
        <x:v>73800</x:v>
      </x:c>
      <x:c r="E33" s="4" t="str">
        <x:v>百萬JPY</x:v>
      </x:c>
      <x:c r="F33" s="17" t="n">
        <x:v>1000000</x:v>
      </x:c>
      <x:c r="G33" s="4" t="str">
        <x:v>JPY</x:v>
      </x:c>
      <x:c r="H33" s="17" t="n">
        <x:f>D33*F33</x:f>
        <x:v>73800000000</x:v>
      </x:c>
      <x:c r="I33" s="35" t="n">
        <x:f>INDEX($V$6:$V$19,MATCH(G33,$U$6:$U$19,0))</x:f>
        <x:v>149.5686</x:v>
      </x:c>
      <x:c r="J33" s="36" t="n">
        <x:f>IF(I33&lt;=0,"無有效匯率",H33/I33)</x:f>
        <x:v>493419073.25468045</x:v>
      </x:c>
      <x:c r="K33" s="4" t="str">
        <x:v>USD</x:v>
      </x:c>
      <x:c r="L33" s="36" t="n">
        <x:f>IF(OR(NOT(ISNUMBER(J33)),$V$6&lt;=0),"無有效匯率",J33*$V$6)</x:f>
        <x:v>15378046862.777348</x:v>
      </x:c>
      <x:c r="M33" s="4" t="str">
        <x:v>TWD</x:v>
      </x:c>
      <x:c r="N33" s="4" t="str">
        <x:v>X06</x:v>
      </x:c>
      <x:c r="O33" s="4" t="str">
        <x:v>https://www.ryohin-keikaku.jp/pdf/corporate/overview/2025-2026_jp.pdf</x:v>
      </x:c>
      <x:c r="P33" s="4" t="str">
        <x:v>X01</x:v>
      </x:c>
      <x:c r="Q33" s="4" t="str">
        <x:v>【示意】良品計畫全球合併；生活雜貨含多項商品，不等於家具市場；原公司簡介為738億日圓約數，換成百萬單位不代表精度到百萬；獨立來源1；來源C級</x:v>
      </x:c>
      <x:c r="R33" s="4" t="str">
        <x:v>低</x:v>
      </x:c>
    </x:row>
    <x:row r="34" ht="38" customHeight="1">
      <x:c r="A34" s="4" t="str">
        <x:v>JP</x:v>
      </x:c>
      <x:c r="B34" s="4" t="str">
        <x:v>MUJI生活雜貨銷售</x:v>
      </x:c>
      <x:c r="C34" s="4" t="str">
        <x:v>FY2025-08</x:v>
      </x:c>
      <x:c r="D34" s="17" t="n">
        <x:v>368184</x:v>
      </x:c>
      <x:c r="E34" s="4" t="str">
        <x:v>百萬JPY</x:v>
      </x:c>
      <x:c r="F34" s="17" t="n">
        <x:v>1000000</x:v>
      </x:c>
      <x:c r="G34" s="4" t="str">
        <x:v>JPY</x:v>
      </x:c>
      <x:c r="H34" s="17" t="n">
        <x:f>D34*F34</x:f>
        <x:v>368184000000</x:v>
      </x:c>
      <x:c r="I34" s="35" t="n">
        <x:f>INDEX($V$6:$V$19,MATCH(G34,$U$6:$U$19,0))</x:f>
        <x:v>149.5686</x:v>
      </x:c>
      <x:c r="J34" s="36" t="n">
        <x:f>IF(I34&lt;=0,"無有效匯率",H34/I34)</x:f>
        <x:v>2461639675.707334</x:v>
      </x:c>
      <x:c r="K34" s="4" t="str">
        <x:v>USD</x:v>
      </x:c>
      <x:c r="L34" s="36" t="n">
        <x:f>IF(OR(NOT(ISNUMBER(J34)),$V$6&lt;=0),"無有效匯率",J34*$V$6)</x:f>
        <x:v>76720200624.99748</x:v>
      </x:c>
      <x:c r="M34" s="4" t="str">
        <x:v>TWD</x:v>
      </x:c>
      <x:c r="N34" s="4" t="str">
        <x:v>X06</x:v>
      </x:c>
      <x:c r="O34" s="4" t="str">
        <x:v>https://www.ryohin-keikaku.jp/pdf/corporate/overview/2025-2026_jp.pdf</x:v>
      </x:c>
      <x:c r="P34" s="4" t="str">
        <x:v>X01</x:v>
      </x:c>
      <x:c r="Q34" s="4" t="str">
        <x:v>【示意】良品計畫全球合併；生活雜貨含多項商品，不等於家具市場；獨立來源1；來源C級</x:v>
      </x:c>
      <x:c r="R34" s="4" t="str">
        <x:v>低</x:v>
      </x:c>
    </x:row>
    <x:row r="35" ht="30" customHeight="1">
      <x:c r="A35" s="4" t="str">
        <x:v>KR</x:v>
      </x:c>
      <x:c r="B35" s="4" t="str">
        <x:v>Hanssem合併營收</x:v>
      </x:c>
      <x:c r="C35" s="4" t="n">
        <x:v>2025</x:v>
      </x:c>
      <x:c r="D35" s="17" t="n">
        <x:v>1744538</x:v>
      </x:c>
      <x:c r="E35" s="4" t="str">
        <x:v>百萬KRW</x:v>
      </x:c>
      <x:c r="F35" s="17" t="n">
        <x:v>1000000</x:v>
      </x:c>
      <x:c r="G35" s="4" t="str">
        <x:v>KRW</x:v>
      </x:c>
      <x:c r="H35" s="17" t="n">
        <x:f>D35*F35</x:f>
        <x:v>1744538000000</x:v>
      </x:c>
      <x:c r="I35" s="35" t="n">
        <x:f>INDEX($V$6:$V$19,MATCH(G35,$U$6:$U$19,0))</x:f>
        <x:v>1421.3963</x:v>
      </x:c>
      <x:c r="J35" s="36" t="n">
        <x:f>IF(I35&lt;=0,"無有效匯率",H35/I35)</x:f>
        <x:v>1227341030.7878246</x:v>
      </x:c>
      <x:c r="K35" s="4" t="str">
        <x:v>USD</x:v>
      </x:c>
      <x:c r="L35" s="36" t="n">
        <x:f>IF(OR(NOT(ISNUMBER(J35)),$V$6&lt;=0),"無有效匯率",J35*$V$6)</x:f>
        <x:v>38251678767.842575</x:v>
      </x:c>
      <x:c r="M35" s="4" t="str">
        <x:v>TWD</x:v>
      </x:c>
      <x:c r="N35" s="4" t="str">
        <x:v>KR03</x:v>
      </x:c>
      <x:c r="O35" s="4" t="str">
        <x:v>https://company.hanssem.com/ir/financials/highlights</x:v>
      </x:c>
      <x:c r="P35" s="4" t="str">
        <x:v>X01</x:v>
      </x:c>
      <x:c r="Q35" s="4" t="str">
        <x:v>【示意】家具、Rehaus、特販等全集團；非純住宅翻修；獨立來源1；來源C級</x:v>
      </x:c>
      <x:c r="R35" s="4" t="str">
        <x:v>低</x:v>
      </x:c>
    </x:row>
    <x:row r="36" ht="30" customHeight="1">
      <x:c r="A36" s="4" t="str">
        <x:v>KR</x:v>
      </x:c>
      <x:c r="B36" s="4" t="str">
        <x:v>Hanssem合併營業利益</x:v>
      </x:c>
      <x:c r="C36" s="4" t="n">
        <x:v>2025</x:v>
      </x:c>
      <x:c r="D36" s="17" t="n">
        <x:v>18491</x:v>
      </x:c>
      <x:c r="E36" s="4" t="str">
        <x:v>百萬KRW</x:v>
      </x:c>
      <x:c r="F36" s="17" t="n">
        <x:v>1000000</x:v>
      </x:c>
      <x:c r="G36" s="4" t="str">
        <x:v>KRW</x:v>
      </x:c>
      <x:c r="H36" s="17" t="n">
        <x:f>D36*F36</x:f>
        <x:v>18491000000</x:v>
      </x:c>
      <x:c r="I36" s="35" t="n">
        <x:f>INDEX($V$6:$V$19,MATCH(G36,$U$6:$U$19,0))</x:f>
        <x:v>1421.3963</x:v>
      </x:c>
      <x:c r="J36" s="36" t="n">
        <x:f>IF(I36&lt;=0,"無有效匯率",H36/I36)</x:f>
        <x:v>13009039.06954028</x:v>
      </x:c>
      <x:c r="K36" s="4" t="str">
        <x:v>USD</x:v>
      </x:c>
      <x:c r="L36" s="36" t="n">
        <x:f>IF(OR(NOT(ISNUMBER(J36)),$V$6&lt;=0),"無有效匯率",J36*$V$6)</x:f>
        <x:v>405443614.3530133</x:v>
      </x:c>
      <x:c r="M36" s="4" t="str">
        <x:v>TWD</x:v>
      </x:c>
      <x:c r="N36" s="4" t="str">
        <x:v>KR03</x:v>
      </x:c>
      <x:c r="O36" s="4" t="str">
        <x:v>https://company.hanssem.com/ir/financials/highlights</x:v>
      </x:c>
      <x:c r="P36" s="4" t="str">
        <x:v>X01</x:v>
      </x:c>
      <x:c r="Q36" s="4" t="str">
        <x:v>【示意】集團營業利益；獨立來源1；來源C級</x:v>
      </x:c>
      <x:c r="R36" s="4" t="str">
        <x:v>低</x:v>
      </x:c>
    </x:row>
    <x:row r="37" ht="30" customHeight="1">
      <x:c r="A37" s="4" t="str">
        <x:v>KR</x:v>
      </x:c>
      <x:c r="B37" s="4" t="str">
        <x:v>Hanssem合併营收</x:v>
      </x:c>
      <x:c r="C37" s="4" t="n">
        <x:v>2024</x:v>
      </x:c>
      <x:c r="D37" s="17" t="n">
        <x:v>1908391</x:v>
      </x:c>
      <x:c r="E37" s="4" t="str">
        <x:v>百萬KRW</x:v>
      </x:c>
      <x:c r="F37" s="17" t="n">
        <x:v>1000000</x:v>
      </x:c>
      <x:c r="G37" s="4" t="str">
        <x:v>KRW</x:v>
      </x:c>
      <x:c r="H37" s="17" t="n">
        <x:f>D37*F37</x:f>
        <x:v>1908391000000</x:v>
      </x:c>
      <x:c r="I37" s="35" t="n">
        <x:f>INDEX($V$6:$V$19,MATCH(G37,$U$6:$U$19,0))</x:f>
        <x:v>1421.3963</x:v>
      </x:c>
      <x:c r="J37" s="36" t="n">
        <x:f>IF(I37&lt;=0,"無有效匯率",H37/I37)</x:f>
        <x:v>1342617115.29712</x:v>
      </x:c>
      <x:c r="K37" s="4" t="str">
        <x:v>USD</x:v>
      </x:c>
      <x:c r="L37" s="36" t="n">
        <x:f>IF(OR(NOT(ISNUMBER(J37)),$V$6&lt;=0),"無有效匯率",J37*$V$6)</x:f>
        <x:v>41844407800.484634</x:v>
      </x:c>
      <x:c r="M37" s="4" t="str">
        <x:v>TWD</x:v>
      </x:c>
      <x:c r="N37" s="4" t="str">
        <x:v>KR03</x:v>
      </x:c>
      <x:c r="O37" s="4" t="str">
        <x:v>https://company.hanssem.com/ir/financials/highlights</x:v>
      </x:c>
      <x:c r="P37" s="4" t="str">
        <x:v>X01</x:v>
      </x:c>
      <x:c r="Q37" s="4" t="str">
        <x:v>【示意】同口徑比較；獨立來源1；來源C級</x:v>
      </x:c>
      <x:c r="R37" s="4" t="str">
        <x:v>低</x:v>
      </x:c>
    </x:row>
    <x:row r="38" ht="30" customHeight="1">
      <x:c r="A38" s="4" t="str">
        <x:v>KR</x:v>
      </x:c>
      <x:c r="B38" s="4" t="str">
        <x:v>오늘의집營收</x:v>
      </x:c>
      <x:c r="C38" s="4" t="n">
        <x:v>2025</x:v>
      </x:c>
      <x:c r="D38" s="17" t="n">
        <x:v>321500</x:v>
      </x:c>
      <x:c r="E38" s="4" t="str">
        <x:v>百萬KRW</x:v>
      </x:c>
      <x:c r="F38" s="17" t="n">
        <x:v>1000000</x:v>
      </x:c>
      <x:c r="G38" s="4" t="str">
        <x:v>KRW</x:v>
      </x:c>
      <x:c r="H38" s="17" t="n">
        <x:f>D38*F38</x:f>
        <x:v>321500000000</x:v>
      </x:c>
      <x:c r="I38" s="35" t="n">
        <x:f>INDEX($V$6:$V$19,MATCH(G38,$U$6:$U$19,0))</x:f>
        <x:v>1421.3963</x:v>
      </x:c>
      <x:c r="J38" s="36" t="n">
        <x:f>IF(I38&lt;=0,"無有效匯率",H38/I38)</x:f>
        <x:v>226186039.74134445</x:v>
      </x:c>
      <x:c r="K38" s="4" t="str">
        <x:v>USD</x:v>
      </x:c>
      <x:c r="L38" s="36" t="n">
        <x:f>IF(OR(NOT(ISNUMBER(J38)),$V$6&lt;=0),"無有效匯率",J38*$V$6)</x:f>
        <x:v>7049381970.390663</x:v>
      </x:c>
      <x:c r="M38" s="4" t="str">
        <x:v>TWD</x:v>
      </x:c>
      <x:c r="N38" s="4" t="str">
        <x:v>KR04</x:v>
      </x:c>
      <x:c r="O38" s="4" t="str">
        <x:v>https://ohstory.io/press/pressrelease/15242</x:v>
      </x:c>
      <x:c r="P38" s="4" t="str">
        <x:v>X01</x:v>
      </x:c>
      <x:c r="Q38" s="4" t="str">
        <x:v>【示意】Bucketplace營收，非GMV；獨立來源1；來源C級</x:v>
      </x:c>
      <x:c r="R38" s="4" t="str">
        <x:v>低</x:v>
      </x:c>
    </x:row>
    <x:row r="39" ht="38" customHeight="1">
      <x:c r="A39" s="4" t="str">
        <x:v>KR</x:v>
      </x:c>
      <x:c r="B39" s="4" t="str">
        <x:v>實內建築承包登記資本門檻</x:v>
      </x:c>
      <x:c r="C39" s="4" t="str">
        <x:v>2022修訂版</x:v>
      </x:c>
      <x:c r="D39" s="17" t="n">
        <x:v>150000000</x:v>
      </x:c>
      <x:c r="E39" s="4" t="str">
        <x:v>KRW</x:v>
      </x:c>
      <x:c r="F39" s="17" t="n">
        <x:v>1</x:v>
      </x:c>
      <x:c r="G39" s="4" t="str">
        <x:v>KRW</x:v>
      </x:c>
      <x:c r="H39" s="17" t="n">
        <x:f>D39*F39</x:f>
        <x:v>150000000</x:v>
      </x:c>
      <x:c r="I39" s="35" t="n">
        <x:f>INDEX($V$6:$V$19,MATCH(G39,$U$6:$U$19,0))</x:f>
        <x:v>1421.3963</x:v>
      </x:c>
      <x:c r="J39" s="36" t="n">
        <x:f>IF(I39&lt;=0,"無有效匯率",H39/I39)</x:f>
        <x:v>105530.03409393987</x:v>
      </x:c>
      <x:c r="K39" s="4" t="str">
        <x:v>USD</x:v>
      </x:c>
      <x:c r="L39" s="36" t="n">
        <x:f>IF(OR(NOT(ISNUMBER(J39)),$V$6&lt;=0),"無有效匯率",J39*$V$6)</x:f>
        <x:v>3288980.701581958</x:v>
      </x:c>
      <x:c r="M39" s="4" t="str">
        <x:v>TWD</x:v>
      </x:c>
      <x:c r="N39" s="4" t="str">
        <x:v>KR05</x:v>
      </x:c>
      <x:c r="O39" s="4" t="str">
        <x:v>https://www.law.go.kr/LSW/flDownload.do?bylClsCd=110201&amp;flSeq=129840259&amp;gubun=</x:v>
      </x:c>
      <x:c r="P39" s="4" t="str">
        <x:v>X01</x:v>
      </x:c>
      <x:c r="Q39" s="4" t="str">
        <x:v>【示意】歷史法規附表；非2026最新確認，須專業複核；獨立來源1；來源A級</x:v>
      </x:c>
      <x:c r="R39" s="4" t="str">
        <x:v>低</x:v>
      </x:c>
    </x:row>
    <x:row r="40" ht="30" customHeight="1">
      <x:c r="A40" s="4" t="str">
        <x:v>KR</x:v>
      </x:c>
      <x:c r="B40" s="4" t="str">
        <x:v>FDI認定通常最低投資</x:v>
      </x:c>
      <x:c r="C40" s="4" t="str">
        <x:v>查閱2026</x:v>
      </x:c>
      <x:c r="D40" s="17" t="n">
        <x:v>100000000</x:v>
      </x:c>
      <x:c r="E40" s="4" t="str">
        <x:v>KRW</x:v>
      </x:c>
      <x:c r="F40" s="17" t="n">
        <x:v>1</x:v>
      </x:c>
      <x:c r="G40" s="4" t="str">
        <x:v>KRW</x:v>
      </x:c>
      <x:c r="H40" s="17" t="n">
        <x:f>D40*F40</x:f>
        <x:v>100000000</x:v>
      </x:c>
      <x:c r="I40" s="35" t="n">
        <x:f>INDEX($V$6:$V$19,MATCH(G40,$U$6:$U$19,0))</x:f>
        <x:v>1421.3963</x:v>
      </x:c>
      <x:c r="J40" s="36" t="n">
        <x:f>IF(I40&lt;=0,"無有效匯率",H40/I40)</x:f>
        <x:v>70353.35606262658</x:v>
      </x:c>
      <x:c r="K40" s="4" t="str">
        <x:v>USD</x:v>
      </x:c>
      <x:c r="L40" s="36" t="n">
        <x:f>IF(OR(NOT(ISNUMBER(J40)),$V$6&lt;=0),"無有效匯率",J40*$V$6)</x:f>
        <x:v>2192653.801054639</x:v>
      </x:c>
      <x:c r="M40" s="4" t="str">
        <x:v>TWD</x:v>
      </x:c>
      <x:c r="N40" s="4" t="str">
        <x:v>KR06</x:v>
      </x:c>
      <x:c r="O40" s="4" t="str">
        <x:v>https://www.investkorea.org/ik-en/cntnts/i-334/web.do</x:v>
      </x:c>
      <x:c r="P40" s="4" t="str">
        <x:v>X01</x:v>
      </x:c>
      <x:c r="Q40" s="4" t="str">
        <x:v>【示意】投資額與10%持股並列之FDI認定，不等於一般公司成立門檻；獨立來源1；來源A級</x:v>
      </x:c>
      <x:c r="R40" s="4" t="str">
        <x:v>低</x:v>
      </x:c>
    </x:row>
    <x:row r="41" ht="52" customHeight="1">
      <x:c r="A41" s="4" t="str">
        <x:v>KR</x:v>
      </x:c>
      <x:c r="B41" s="4" t="str">
        <x:v>名目GDP</x:v>
      </x:c>
      <x:c r="C41" s="4" t="n">
        <x:v>2025</x:v>
      </x:c>
      <x:c r="D41" s="19" t="n">
        <x:v>2676.7</x:v>
      </x:c>
      <x:c r="E41" s="4" t="str">
        <x:v>兆KRW</x:v>
      </x:c>
      <x:c r="F41" s="17" t="n">
        <x:v>1000000000000</x:v>
      </x:c>
      <x:c r="G41" s="4" t="str">
        <x:v>KRW</x:v>
      </x:c>
      <x:c r="H41" s="17" t="n">
        <x:f>D41*F41</x:f>
        <x:v>2676700000000000</x:v>
      </x:c>
      <x:c r="I41" s="35" t="n">
        <x:f>INDEX($V$6:$V$19,MATCH(G41,$U$6:$U$19,0))</x:f>
        <x:v>1421.3963</x:v>
      </x:c>
      <x:c r="J41" s="36" t="n">
        <x:f>IF(I41&lt;=0,"無有效匯率",H41/I41)</x:f>
        <x:v>1883148281728.3257</x:v>
      </x:c>
      <x:c r="K41" s="4" t="str">
        <x:v>USD</x:v>
      </x:c>
      <x:c r="L41" s="36" t="n">
        <x:f>IF(OR(NOT(ISNUMBER(J41)),$V$6&lt;=0),"無有效匯率",J41*$V$6)</x:f>
        <x:v>58690764292829.516</x:v>
      </x:c>
      <x:c r="M41" s="4" t="str">
        <x:v>TWD</x:v>
      </x:c>
      <x:c r="N41" s="4" t="str">
        <x:v>KR08</x:v>
      </x:c>
      <x:c r="O41" s="4" t="str">
        <x:v>https://www.bok.or.kr/portal/bbs/B0000501/view.do?depth=201264&amp;menuNo=201264&amp;nttId=10098382&amp;oldMenuNo=201150&amp;programType=newsData&amp;relate=Y</x:v>
      </x:c>
      <x:c r="P41" s="4" t="str">
        <x:v>X01</x:v>
      </x:c>
      <x:c r="Q41" s="4" t="str">
        <x:v>【示意】2025國民帳暫定；獨立來源1；來源A級</x:v>
      </x:c>
      <x:c r="R41" s="4" t="str">
        <x:v>低</x:v>
      </x:c>
    </x:row>
    <x:row r="42" ht="52" customHeight="1">
      <x:c r="A42" s="4" t="str">
        <x:v>KR</x:v>
      </x:c>
      <x:c r="B42" s="4" t="str">
        <x:v>人均GNI</x:v>
      </x:c>
      <x:c r="C42" s="4" t="n">
        <x:v>2025</x:v>
      </x:c>
      <x:c r="D42" s="17" t="n">
        <x:v>36963</x:v>
      </x:c>
      <x:c r="E42" s="4" t="str">
        <x:v>USD／人</x:v>
      </x:c>
      <x:c r="F42" s="17" t="n">
        <x:v>1</x:v>
      </x:c>
      <x:c r="G42" s="4" t="str">
        <x:v>USD</x:v>
      </x:c>
      <x:c r="H42" s="17" t="n">
        <x:f>D42*F42</x:f>
        <x:v>36963</x:v>
      </x:c>
      <x:c r="I42" s="17" t="n">
        <x:f>INDEX($V$6:$V$19,MATCH(G42,$U$6:$U$19,0))</x:f>
        <x:v>1</x:v>
      </x:c>
      <x:c r="J42" s="36" t="n">
        <x:f>IF(I42&lt;=0,"無有效匯率",H42/I42)</x:f>
        <x:v>36963</x:v>
      </x:c>
      <x:c r="K42" s="4" t="str">
        <x:v>USD/人</x:v>
      </x:c>
      <x:c r="L42" s="36" t="n">
        <x:f>IF(OR(NOT(ISNUMBER(J42)),$V$6&lt;=0),"無有效匯率",J42*$V$6)</x:f>
        <x:v>1151999.9469</x:v>
      </x:c>
      <x:c r="M42" s="4" t="str">
        <x:v>TWD/人</x:v>
      </x:c>
      <x:c r="N42" s="4" t="str">
        <x:v>KR08</x:v>
      </x:c>
      <x:c r="O42" s="4" t="str">
        <x:v>https://www.bok.or.kr/portal/bbs/B0000501/view.do?depth=201264&amp;menuNo=201264&amp;nttId=10098382&amp;oldMenuNo=201150&amp;programType=newsData&amp;relate=Y</x:v>
      </x:c>
      <x:c r="P42" s="4" t="str">
        <x:v>X01</x:v>
      </x:c>
      <x:c r="Q42" s="4" t="str">
        <x:v>【示意】GNI不是GDP，不填入GDP比較欄；獨立來源1；來源A級</x:v>
      </x:c>
      <x:c r="R42" s="4" t="str">
        <x:v>低</x:v>
      </x:c>
    </x:row>
    <x:row r="43" ht="30" customHeight="1">
      <x:c r="A43" s="4" t="str">
        <x:v>KR</x:v>
      </x:c>
      <x:c r="B43" s="4" t="str">
        <x:v>Hyundai Livart合併營收</x:v>
      </x:c>
      <x:c r="C43" s="4" t="n">
        <x:v>2025</x:v>
      </x:c>
      <x:c r="D43" s="17" t="n">
        <x:v>1546206</x:v>
      </x:c>
      <x:c r="E43" s="4" t="str">
        <x:v>百萬KRW</x:v>
      </x:c>
      <x:c r="F43" s="17" t="n">
        <x:v>1000000</x:v>
      </x:c>
      <x:c r="G43" s="4" t="str">
        <x:v>KRW</x:v>
      </x:c>
      <x:c r="H43" s="17" t="n">
        <x:f>D43*F43</x:f>
        <x:v>1546206000000</x:v>
      </x:c>
      <x:c r="I43" s="35" t="n">
        <x:f>INDEX($V$6:$V$19,MATCH(G43,$U$6:$U$19,0))</x:f>
        <x:v>1421.3963</x:v>
      </x:c>
      <x:c r="J43" s="36" t="n">
        <x:f>IF(I43&lt;=0,"無有效匯率",H43/I43)</x:f>
        <x:v>1087807812.641696</x:v>
      </x:c>
      <x:c r="K43" s="4" t="str">
        <x:v>USD</x:v>
      </x:c>
      <x:c r="L43" s="36" t="n">
        <x:f>IF(OR(NOT(ISNUMBER(J43)),$V$6&lt;=0),"無有效匯率",J43*$V$6)</x:f>
        <x:v>33902944631.134888</x:v>
      </x:c>
      <x:c r="M43" s="4" t="str">
        <x:v>TWD</x:v>
      </x:c>
      <x:c r="N43" s="4" t="str">
        <x:v>KR14</x:v>
      </x:c>
      <x:c r="O43" s="4" t="str">
        <x:v>https://company.hyundailivart.co.kr/ko/statements</x:v>
      </x:c>
      <x:c r="P43" s="4" t="str">
        <x:v>X01</x:v>
      </x:c>
      <x:c r="Q43" s="4" t="str">
        <x:v>【示意】家具等全集團；非純室內設計；獨立來源1；來源C級</x:v>
      </x:c>
      <x:c r="R43" s="4" t="str">
        <x:v>低</x:v>
      </x:c>
    </x:row>
    <x:row r="44" ht="30" customHeight="1">
      <x:c r="A44" s="4" t="str">
        <x:v>KR</x:v>
      </x:c>
      <x:c r="B44" s="4" t="str">
        <x:v>Hyundai Livart合併毛利</x:v>
      </x:c>
      <x:c r="C44" s="4" t="n">
        <x:v>2025</x:v>
      </x:c>
      <x:c r="D44" s="17" t="n">
        <x:v>268091</x:v>
      </x:c>
      <x:c r="E44" s="4" t="str">
        <x:v>百萬KRW</x:v>
      </x:c>
      <x:c r="F44" s="17" t="n">
        <x:v>1000000</x:v>
      </x:c>
      <x:c r="G44" s="4" t="str">
        <x:v>KRW</x:v>
      </x:c>
      <x:c r="H44" s="17" t="n">
        <x:f>D44*F44</x:f>
        <x:v>268091000000</x:v>
      </x:c>
      <x:c r="I44" s="35" t="n">
        <x:f>INDEX($V$6:$V$19,MATCH(G44,$U$6:$U$19,0))</x:f>
        <x:v>1421.3963</x:v>
      </x:c>
      <x:c r="J44" s="36" t="n">
        <x:f>IF(I44&lt;=0,"無有效匯率",H44/I44)</x:f>
        <x:v>188611015.80185622</x:v>
      </x:c>
      <x:c r="K44" s="4" t="str">
        <x:v>USD</x:v>
      </x:c>
      <x:c r="L44" s="36" t="n">
        <x:f>IF(OR(NOT(ISNUMBER(J44)),$V$6&lt;=0),"無有效匯率",J44*$V$6)</x:f>
        <x:v>5878307501.785392</x:v>
      </x:c>
      <x:c r="M44" s="4" t="str">
        <x:v>TWD</x:v>
      </x:c>
      <x:c r="N44" s="4" t="str">
        <x:v>KR14</x:v>
      </x:c>
      <x:c r="O44" s="4" t="str">
        <x:v>https://company.hyundailivart.co.kr/ko/statements</x:v>
      </x:c>
      <x:c r="P44" s="4" t="str">
        <x:v>X01</x:v>
      </x:c>
      <x:c r="Q44" s="4" t="str">
        <x:v>【示意】全年合併；獨立來源1；來源C級</x:v>
      </x:c>
      <x:c r="R44" s="4" t="str">
        <x:v>低</x:v>
      </x:c>
    </x:row>
    <x:row r="45" ht="30" customHeight="1">
      <x:c r="A45" s="4" t="str">
        <x:v>KR</x:v>
      </x:c>
      <x:c r="B45" s="4" t="str">
        <x:v>Hyundai Livart合併營業利益</x:v>
      </x:c>
      <x:c r="C45" s="4" t="n">
        <x:v>2025</x:v>
      </x:c>
      <x:c r="D45" s="17" t="n">
        <x:v>15717</x:v>
      </x:c>
      <x:c r="E45" s="4" t="str">
        <x:v>百萬KRW</x:v>
      </x:c>
      <x:c r="F45" s="17" t="n">
        <x:v>1000000</x:v>
      </x:c>
      <x:c r="G45" s="4" t="str">
        <x:v>KRW</x:v>
      </x:c>
      <x:c r="H45" s="17" t="n">
        <x:f>D45*F45</x:f>
        <x:v>15717000000</x:v>
      </x:c>
      <x:c r="I45" s="35" t="n">
        <x:f>INDEX($V$6:$V$19,MATCH(G45,$U$6:$U$19,0))</x:f>
        <x:v>1421.3963</x:v>
      </x:c>
      <x:c r="J45" s="36" t="n">
        <x:f>IF(I45&lt;=0,"無有效匯率",H45/I45)</x:f>
        <x:v>11057436.97236302</x:v>
      </x:c>
      <x:c r="K45" s="4" t="str">
        <x:v>USD</x:v>
      </x:c>
      <x:c r="L45" s="36" t="n">
        <x:f>IF(OR(NOT(ISNUMBER(J45)),$V$6&lt;=0),"無有效匯率",J45*$V$6)</x:f>
        <x:v>344619397.9117576</x:v>
      </x:c>
      <x:c r="M45" s="4" t="str">
        <x:v>TWD</x:v>
      </x:c>
      <x:c r="N45" s="4" t="str">
        <x:v>KR14</x:v>
      </x:c>
      <x:c r="O45" s="4" t="str">
        <x:v>https://company.hyundailivart.co.kr/ko/statements</x:v>
      </x:c>
      <x:c r="P45" s="4" t="str">
        <x:v>X01</x:v>
      </x:c>
      <x:c r="Q45" s="4" t="str">
        <x:v>【示意】全年合併；獨立來源1；來源C級</x:v>
      </x:c>
      <x:c r="R45" s="4" t="str">
        <x:v>低</x:v>
      </x:c>
    </x:row>
    <x:row r="46" ht="30" customHeight="1">
      <x:c r="A46" s="4" t="str">
        <x:v>KR</x:v>
      </x:c>
      <x:c r="B46" s="4" t="str">
        <x:v>LX Hausys營收</x:v>
      </x:c>
      <x:c r="C46" s="4" t="n">
        <x:v>2025</x:v>
      </x:c>
      <x:c r="D46" s="17" t="n">
        <x:v>31787</x:v>
      </x:c>
      <x:c r="E46" s="4" t="str">
        <x:v>億KRW</x:v>
      </x:c>
      <x:c r="F46" s="17" t="n">
        <x:v>100000000</x:v>
      </x:c>
      <x:c r="G46" s="4" t="str">
        <x:v>KRW</x:v>
      </x:c>
      <x:c r="H46" s="17" t="n">
        <x:f>D46*F46</x:f>
        <x:v>3178700000000</x:v>
      </x:c>
      <x:c r="I46" s="35" t="n">
        <x:f>INDEX($V$6:$V$19,MATCH(G46,$U$6:$U$19,0))</x:f>
        <x:v>1421.3963</x:v>
      </x:c>
      <x:c r="J46" s="36" t="n">
        <x:f>IF(I46&lt;=0,"無有效匯率",H46/I46)</x:f>
        <x:v>2236322129.162711</x:v>
      </x:c>
      <x:c r="K46" s="4" t="str">
        <x:v>USD</x:v>
      </x:c>
      <x:c r="L46" s="36" t="n">
        <x:f>IF(OR(NOT(ISNUMBER(J46)),$V$6&lt;=0),"無有效匯率",J46*$V$6)</x:f>
        <x:v>69697886374.12381</x:v>
      </x:c>
      <x:c r="M46" s="4" t="str">
        <x:v>TWD</x:v>
      </x:c>
      <x:c r="N46" s="4" t="str">
        <x:v>KR18</x:v>
      </x:c>
      <x:c r="O46" s="4" t="str">
        <x:v>https://ir.gsifn.io/lghausys/fn_statements.html?koreng=1</x:v>
      </x:c>
      <x:c r="P46" s="4" t="str">
        <x:v>X01</x:v>
      </x:c>
      <x:c r="Q46" s="4" t="str">
        <x:v>【示意】公司官方嵌入財報；含非家居材料；獨立來源1；來源C級</x:v>
      </x:c>
      <x:c r="R46" s="4" t="str">
        <x:v>低</x:v>
      </x:c>
    </x:row>
    <x:row r="47" ht="30" customHeight="1">
      <x:c r="A47" s="4" t="str">
        <x:v>KR</x:v>
      </x:c>
      <x:c r="B47" s="4" t="str">
        <x:v>LX Hausys營業利益</x:v>
      </x:c>
      <x:c r="C47" s="4" t="n">
        <x:v>2025</x:v>
      </x:c>
      <x:c r="D47" s="17" t="n">
        <x:v>131</x:v>
      </x:c>
      <x:c r="E47" s="4" t="str">
        <x:v>億KRW</x:v>
      </x:c>
      <x:c r="F47" s="17" t="n">
        <x:v>100000000</x:v>
      </x:c>
      <x:c r="G47" s="4" t="str">
        <x:v>KRW</x:v>
      </x:c>
      <x:c r="H47" s="17" t="n">
        <x:f>D47*F47</x:f>
        <x:v>13100000000</x:v>
      </x:c>
      <x:c r="I47" s="35" t="n">
        <x:f>INDEX($V$6:$V$19,MATCH(G47,$U$6:$U$19,0))</x:f>
        <x:v>1421.3963</x:v>
      </x:c>
      <x:c r="J47" s="36" t="n">
        <x:f>IF(I47&lt;=0,"無有效匯率",H47/I47)</x:f>
        <x:v>9216289.644204082</x:v>
      </x:c>
      <x:c r="K47" s="4" t="str">
        <x:v>USD</x:v>
      </x:c>
      <x:c r="L47" s="36" t="n">
        <x:f>IF(OR(NOT(ISNUMBER(J47)),$V$6&lt;=0),"無有效匯率",J47*$V$6)</x:f>
        <x:v>287237647.9381577</x:v>
      </x:c>
      <x:c r="M47" s="4" t="str">
        <x:v>TWD</x:v>
      </x:c>
      <x:c r="N47" s="4" t="str">
        <x:v>KR18</x:v>
      </x:c>
      <x:c r="O47" s="4" t="str">
        <x:v>https://ir.gsifn.io/lghausys/fn_statements.html?koreng=1</x:v>
      </x:c>
      <x:c r="P47" s="4" t="str">
        <x:v>X01</x:v>
      </x:c>
      <x:c r="Q47" s="4" t="str">
        <x:v>【示意】全集團口徑；獨立來源1；來源C級</x:v>
      </x:c>
      <x:c r="R47" s="4" t="str">
        <x:v>低</x:v>
      </x:c>
    </x:row>
    <x:row r="48" ht="38" customHeight="1">
      <x:c r="A48" s="4" t="str">
        <x:v>KR</x:v>
      </x:c>
      <x:c r="B48" s="4" t="str">
        <x:v>人均GDP</x:v>
      </x:c>
      <x:c r="C48" s="4" t="n">
        <x:v>2025</x:v>
      </x:c>
      <x:c r="D48" s="21" t="n">
        <x:v>36226.966</x:v>
      </x:c>
      <x:c r="E48" s="4" t="str">
        <x:v>USD/人</x:v>
      </x:c>
      <x:c r="F48" s="17" t="n">
        <x:v>1</x:v>
      </x:c>
      <x:c r="G48" s="4" t="str">
        <x:v>USD</x:v>
      </x:c>
      <x:c r="H48" s="21" t="n">
        <x:f>D48*F48</x:f>
        <x:v>36226.966</x:v>
      </x:c>
      <x:c r="I48" s="17" t="n">
        <x:f>INDEX($V$6:$V$19,MATCH(G48,$U$6:$U$19,0))</x:f>
        <x:v>1</x:v>
      </x:c>
      <x:c r="J48" s="36" t="n">
        <x:f>IF(I48&lt;=0,"無有效匯率",H48/I48)</x:f>
        <x:v>36226.966</x:v>
      </x:c>
      <x:c r="K48" s="4" t="str">
        <x:v>USD/人</x:v>
      </x:c>
      <x:c r="L48" s="36" t="n">
        <x:f>IF(OR(NOT(ISNUMBER(J48)),$V$6&lt;=0),"無有效匯率",J48*$V$6)</x:f>
        <x:v>1129060.4904458</x:v>
      </x:c>
      <x:c r="M48" s="4" t="str">
        <x:v>TWD/人</x:v>
      </x:c>
      <x:c r="N48" s="4" t="str">
        <x:v>MKR</x:v>
      </x:c>
      <x:c r="O48" s="4" t="str">
        <x:v>https://data.worldbank.org/country/korea-rep</x:v>
      </x:c>
      <x:c r="P48" s="4" t="str">
        <x:v>X01</x:v>
      </x:c>
      <x:c r="Q48" s="4" t="str">
        <x:v>【示意】名目、現價美元；WDI 2025歷史數列，可能修訂，非家庭可支配所得；獨立來源1；來源A級</x:v>
      </x:c>
      <x:c r="R48" s="4" t="str">
        <x:v>低</x:v>
      </x:c>
    </x:row>
    <x:row r="49" ht="30" customHeight="1">
      <x:c r="A49" s="4" t="str">
        <x:v>KR</x:v>
      </x:c>
      <x:c r="B49" s="4" t="str">
        <x:v>GDP</x:v>
      </x:c>
      <x:c r="C49" s="4" t="n">
        <x:v>2025</x:v>
      </x:c>
      <x:c r="D49" s="17" t="n">
        <x:v>1870000000000</x:v>
      </x:c>
      <x:c r="E49" s="4" t="str">
        <x:v>USD</x:v>
      </x:c>
      <x:c r="F49" s="17" t="n">
        <x:v>1</x:v>
      </x:c>
      <x:c r="G49" s="4" t="str">
        <x:v>USD</x:v>
      </x:c>
      <x:c r="H49" s="17" t="n">
        <x:f>D49*F49</x:f>
        <x:v>1870000000000</x:v>
      </x:c>
      <x:c r="I49" s="17" t="n">
        <x:f>INDEX($V$6:$V$19,MATCH(G49,$U$6:$U$19,0))</x:f>
        <x:v>1</x:v>
      </x:c>
      <x:c r="J49" s="36" t="n">
        <x:f>IF(I49&lt;=0,"無有效匯率",H49/I49)</x:f>
        <x:v>1870000000000</x:v>
      </x:c>
      <x:c r="K49" s="4" t="str">
        <x:v>USD</x:v>
      </x:c>
      <x:c r="L49" s="36" t="n">
        <x:f>IF(OR(NOT(ISNUMBER(J49)),$V$6&lt;=0),"無有效匯率",J49*$V$6)</x:f>
        <x:v>58280981000000</x:v>
      </x:c>
      <x:c r="M49" s="4" t="str">
        <x:v>TWD</x:v>
      </x:c>
      <x:c r="N49" s="4" t="str">
        <x:v>MKR</x:v>
      </x:c>
      <x:c r="O49" s="4" t="str">
        <x:v>https://data.worldbank.org/country/korea-rep</x:v>
      </x:c>
      <x:c r="P49" s="4" t="str">
        <x:v>X01</x:v>
      </x:c>
      <x:c r="Q49" s="4" t="str">
        <x:v>【示意】WDI 2025現價；頁面billion/trillion四捨五入值；獨立來源1；來源A級</x:v>
      </x:c>
      <x:c r="R49" s="4" t="str">
        <x:v>低</x:v>
      </x:c>
    </x:row>
    <x:row r="50" ht="38" customHeight="1">
      <x:c r="A50" s="4" t="str">
        <x:v>KR</x:v>
      </x:c>
      <x:c r="B50" s="4" t="str">
        <x:v>首爾商辦裝修成本</x:v>
      </x:c>
      <x:c r="C50" s="4" t="n">
        <x:v>2026</x:v>
      </x:c>
      <x:c r="D50" s="20" t="n">
        <x:v>1399.3083541722638</x:v>
      </x:c>
      <x:c r="E50" s="4" t="str">
        <x:v>USD/m²</x:v>
      </x:c>
      <x:c r="F50" s="17" t="n">
        <x:v>1</x:v>
      </x:c>
      <x:c r="G50" s="4" t="str">
        <x:v>USD</x:v>
      </x:c>
      <x:c r="H50" s="20" t="n">
        <x:f>D50*F50</x:f>
        <x:v>1399.3083541722638</x:v>
      </x:c>
      <x:c r="I50" s="17" t="n">
        <x:f>INDEX($V$6:$V$19,MATCH(G50,$U$6:$U$19,0))</x:f>
        <x:v>1</x:v>
      </x:c>
      <x:c r="J50" s="36" t="n">
        <x:f>IF(I50&lt;=0,"無有效匯率",H50/I50)</x:f>
        <x:v>1399.3083541722638</x:v>
      </x:c>
      <x:c r="K50" s="4" t="str">
        <x:v>USD/m²</x:v>
      </x:c>
      <x:c r="L50" s="36" t="n">
        <x:f>IF(OR(NOT(ISNUMBER(J50)),$V$6&lt;=0),"無有效匯率",J50*$V$6)</x:f>
        <x:v>43611.26395863902</x:v>
      </x:c>
      <x:c r="M50" s="4" t="str">
        <x:v>TWD/m²</x:v>
      </x:c>
      <x:c r="N50" s="4" t="str">
        <x:v>X02</x:v>
      </x:c>
      <x:c r="O50" s="4" t="str">
        <x:v>https://digital.cushmanwakefield.com/fitoutcostguide-03-2026-apac-regional-en-content-pds-office/30-31/</x:v>
      </x:c>
      <x:c r="P50" s="4" t="str">
        <x:v>X01</x:v>
      </x:c>
      <x:c r="Q50" s="4" t="str">
        <x:v>【示意】C&amp;W 2026商辦fit-out，價格基準2025年12月；USD/ft²÷0.09290304，非住宅報價，報告自身匯率；獨立來源1；來源B級</x:v>
      </x:c>
      <x:c r="R50" s="4" t="str">
        <x:v>低</x:v>
      </x:c>
    </x:row>
    <x:row r="51" ht="38" customHeight="1">
      <x:c r="A51" s="4" t="str">
        <x:v>SG</x:v>
      </x:c>
      <x:c r="B51" s="4" t="str">
        <x:v>人均GDP</x:v>
      </x:c>
      <x:c r="C51" s="4" t="n">
        <x:v>2025</x:v>
      </x:c>
      <x:c r="D51" s="21" t="n">
        <x:v>98813.979</x:v>
      </x:c>
      <x:c r="E51" s="4" t="str">
        <x:v>USD/人</x:v>
      </x:c>
      <x:c r="F51" s="17" t="n">
        <x:v>1</x:v>
      </x:c>
      <x:c r="G51" s="4" t="str">
        <x:v>USD</x:v>
      </x:c>
      <x:c r="H51" s="21" t="n">
        <x:f>D51*F51</x:f>
        <x:v>98813.979</x:v>
      </x:c>
      <x:c r="I51" s="17" t="n">
        <x:f>INDEX($V$6:$V$19,MATCH(G51,$U$6:$U$19,0))</x:f>
        <x:v>1</x:v>
      </x:c>
      <x:c r="J51" s="36" t="n">
        <x:f>IF(I51&lt;=0,"無有效匯率",H51/I51)</x:f>
        <x:v>98813.979</x:v>
      </x:c>
      <x:c r="K51" s="4" t="str">
        <x:v>USD/人</x:v>
      </x:c>
      <x:c r="L51" s="36" t="n">
        <x:f>IF(OR(NOT(ISNUMBER(J51)),$V$6&lt;=0),"無有效匯率",J51*$V$6)</x:f>
        <x:v>3079666.1137077003</x:v>
      </x:c>
      <x:c r="M51" s="4" t="str">
        <x:v>TWD/人</x:v>
      </x:c>
      <x:c r="N51" s="4" t="str">
        <x:v>MSG</x:v>
      </x:c>
      <x:c r="O51" s="4" t="str">
        <x:v>https://data.worldbank.org/country/singapore</x:v>
      </x:c>
      <x:c r="P51" s="4" t="str">
        <x:v>X01</x:v>
      </x:c>
      <x:c r="Q51" s="4" t="str">
        <x:v>【示意】名目、現價美元；WDI 2025歷史數列，可能修訂，非家庭可支配所得；獨立來源1；來源A級</x:v>
      </x:c>
      <x:c r="R51" s="4" t="str">
        <x:v>低</x:v>
      </x:c>
    </x:row>
    <x:row r="52" ht="30" customHeight="1">
      <x:c r="A52" s="4" t="str">
        <x:v>SG</x:v>
      </x:c>
      <x:c r="B52" s="4" t="str">
        <x:v>GDP</x:v>
      </x:c>
      <x:c r="C52" s="4" t="n">
        <x:v>2025</x:v>
      </x:c>
      <x:c r="D52" s="17" t="n">
        <x:v>603870000000</x:v>
      </x:c>
      <x:c r="E52" s="4" t="str">
        <x:v>USD</x:v>
      </x:c>
      <x:c r="F52" s="17" t="n">
        <x:v>1</x:v>
      </x:c>
      <x:c r="G52" s="4" t="str">
        <x:v>USD</x:v>
      </x:c>
      <x:c r="H52" s="17" t="n">
        <x:f>D52*F52</x:f>
        <x:v>603870000000</x:v>
      </x:c>
      <x:c r="I52" s="17" t="n">
        <x:f>INDEX($V$6:$V$19,MATCH(G52,$U$6:$U$19,0))</x:f>
        <x:v>1</x:v>
      </x:c>
      <x:c r="J52" s="36" t="n">
        <x:f>IF(I52&lt;=0,"無有效匯率",H52/I52)</x:f>
        <x:v>603870000000</x:v>
      </x:c>
      <x:c r="K52" s="4" t="str">
        <x:v>USD</x:v>
      </x:c>
      <x:c r="L52" s="36" t="n">
        <x:f>IF(OR(NOT(ISNUMBER(J52)),$V$6&lt;=0),"無有效匯率",J52*$V$6)</x:f>
        <x:v>18820393581000</x:v>
      </x:c>
      <x:c r="M52" s="4" t="str">
        <x:v>TWD</x:v>
      </x:c>
      <x:c r="N52" s="4" t="str">
        <x:v>MSG</x:v>
      </x:c>
      <x:c r="O52" s="4" t="str">
        <x:v>https://data.worldbank.org/country/singapore</x:v>
      </x:c>
      <x:c r="P52" s="4" t="str">
        <x:v>X01</x:v>
      </x:c>
      <x:c r="Q52" s="4" t="str">
        <x:v>【示意】WDI 2025現價；頁面billion/trillion四捨五入值；獨立來源1；來源A級</x:v>
      </x:c>
      <x:c r="R52" s="4" t="str">
        <x:v>低</x:v>
      </x:c>
    </x:row>
    <x:row r="53" ht="52" customHeight="1">
      <x:c r="A53" s="4" t="str">
        <x:v>SG</x:v>
      </x:c>
      <x:c r="B53" s="4" t="str">
        <x:v>CASE裝修預付款損失</x:v>
      </x:c>
      <x:c r="C53" s="4" t="n">
        <x:v>2024</x:v>
      </x:c>
      <x:c r="D53" s="18" t="n">
        <x:v>728813.76</x:v>
      </x:c>
      <x:c r="E53" s="4" t="str">
        <x:v>SGD</x:v>
      </x:c>
      <x:c r="F53" s="17" t="n">
        <x:v>1</x:v>
      </x:c>
      <x:c r="G53" s="4" t="str">
        <x:v>SGD</x:v>
      </x:c>
      <x:c r="H53" s="18" t="n">
        <x:f>D53*F53</x:f>
        <x:v>728813.76</x:v>
      </x:c>
      <x:c r="I53" s="35" t="n">
        <x:f>INDEX($V$6:$V$19,MATCH(G53,$U$6:$U$19,0))</x:f>
        <x:v>1.3065</x:v>
      </x:c>
      <x:c r="J53" s="36" t="n">
        <x:f>IF(I53&lt;=0,"無有效匯率",H53/I53)</x:f>
        <x:v>557836.785304248</x:v>
      </x:c>
      <x:c r="K53" s="4" t="str">
        <x:v>USD</x:v>
      </x:c>
      <x:c r="L53" s="36" t="n">
        <x:f>IF(OR(NOT(ISNUMBER(J53)),$V$6&lt;=0),"無有效匯率",J53*$V$6)</x:f>
        <x:v>17385708.601827785</x:v>
      </x:c>
      <x:c r="M53" s="4" t="str">
        <x:v>TWD</x:v>
      </x:c>
      <x:c r="N53" s="4" t="str">
        <x:v>SG04</x:v>
      </x:c>
      <x:c r="O53" s="4" t="str">
        <x:v>https://www.case.org.sg/wp-content/uploads/2025/02/Media-Release-CASE-sees-prepayment-losses-more-than-quadruple-in-2024-entertainment-related-complaints-nearly-triple.pdf</x:v>
      </x:c>
      <x:c r="P53" s="4" t="str">
        <x:v>X01</x:v>
      </x:c>
      <x:c r="Q53" s="4" t="str">
        <x:v>【示意】已報告損失，非全產業損失估計；獨立來源1；來源B級</x:v>
      </x:c>
      <x:c r="R53" s="4" t="str">
        <x:v>低</x:v>
      </x:c>
    </x:row>
    <x:row r="54" ht="38" customHeight="1">
      <x:c r="A54" s="4" t="str">
        <x:v>SG</x:v>
      </x:c>
      <x:c r="B54" s="4" t="str">
        <x:v>Attika營收</x:v>
      </x:c>
      <x:c r="C54" s="4" t="n">
        <x:v>2023</x:v>
      </x:c>
      <x:c r="D54" s="17" t="n">
        <x:v>26968529</x:v>
      </x:c>
      <x:c r="E54" s="4" t="str">
        <x:v>SGD</x:v>
      </x:c>
      <x:c r="F54" s="17" t="n">
        <x:v>1</x:v>
      </x:c>
      <x:c r="G54" s="4" t="str">
        <x:v>SGD</x:v>
      </x:c>
      <x:c r="H54" s="17" t="n">
        <x:f>D54*F54</x:f>
        <x:v>26968529</x:v>
      </x:c>
      <x:c r="I54" s="35" t="n">
        <x:f>INDEX($V$6:$V$19,MATCH(G54,$U$6:$U$19,0))</x:f>
        <x:v>1.3065</x:v>
      </x:c>
      <x:c r="J54" s="36" t="n">
        <x:f>IF(I54&lt;=0,"無有效匯率",H54/I54)</x:f>
        <x:v>20641813.241484884</x:v>
      </x:c>
      <x:c r="K54" s="4" t="str">
        <x:v>USD</x:v>
      </x:c>
      <x:c r="L54" s="36" t="n">
        <x:f>IF(OR(NOT(ISNUMBER(J54)),$V$6&lt;=0),"無有效匯率",J54*$V$6)</x:f>
        <x:v>643328944.0280904</x:v>
      </x:c>
      <x:c r="M54" s="4" t="str">
        <x:v>TWD</x:v>
      </x:c>
      <x:c r="N54" s="4" t="str">
        <x:v>SG07</x:v>
      </x:c>
      <x:c r="O54" s="4" t="str">
        <x:v>https://links.sgx.com/FileOpen/Final%20Offer%20Document_0.ashx?App=IPO&amp;FileID=6584</x:v>
      </x:c>
      <x:c r="P54" s="4" t="str">
        <x:v>X01</x:v>
      </x:c>
      <x:c r="Q54" s="4" t="str">
        <x:v>【示意】歷史財務示例；新加坡fit-out承包，不代表住宅；獨立來源1；來源A級</x:v>
      </x:c>
      <x:c r="R54" s="4" t="str">
        <x:v>低</x:v>
      </x:c>
    </x:row>
    <x:row r="55" ht="38" customHeight="1">
      <x:c r="A55" s="4" t="str">
        <x:v>SG</x:v>
      </x:c>
      <x:c r="B55" s="4" t="str">
        <x:v>人均GDP</x:v>
      </x:c>
      <x:c r="C55" s="4" t="n">
        <x:v>2025</x:v>
      </x:c>
      <x:c r="D55" s="17" t="n">
        <x:v>129194</x:v>
      </x:c>
      <x:c r="E55" s="4" t="str">
        <x:v>SGD／人</x:v>
      </x:c>
      <x:c r="F55" s="17" t="n">
        <x:v>1</x:v>
      </x:c>
      <x:c r="G55" s="4" t="str">
        <x:v>SGD</x:v>
      </x:c>
      <x:c r="H55" s="17" t="n">
        <x:f>D55*F55</x:f>
        <x:v>129194</x:v>
      </x:c>
      <x:c r="I55" s="35" t="n">
        <x:f>INDEX($V$6:$V$19,MATCH(G55,$U$6:$U$19,0))</x:f>
        <x:v>1.3065</x:v>
      </x:c>
      <x:c r="J55" s="36" t="n">
        <x:f>IF(I55&lt;=0,"無有效匯率",H55/I55)</x:f>
        <x:v>98885.57213930348</x:v>
      </x:c>
      <x:c r="K55" s="4" t="str">
        <x:v>USD/人</x:v>
      </x:c>
      <x:c r="L55" s="36" t="n">
        <x:f>IF(OR(NOT(ISNUMBER(J55)),$V$6&lt;=0),"無有效匯率",J55*$V$6)</x:f>
        <x:v>3081897.406965174</x:v>
      </x:c>
      <x:c r="M55" s="4" t="str">
        <x:v>TWD/人</x:v>
      </x:c>
      <x:c r="N55" s="4" t="str">
        <x:v>SG08</x:v>
      </x:c>
      <x:c r="O55" s="4" t="str">
        <x:v>https://www.singstat.gov.sg/find-data/explore-data-themes/economy-prices/national-accounts/latest-news-data</x:v>
      </x:c>
      <x:c r="P55" s="4" t="str">
        <x:v>X01</x:v>
      </x:c>
      <x:c r="Q55" s="4" t="str">
        <x:v>【示意】當期市價；美元及新台幣另見固定匯率換算表；獨立來源1；來源A級</x:v>
      </x:c>
      <x:c r="R55" s="4" t="str">
        <x:v>低</x:v>
      </x:c>
    </x:row>
    <x:row r="56" ht="38" customHeight="1">
      <x:c r="A56" s="4" t="str">
        <x:v>SG</x:v>
      </x:c>
      <x:c r="B56" s="4" t="str">
        <x:v>名目GDP</x:v>
      </x:c>
      <x:c r="C56" s="4" t="n">
        <x:v>2025</x:v>
      </x:c>
      <x:c r="D56" s="19" t="n">
        <x:v>789529.2</x:v>
      </x:c>
      <x:c r="E56" s="4" t="str">
        <x:v>百萬SGD</x:v>
      </x:c>
      <x:c r="F56" s="17" t="n">
        <x:v>1000000</x:v>
      </x:c>
      <x:c r="G56" s="4" t="str">
        <x:v>SGD</x:v>
      </x:c>
      <x:c r="H56" s="17" t="n">
        <x:f>D56*F56</x:f>
        <x:v>789529200000</x:v>
      </x:c>
      <x:c r="I56" s="35" t="n">
        <x:f>INDEX($V$6:$V$19,MATCH(G56,$U$6:$U$19,0))</x:f>
        <x:v>1.3065</x:v>
      </x:c>
      <x:c r="J56" s="36" t="n">
        <x:f>IF(I56&lt;=0,"無有效匯率",H56/I56)</x:f>
        <x:v>604308610792.1929</x:v>
      </x:c>
      <x:c r="K56" s="4" t="str">
        <x:v>USD</x:v>
      </x:c>
      <x:c r="L56" s="36" t="n">
        <x:f>IF(OR(NOT(ISNUMBER(J56)),$V$6&lt;=0),"無有效匯率",J56*$V$6)</x:f>
        <x:v>18834063456532.72</x:v>
      </x:c>
      <x:c r="M56" s="4" t="str">
        <x:v>TWD</x:v>
      </x:c>
      <x:c r="N56" s="4" t="str">
        <x:v>SG08</x:v>
      </x:c>
      <x:c r="O56" s="4" t="str">
        <x:v>https://www.singstat.gov.sg/find-data/explore-data-themes/economy-prices/national-accounts/latest-news-data</x:v>
      </x:c>
      <x:c r="P56" s="4" t="str">
        <x:v>X01</x:v>
      </x:c>
      <x:c r="Q56" s="4" t="str">
        <x:v>【示意】當期市價；獨立來源1；來源A級</x:v>
      </x:c>
      <x:c r="R56" s="4" t="str">
        <x:v>低</x:v>
      </x:c>
    </x:row>
    <x:row r="57" ht="38" customHeight="1">
      <x:c r="A57" s="4" t="str">
        <x:v>SG</x:v>
      </x:c>
      <x:c r="B57" s="4" t="str">
        <x:v>人均GDP</x:v>
      </x:c>
      <x:c r="C57" s="4" t="n">
        <x:v>2024</x:v>
      </x:c>
      <x:c r="D57" s="17" t="n">
        <x:v>126803</x:v>
      </x:c>
      <x:c r="E57" s="4" t="str">
        <x:v>SGD／人</x:v>
      </x:c>
      <x:c r="F57" s="17" t="n">
        <x:v>1</x:v>
      </x:c>
      <x:c r="G57" s="4" t="str">
        <x:v>SGD</x:v>
      </x:c>
      <x:c r="H57" s="17" t="n">
        <x:f>D57*F57</x:f>
        <x:v>126803</x:v>
      </x:c>
      <x:c r="I57" s="35" t="n">
        <x:f>INDEX($V$6:$V$19,MATCH(G57,$U$6:$U$19,0))</x:f>
        <x:v>1.3065</x:v>
      </x:c>
      <x:c r="J57" s="36" t="n">
        <x:f>IF(I57&lt;=0,"無有效匯率",H57/I57)</x:f>
        <x:v>97055.49177190968</x:v>
      </x:c>
      <x:c r="K57" s="4" t="str">
        <x:v>USD/人</x:v>
      </x:c>
      <x:c r="L57" s="36" t="n">
        <x:f>IF(OR(NOT(ISNUMBER(J57)),$V$6&lt;=0),"無有效匯率",J57*$V$6)</x:f>
        <x:v>3024860.573210869</x:v>
      </x:c>
      <x:c r="M57" s="4" t="str">
        <x:v>TWD/人</x:v>
      </x:c>
      <x:c r="N57" s="4" t="str">
        <x:v>SG08</x:v>
      </x:c>
      <x:c r="O57" s="4" t="str">
        <x:v>https://www.singstat.gov.sg/find-data/explore-data-themes/economy-prices/national-accounts/latest-news-data</x:v>
      </x:c>
      <x:c r="P57" s="4" t="str">
        <x:v>X01</x:v>
      </x:c>
      <x:c r="Q57" s="4" t="str">
        <x:v>【示意】頁面前一期年度值；獨立來源1；來源A級</x:v>
      </x:c>
      <x:c r="R57" s="4" t="str">
        <x:v>低</x:v>
      </x:c>
    </x:row>
    <x:row r="58" ht="38" customHeight="1">
      <x:c r="A58" s="4" t="str">
        <x:v>SG</x:v>
      </x:c>
      <x:c r="B58" s="4" t="str">
        <x:v>台灣等NAS較高技能移工月徵費</x:v>
      </x:c>
      <x:c r="C58" s="4" t="str">
        <x:v>2024起</x:v>
      </x:c>
      <x:c r="D58" s="17" t="n">
        <x:v>300</x:v>
      </x:c>
      <x:c r="E58" s="4" t="str">
        <x:v>SGD／人月</x:v>
      </x:c>
      <x:c r="F58" s="17" t="n">
        <x:v>1</x:v>
      </x:c>
      <x:c r="G58" s="4" t="str">
        <x:v>SGD</x:v>
      </x:c>
      <x:c r="H58" s="17" t="n">
        <x:f>D58*F58</x:f>
        <x:v>300</x:v>
      </x:c>
      <x:c r="I58" s="35" t="n">
        <x:f>INDEX($V$6:$V$19,MATCH(G58,$U$6:$U$19,0))</x:f>
        <x:v>1.3065</x:v>
      </x:c>
      <x:c r="J58" s="36" t="n">
        <x:f>IF(I58&lt;=0,"無有效匯率",H58/I58)</x:f>
        <x:v>229.6211251435132</x:v>
      </x:c>
      <x:c r="K58" s="4" t="str">
        <x:v>USD/人月</x:v>
      </x:c>
      <x:c r="L58" s="36" t="n">
        <x:f>IF(OR(NOT(ISNUMBER(J58)),$V$6&lt;=0),"無有效匯率",J58*$V$6)</x:f>
        <x:v>7156.440872560276</x:v>
      </x:c>
      <x:c r="M58" s="4" t="str">
        <x:v>TWD/人月</x:v>
      </x:c>
      <x:c r="N58" s="4" t="str">
        <x:v>SG09</x:v>
      </x:c>
      <x:c r="O58" s="4" t="str">
        <x:v>https://www.mom.gov.sg/passes-and-permits/work-permit-for-foreign-worker/sector-specific-rules/construction-sector-requirements</x:v>
      </x:c>
      <x:c r="P58" s="4" t="str">
        <x:v>X01</x:v>
      </x:c>
      <x:c r="Q58" s="4" t="str">
        <x:v>【示意】勞工徵費，不是工資；獨立來源1；來源A級</x:v>
      </x:c>
      <x:c r="R58" s="4" t="str">
        <x:v>低</x:v>
      </x:c>
    </x:row>
    <x:row r="59" ht="38" customHeight="1">
      <x:c r="A59" s="4" t="str">
        <x:v>SG</x:v>
      </x:c>
      <x:c r="B59" s="4" t="str">
        <x:v>台灣等NAS基本技能移工月徵費</x:v>
      </x:c>
      <x:c r="C59" s="4" t="str">
        <x:v>2024起</x:v>
      </x:c>
      <x:c r="D59" s="17" t="n">
        <x:v>700</x:v>
      </x:c>
      <x:c r="E59" s="4" t="str">
        <x:v>SGD／人月</x:v>
      </x:c>
      <x:c r="F59" s="17" t="n">
        <x:v>1</x:v>
      </x:c>
      <x:c r="G59" s="4" t="str">
        <x:v>SGD</x:v>
      </x:c>
      <x:c r="H59" s="17" t="n">
        <x:f>D59*F59</x:f>
        <x:v>700</x:v>
      </x:c>
      <x:c r="I59" s="35" t="n">
        <x:f>INDEX($V$6:$V$19,MATCH(G59,$U$6:$U$19,0))</x:f>
        <x:v>1.3065</x:v>
      </x:c>
      <x:c r="J59" s="36" t="n">
        <x:f>IF(I59&lt;=0,"無有效匯率",H59/I59)</x:f>
        <x:v>535.7826253348642</x:v>
      </x:c>
      <x:c r="K59" s="4" t="str">
        <x:v>USD/人月</x:v>
      </x:c>
      <x:c r="L59" s="36" t="n">
        <x:f>IF(OR(NOT(ISNUMBER(J59)),$V$6&lt;=0),"無有效匯率",J59*$V$6)</x:f>
        <x:v>16698.362035973976</x:v>
      </x:c>
      <x:c r="M59" s="4" t="str">
        <x:v>TWD/人月</x:v>
      </x:c>
      <x:c r="N59" s="4" t="str">
        <x:v>SG09</x:v>
      </x:c>
      <x:c r="O59" s="4" t="str">
        <x:v>https://www.mom.gov.sg/passes-and-permits/work-permit-for-foreign-worker/sector-specific-rules/construction-sector-requirements</x:v>
      </x:c>
      <x:c r="P59" s="4" t="str">
        <x:v>X01</x:v>
      </x:c>
      <x:c r="Q59" s="4" t="str">
        <x:v>【示意】勞工徵費，不是工資；獨立來源1；來源A級</x:v>
      </x:c>
      <x:c r="R59" s="4" t="str">
        <x:v>低</x:v>
      </x:c>
    </x:row>
    <x:row r="60" ht="30" customHeight="1">
      <x:c r="A60" s="4" t="str">
        <x:v>SG</x:v>
      </x:c>
      <x:c r="B60" s="4" t="str">
        <x:v>Qanvast保證上限</x:v>
      </x:c>
      <x:c r="C60" s="4" t="str">
        <x:v>查閱2026</x:v>
      </x:c>
      <x:c r="D60" s="17" t="n">
        <x:v>150000</x:v>
      </x:c>
      <x:c r="E60" s="4" t="str">
        <x:v>SGD</x:v>
      </x:c>
      <x:c r="F60" s="17" t="n">
        <x:v>1</x:v>
      </x:c>
      <x:c r="G60" s="4" t="str">
        <x:v>SGD</x:v>
      </x:c>
      <x:c r="H60" s="17" t="n">
        <x:f>D60*F60</x:f>
        <x:v>150000</x:v>
      </x:c>
      <x:c r="I60" s="35" t="n">
        <x:f>INDEX($V$6:$V$19,MATCH(G60,$U$6:$U$19,0))</x:f>
        <x:v>1.3065</x:v>
      </x:c>
      <x:c r="J60" s="36" t="n">
        <x:f>IF(I60&lt;=0,"無有效匯率",H60/I60)</x:f>
        <x:v>114810.5625717566</x:v>
      </x:c>
      <x:c r="K60" s="4" t="str">
        <x:v>USD</x:v>
      </x:c>
      <x:c r="L60" s="36" t="n">
        <x:f>IF(OR(NOT(ISNUMBER(J60)),$V$6&lt;=0),"無有效匯率",J60*$V$6)</x:f>
        <x:v>3578220.436280138</x:v>
      </x:c>
      <x:c r="M60" s="4" t="str">
        <x:v>TWD</x:v>
      </x:c>
      <x:c r="N60" s="4" t="str">
        <x:v>SG10</x:v>
      </x:c>
      <x:c r="O60" s="4" t="str">
        <x:v>https://qanvast.com/sg</x:v>
      </x:c>
      <x:c r="P60" s="4" t="str">
        <x:v>X01</x:v>
      </x:c>
      <x:c r="Q60" s="4" t="str">
        <x:v>【示意】合約額50%與15萬取低；倒閉適用條件依條款；獨立來源1；來源C級</x:v>
      </x:c>
      <x:c r="R60" s="4" t="str">
        <x:v>低</x:v>
      </x:c>
    </x:row>
    <x:row r="61" ht="38" customHeight="1">
      <x:c r="A61" s="4" t="str">
        <x:v>SG</x:v>
      </x:c>
      <x:c r="B61" s="4" t="str">
        <x:v>全用途翻新市場（歷史估計）</x:v>
      </x:c>
      <x:c r="C61" s="4" t="n">
        <x:v>2022</x:v>
      </x:c>
      <x:c r="D61" s="19" t="n">
        <x:v>4179.5</x:v>
      </x:c>
      <x:c r="E61" s="4" t="str">
        <x:v>百萬SGD</x:v>
      </x:c>
      <x:c r="F61" s="17" t="n">
        <x:v>1000000</x:v>
      </x:c>
      <x:c r="G61" s="4" t="str">
        <x:v>SGD</x:v>
      </x:c>
      <x:c r="H61" s="17" t="n">
        <x:f>D61*F61</x:f>
        <x:v>4179500000</x:v>
      </x:c>
      <x:c r="I61" s="35" t="n">
        <x:f>INDEX($V$6:$V$19,MATCH(G61,$U$6:$U$19,0))</x:f>
        <x:v>1.3065</x:v>
      </x:c>
      <x:c r="J61" s="36" t="n">
        <x:f>IF(I61&lt;=0,"無有效匯率",H61/I61)</x:f>
        <x:v>3199004975.124378</x:v>
      </x:c>
      <x:c r="K61" s="4" t="str">
        <x:v>USD</x:v>
      </x:c>
      <x:c r="L61" s="36" t="n">
        <x:f>IF(OR(NOT(ISNUMBER(J61)),$V$6&lt;=0),"無有效匯率",J61*$V$6)</x:f>
        <x:v>99701148756.2189</x:v>
      </x:c>
      <x:c r="M61" s="4" t="str">
        <x:v>TWD</x:v>
      </x:c>
      <x:c r="N61" s="4" t="str">
        <x:v>SG11</x:v>
      </x:c>
      <x:c r="O61" s="4" t="str">
        <x:v>https://www.sec.gov/Archives/edgar/data/2002236/000121390024045316/ea0206536-fwp_springview.htm</x:v>
      </x:c>
      <x:c r="P61" s="4" t="str">
        <x:v>X01</x:v>
      </x:c>
      <x:c r="Q61" s="4" t="str">
        <x:v>【示意】Frost &amp; Sullivan renovation by revenue，住宅+其他；不含另列A&amp;A；獨立來源1；來源B級</x:v>
      </x:c>
      <x:c r="R61" s="4" t="str">
        <x:v>低</x:v>
      </x:c>
    </x:row>
    <x:row r="62" ht="38" customHeight="1">
      <x:c r="A62" s="4" t="str">
        <x:v>SG</x:v>
      </x:c>
      <x:c r="B62" s="4" t="str">
        <x:v>全用途翻新市場（預測）</x:v>
      </x:c>
      <x:c r="C62" s="4" t="str">
        <x:v>2024E</x:v>
      </x:c>
      <x:c r="D62" s="19" t="n">
        <x:v>4630.2</x:v>
      </x:c>
      <x:c r="E62" s="4" t="str">
        <x:v>百萬SGD</x:v>
      </x:c>
      <x:c r="F62" s="17" t="n">
        <x:v>1000000</x:v>
      </x:c>
      <x:c r="G62" s="4" t="str">
        <x:v>SGD</x:v>
      </x:c>
      <x:c r="H62" s="17" t="n">
        <x:f>D62*F62</x:f>
        <x:v>4630200000</x:v>
      </x:c>
      <x:c r="I62" s="35" t="n">
        <x:f>INDEX($V$6:$V$19,MATCH(G62,$U$6:$U$19,0))</x:f>
        <x:v>1.3065</x:v>
      </x:c>
      <x:c r="J62" s="36" t="n">
        <x:f>IF(I62&lt;=0,"無有效匯率",H62/I62)</x:f>
        <x:v>3543972445.464983</x:v>
      </x:c>
      <x:c r="K62" s="4" t="str">
        <x:v>USD</x:v>
      </x:c>
      <x:c r="L62" s="36" t="n">
        <x:f>IF(OR(NOT(ISNUMBER(J62)),$V$6&lt;=0),"無有效匯率",J62*$V$6)</x:f>
        <x:v>110452508427.09529</x:v>
      </x:c>
      <x:c r="M62" s="4" t="str">
        <x:v>TWD</x:v>
      </x:c>
      <x:c r="N62" s="4" t="str">
        <x:v>SG11</x:v>
      </x:c>
      <x:c r="O62" s="4" t="str">
        <x:v>https://www.sec.gov/Archives/edgar/data/2002236/000121390024045316/ea0206536-fwp_springview.htm</x:v>
      </x:c>
      <x:c r="P62" s="4" t="str">
        <x:v>X01</x:v>
      </x:c>
      <x:c r="Q62" s="4" t="str">
        <x:v>【預測／示意】2024招股簡報內事前預測，非2024實績；住宅+其他；獨立來源1；來源B級</x:v>
      </x:c>
      <x:c r="R62" s="4" t="str">
        <x:v>低</x:v>
      </x:c>
    </x:row>
    <x:row r="63" ht="38" customHeight="1">
      <x:c r="A63" s="4" t="str">
        <x:v>SG</x:v>
      </x:c>
      <x:c r="B63" s="4" t="str">
        <x:v>全用途翻新市場（預測）</x:v>
      </x:c>
      <x:c r="C63" s="4" t="str">
        <x:v>2027E</x:v>
      </x:c>
      <x:c r="D63" s="19" t="n">
        <x:v>5378.5</x:v>
      </x:c>
      <x:c r="E63" s="4" t="str">
        <x:v>百萬SGD</x:v>
      </x:c>
      <x:c r="F63" s="17" t="n">
        <x:v>1000000</x:v>
      </x:c>
      <x:c r="G63" s="4" t="str">
        <x:v>SGD</x:v>
      </x:c>
      <x:c r="H63" s="17" t="n">
        <x:f>D63*F63</x:f>
        <x:v>5378500000</x:v>
      </x:c>
      <x:c r="I63" s="35" t="n">
        <x:f>INDEX($V$6:$V$19,MATCH(G63,$U$6:$U$19,0))</x:f>
        <x:v>1.3065</x:v>
      </x:c>
      <x:c r="J63" s="36" t="n">
        <x:f>IF(I63&lt;=0,"無有效匯率",H63/I63)</x:f>
        <x:v>4116724071.9479527</x:v>
      </x:c>
      <x:c r="K63" s="4" t="str">
        <x:v>USD</x:v>
      </x:c>
      <x:c r="L63" s="36" t="n">
        <x:f>IF(OR(NOT(ISNUMBER(J63)),$V$6&lt;=0),"無有效匯率",J63*$V$6)</x:f>
        <x:v>128303057443.55148</x:v>
      </x:c>
      <x:c r="M63" s="4" t="str">
        <x:v>TWD</x:v>
      </x:c>
      <x:c r="N63" s="4" t="str">
        <x:v>SG11</x:v>
      </x:c>
      <x:c r="O63" s="4" t="str">
        <x:v>https://www.sec.gov/Archives/edgar/data/2002236/000121390024045316/ea0206536-fwp_springview.htm</x:v>
      </x:c>
      <x:c r="P63" s="4" t="str">
        <x:v>X01</x:v>
      </x:c>
      <x:c r="Q63" s="4" t="str">
        <x:v>【預測／示意】Frost &amp; Sullivan事前預測，非官方實績；獨立來源1；來源B級</x:v>
      </x:c>
      <x:c r="R63" s="4" t="str">
        <x:v>低</x:v>
      </x:c>
    </x:row>
    <x:row r="64" ht="38" customHeight="1">
      <x:c r="A64" s="4" t="str">
        <x:v>SG</x:v>
      </x:c>
      <x:c r="B64" s="4" t="str">
        <x:v>新加坡商辦裝修成本</x:v>
      </x:c>
      <x:c r="C64" s="4" t="n">
        <x:v>2026</x:v>
      </x:c>
      <x:c r="D64" s="20" t="n">
        <x:v>1506.947458339361</x:v>
      </x:c>
      <x:c r="E64" s="4" t="str">
        <x:v>USD/m²</x:v>
      </x:c>
      <x:c r="F64" s="17" t="n">
        <x:v>1</x:v>
      </x:c>
      <x:c r="G64" s="4" t="str">
        <x:v>USD</x:v>
      </x:c>
      <x:c r="H64" s="20" t="n">
        <x:f>D64*F64</x:f>
        <x:v>1506.947458339361</x:v>
      </x:c>
      <x:c r="I64" s="17" t="n">
        <x:f>INDEX($V$6:$V$19,MATCH(G64,$U$6:$U$19,0))</x:f>
        <x:v>1</x:v>
      </x:c>
      <x:c r="J64" s="36" t="n">
        <x:f>IF(I64&lt;=0,"無有效匯率",H64/I64)</x:f>
        <x:v>1506.947458339361</x:v>
      </x:c>
      <x:c r="K64" s="4" t="str">
        <x:v>USD/m²</x:v>
      </x:c>
      <x:c r="L64" s="36" t="n">
        <x:f>IF(OR(NOT(ISNUMBER(J64)),$V$6&lt;=0),"無有效匯率",J64*$V$6)</x:f>
        <x:v>46965.976570842024</x:v>
      </x:c>
      <x:c r="M64" s="4" t="str">
        <x:v>TWD/m²</x:v>
      </x:c>
      <x:c r="N64" s="4" t="str">
        <x:v>X02</x:v>
      </x:c>
      <x:c r="O64" s="4" t="str">
        <x:v>https://digital.cushmanwakefield.com/fitoutcostguide-03-2026-apac-regional-en-content-pds-office/30-31/</x:v>
      </x:c>
      <x:c r="P64" s="4" t="str">
        <x:v>X01</x:v>
      </x:c>
      <x:c r="Q64" s="4" t="str">
        <x:v>【示意】C&amp;W 2026商辦fit-out，價格基準2025年12月；USD/ft²÷0.09290304，非住宅報價，報告自身匯率；獨立來源1；來源B級</x:v>
      </x:c>
      <x:c r="R64" s="4" t="str">
        <x:v>低</x:v>
      </x:c>
    </x:row>
    <x:row r="65" ht="38" customHeight="1">
      <x:c r="A65" s="4" t="str">
        <x:v>HK</x:v>
      </x:c>
      <x:c r="B65" s="4" t="str">
        <x:v>家居裝修投訴涉及金額下限</x:v>
      </x:c>
      <x:c r="C65" s="4" t="str">
        <x:v>2017–2023</x:v>
      </x:c>
      <x:c r="D65" s="17" t="n">
        <x:v>270000000</x:v>
      </x:c>
      <x:c r="E65" s="4" t="str">
        <x:v>HKD</x:v>
      </x:c>
      <x:c r="F65" s="17" t="n">
        <x:v>1</x:v>
      </x:c>
      <x:c r="G65" s="4" t="str">
        <x:v>HKD</x:v>
      </x:c>
      <x:c r="H65" s="17" t="n">
        <x:f>D65*F65</x:f>
        <x:v>270000000</x:v>
      </x:c>
      <x:c r="I65" s="35" t="n">
        <x:f>INDEX($V$6:$V$19,MATCH(G65,$U$6:$U$19,0))</x:f>
        <x:v>7.7956</x:v>
      </x:c>
      <x:c r="J65" s="36" t="n">
        <x:f>IF(I65&lt;=0,"無有效匯率",H65/I65)</x:f>
        <x:v>34634922.26384114</x:v>
      </x:c>
      <x:c r="K65" s="4" t="str">
        <x:v>USD</x:v>
      </x:c>
      <x:c r="L65" s="36" t="n">
        <x:f>IF(OR(NOT(ISNUMBER(J65)),$V$6&lt;=0),"無有效匯率",J65*$V$6)</x:f>
        <x:v>1079442377.751552</x:v>
      </x:c>
      <x:c r="M65" s="4" t="str">
        <x:v>TWD</x:v>
      </x:c>
      <x:c r="N65" s="4" t="str">
        <x:v>HK01</x:v>
      </x:c>
      <x:c r="O65" s="4" t="str">
        <x:v>https://www.consumer.org.hk/tc/press-release/p-home-renovation-study-report</x:v>
      </x:c>
      <x:c r="P65" s="4" t="str">
        <x:v>X01</x:v>
      </x:c>
      <x:c r="Q65" s="4" t="str">
        <x:v>【示意】超過此金額，非市場總產值；獨立來源1；來源B級</x:v>
      </x:c>
      <x:c r="R65" s="4" t="str">
        <x:v>低</x:v>
      </x:c>
    </x:row>
    <x:row r="66" ht="52" customHeight="1">
      <x:c r="A66" s="4" t="str">
        <x:v>HK</x:v>
      </x:c>
      <x:c r="B66" s="4" t="str">
        <x:v>人均GDP</x:v>
      </x:c>
      <x:c r="C66" s="4" t="n">
        <x:v>2024</x:v>
      </x:c>
      <x:c r="D66" s="17" t="n">
        <x:v>54101</x:v>
      </x:c>
      <x:c r="E66" s="4" t="str">
        <x:v>USD/人</x:v>
      </x:c>
      <x:c r="F66" s="17" t="n">
        <x:v>1</x:v>
      </x:c>
      <x:c r="G66" s="4" t="str">
        <x:v>USD</x:v>
      </x:c>
      <x:c r="H66" s="17" t="n">
        <x:f>D66*F66</x:f>
        <x:v>54101</x:v>
      </x:c>
      <x:c r="I66" s="17" t="n">
        <x:f>INDEX($V$6:$V$19,MATCH(G66,$U$6:$U$19,0))</x:f>
        <x:v>1</x:v>
      </x:c>
      <x:c r="J66" s="36" t="n">
        <x:f>IF(I66&lt;=0,"無有效匯率",H66/I66)</x:f>
        <x:v>54101</x:v>
      </x:c>
      <x:c r="K66" s="4" t="str">
        <x:v>USD/人</x:v>
      </x:c>
      <x:c r="L66" s="36" t="n">
        <x:f>IF(OR(NOT(ISNUMBER(J66)),$V$6&lt;=0),"無有效匯率",J66*$V$6)</x:f>
        <x:v>1686127.9963</x:v>
      </x:c>
      <x:c r="M66" s="4" t="str">
        <x:v>TWD/人</x:v>
      </x:c>
      <x:c r="N66" s="4" t="str">
        <x:v>HK07</x:v>
      </x:c>
      <x:c r="O66" s="4" t="str">
        <x:v>https://www.mofa.go.jp/mofaj/area/hongkong/data.html</x:v>
      </x:c>
      <x:c r="P66" s="4" t="str">
        <x:v>X01</x:v>
      </x:c>
      <x:c r="Q66" s="4" t="str">
        <x:v>【示意】日本外務省頁所列2024人均GDP；原幣421,990港元、該頁美元換算率7.80；未確認數值出處為香港統計處，不作此歸屬。；獨立來源1；來源A級；查核限制：外務省頁 L113–124：2024年一人GDP 421,990港元／54,101美元；頁面自述換算7.80。</x:v>
      </x:c>
      <x:c r="R66" s="4" t="str">
        <x:v>低</x:v>
      </x:c>
    </x:row>
    <x:row r="67" ht="30" customHeight="1">
      <x:c r="A67" s="4" t="str">
        <x:v>HK</x:v>
      </x:c>
      <x:c r="B67" s="4" t="str">
        <x:v>SLD集團營收</x:v>
      </x:c>
      <x:c r="C67" s="4" t="n">
        <x:v>2025</x:v>
      </x:c>
      <x:c r="D67" s="17" t="n">
        <x:v>422703000</x:v>
      </x:c>
      <x:c r="E67" s="4" t="str">
        <x:v>HKD</x:v>
      </x:c>
      <x:c r="F67" s="17" t="n">
        <x:v>1</x:v>
      </x:c>
      <x:c r="G67" s="4" t="str">
        <x:v>HKD</x:v>
      </x:c>
      <x:c r="H67" s="17" t="n">
        <x:f>D67*F67</x:f>
        <x:v>422703000</x:v>
      </x:c>
      <x:c r="I67" s="35" t="n">
        <x:f>INDEX($V$6:$V$19,MATCH(G67,$U$6:$U$19,0))</x:f>
        <x:v>7.7956</x:v>
      </x:c>
      <x:c r="J67" s="36" t="n">
        <x:f>IF(I67&lt;=0,"無有效匯率",H67/I67)</x:f>
        <x:v>54223279.79886089</x:v>
      </x:c>
      <x:c r="K67" s="4" t="str">
        <x:v>USD</x:v>
      </x:c>
      <x:c r="L67" s="36" t="n">
        <x:f>IF(OR(NOT(ISNUMBER(J67)),$V$6&lt;=0),"無有效匯率",J67*$V$6)</x:f>
        <x:v>1689939005.195238</x:v>
      </x:c>
      <x:c r="M67" s="4" t="str">
        <x:v>TWD</x:v>
      </x:c>
      <x:c r="N67" s="4" t="str">
        <x:v>HK10</x:v>
      </x:c>
      <x:c r="O67" s="4" t="str">
        <x:v>https://api.aconnect.com.hk/Attachment/158306</x:v>
      </x:c>
      <x:c r="P67" s="4" t="str">
        <x:v>X01</x:v>
      </x:c>
      <x:c r="Q67" s="4" t="str">
        <x:v>【示意】全球合併，含設計及家居產品貿易；獨立來源1；來源A級</x:v>
      </x:c>
      <x:c r="R67" s="4" t="str">
        <x:v>低</x:v>
      </x:c>
    </x:row>
    <x:row r="68" ht="30" customHeight="1">
      <x:c r="A68" s="4" t="str">
        <x:v>HK</x:v>
      </x:c>
      <x:c r="B68" s="4" t="str">
        <x:v>SLD集團營收</x:v>
      </x:c>
      <x:c r="C68" s="4" t="n">
        <x:v>2024</x:v>
      </x:c>
      <x:c r="D68" s="17" t="n">
        <x:v>367695000</x:v>
      </x:c>
      <x:c r="E68" s="4" t="str">
        <x:v>HKD</x:v>
      </x:c>
      <x:c r="F68" s="17" t="n">
        <x:v>1</x:v>
      </x:c>
      <x:c r="G68" s="4" t="str">
        <x:v>HKD</x:v>
      </x:c>
      <x:c r="H68" s="17" t="n">
        <x:f>D68*F68</x:f>
        <x:v>367695000</x:v>
      </x:c>
      <x:c r="I68" s="35" t="n">
        <x:f>INDEX($V$6:$V$19,MATCH(G68,$U$6:$U$19,0))</x:f>
        <x:v>7.7956</x:v>
      </x:c>
      <x:c r="J68" s="36" t="n">
        <x:f>IF(I68&lt;=0,"無有效匯率",H68/I68)</x:f>
        <x:v>47166991.63630766</x:v>
      </x:c>
      <x:c r="K68" s="4" t="str">
        <x:v>USD</x:v>
      </x:c>
      <x:c r="L68" s="36" t="n">
        <x:f>IF(OR(NOT(ISNUMBER(J68)),$V$6&lt;=0),"無有效匯率",J68*$V$6)</x:f>
        <x:v>1470020611.4346552</x:v>
      </x:c>
      <x:c r="M68" s="4" t="str">
        <x:v>TWD</x:v>
      </x:c>
      <x:c r="N68" s="4" t="str">
        <x:v>HK10</x:v>
      </x:c>
      <x:c r="O68" s="4" t="str">
        <x:v>https://api.aconnect.com.hk/Attachment/158306</x:v>
      </x:c>
      <x:c r="P68" s="4" t="str">
        <x:v>X01</x:v>
      </x:c>
      <x:c r="Q68" s="4" t="str">
        <x:v>【示意】全球合併，非香港市場；獨立來源1；來源A級</x:v>
      </x:c>
      <x:c r="R68" s="4" t="str">
        <x:v>低</x:v>
      </x:c>
    </x:row>
    <x:row r="69" ht="30" customHeight="1">
      <x:c r="A69" s="4" t="str">
        <x:v>HK</x:v>
      </x:c>
      <x:c r="B69" s="4" t="str">
        <x:v>SLD集團服務收入</x:v>
      </x:c>
      <x:c r="C69" s="4" t="n">
        <x:v>2025</x:v>
      </x:c>
      <x:c r="D69" s="17" t="n">
        <x:v>283764000</x:v>
      </x:c>
      <x:c r="E69" s="4" t="str">
        <x:v>HKD</x:v>
      </x:c>
      <x:c r="F69" s="17" t="n">
        <x:v>1</x:v>
      </x:c>
      <x:c r="G69" s="4" t="str">
        <x:v>HKD</x:v>
      </x:c>
      <x:c r="H69" s="17" t="n">
        <x:f>D69*F69</x:f>
        <x:v>283764000</x:v>
      </x:c>
      <x:c r="I69" s="35" t="n">
        <x:f>INDEX($V$6:$V$19,MATCH(G69,$U$6:$U$19,0))</x:f>
        <x:v>7.7956</x:v>
      </x:c>
      <x:c r="J69" s="36" t="n">
        <x:f>IF(I69&lt;=0,"無有效匯率",H69/I69)</x:f>
        <x:v>36400533.63435784</x:v>
      </x:c>
      <x:c r="K69" s="4" t="str">
        <x:v>USD</x:v>
      </x:c>
      <x:c r="L69" s="36" t="n">
        <x:f>IF(OR(NOT(ISNUMBER(J69)),$V$6&lt;=0),"無有效匯率",J69*$V$6)</x:f>
        <x:v>1134469951.4084868</x:v>
      </x:c>
      <x:c r="M69" s="4" t="str">
        <x:v>TWD</x:v>
      </x:c>
      <x:c r="N69" s="4" t="str">
        <x:v>HK10</x:v>
      </x:c>
      <x:c r="O69" s="4" t="str">
        <x:v>https://api.aconnect.com.hk/Attachment/158306</x:v>
      </x:c>
      <x:c r="P69" s="4" t="str">
        <x:v>X01</x:v>
      </x:c>
      <x:c r="Q69" s="4" t="str">
        <x:v>【示意】各地室內設計、陳設設計及產品設計服務；獨立來源1；來源A級</x:v>
      </x:c>
      <x:c r="R69" s="4" t="str">
        <x:v>低</x:v>
      </x:c>
    </x:row>
    <x:row r="70" ht="30" customHeight="1">
      <x:c r="A70" s="4" t="str">
        <x:v>HK</x:v>
      </x:c>
      <x:c r="B70" s="4" t="str">
        <x:v>SLD集團中國大陸收入</x:v>
      </x:c>
      <x:c r="C70" s="4" t="n">
        <x:v>2025</x:v>
      </x:c>
      <x:c r="D70" s="17" t="n">
        <x:v>367059000</x:v>
      </x:c>
      <x:c r="E70" s="4" t="str">
        <x:v>HKD</x:v>
      </x:c>
      <x:c r="F70" s="17" t="n">
        <x:v>1</x:v>
      </x:c>
      <x:c r="G70" s="4" t="str">
        <x:v>HKD</x:v>
      </x:c>
      <x:c r="H70" s="17" t="n">
        <x:f>D70*F70</x:f>
        <x:v>367059000</x:v>
      </x:c>
      <x:c r="I70" s="35" t="n">
        <x:f>INDEX($V$6:$V$19,MATCH(G70,$U$6:$U$19,0))</x:f>
        <x:v>7.7956</x:v>
      </x:c>
      <x:c r="J70" s="36" t="n">
        <x:f>IF(I70&lt;=0,"無有效匯率",H70/I70)</x:f>
        <x:v>47085407.15275283</x:v>
      </x:c>
      <x:c r="K70" s="4" t="str">
        <x:v>USD</x:v>
      </x:c>
      <x:c r="L70" s="36" t="n">
        <x:f>IF(OR(NOT(ISNUMBER(J70)),$V$6&lt;=0),"無有效匯率",J70*$V$6)</x:f>
        <x:v>1467477924.9448407</x:v>
      </x:c>
      <x:c r="M70" s="4" t="str">
        <x:v>TWD</x:v>
      </x:c>
      <x:c r="N70" s="4" t="str">
        <x:v>HK10</x:v>
      </x:c>
      <x:c r="O70" s="4" t="str">
        <x:v>https://api.aconnect.com.hk/Attachment/158306</x:v>
      </x:c>
      <x:c r="P70" s="4" t="str">
        <x:v>X01</x:v>
      </x:c>
      <x:c r="Q70" s="4" t="str">
        <x:v>【示意】全球合併收入地理分項；獨立來源1；來源A級</x:v>
      </x:c>
      <x:c r="R70" s="4" t="str">
        <x:v>低</x:v>
      </x:c>
    </x:row>
    <x:row r="71" ht="30" customHeight="1">
      <x:c r="A71" s="4" t="str">
        <x:v>HK</x:v>
      </x:c>
      <x:c r="B71" s="4" t="str">
        <x:v>SLD集團全年淨利</x:v>
      </x:c>
      <x:c r="C71" s="4" t="n">
        <x:v>2025</x:v>
      </x:c>
      <x:c r="D71" s="17" t="n">
        <x:v>10080000</x:v>
      </x:c>
      <x:c r="E71" s="4" t="str">
        <x:v>HKD</x:v>
      </x:c>
      <x:c r="F71" s="17" t="n">
        <x:v>1</x:v>
      </x:c>
      <x:c r="G71" s="4" t="str">
        <x:v>HKD</x:v>
      </x:c>
      <x:c r="H71" s="17" t="n">
        <x:f>D71*F71</x:f>
        <x:v>10080000</x:v>
      </x:c>
      <x:c r="I71" s="35" t="n">
        <x:f>INDEX($V$6:$V$19,MATCH(G71,$U$6:$U$19,0))</x:f>
        <x:v>7.7956</x:v>
      </x:c>
      <x:c r="J71" s="36" t="n">
        <x:f>IF(I71&lt;=0,"無有效匯率",H71/I71)</x:f>
        <x:v>1293037.0978500692</x:v>
      </x:c>
      <x:c r="K71" s="4" t="str">
        <x:v>USD</x:v>
      </x:c>
      <x:c r="L71" s="36" t="n">
        <x:f>IF(OR(NOT(ISNUMBER(J71)),$V$6&lt;=0),"無有效匯率",J71*$V$6)</x:f>
        <x:v>40299182.10272461</x:v>
      </x:c>
      <x:c r="M71" s="4" t="str">
        <x:v>TWD</x:v>
      </x:c>
      <x:c r="N71" s="4" t="str">
        <x:v>HK10</x:v>
      </x:c>
      <x:c r="O71" s="4" t="str">
        <x:v>https://api.aconnect.com.hk/Attachment/158306</x:v>
      </x:c>
      <x:c r="P71" s="4" t="str">
        <x:v>X01</x:v>
      </x:c>
      <x:c r="Q71" s="4" t="str">
        <x:v>【示意】全年合併淨利，非擁有人應佔淨利；獨立來源1；來源A級</x:v>
      </x:c>
      <x:c r="R71" s="4" t="str">
        <x:v>低</x:v>
      </x:c>
    </x:row>
    <x:row r="72" ht="52" customHeight="1">
      <x:c r="A72" s="4" t="str">
        <x:v>HK</x:v>
      </x:c>
      <x:c r="B72" s="4" t="str">
        <x:v>一般寫字樓装修成本低值</x:v>
      </x:c>
      <x:c r="C72" s="4" t="str">
        <x:v>2025Q4</x:v>
      </x:c>
      <x:c r="D72" s="17" t="n">
        <x:v>7400</x:v>
      </x:c>
      <x:c r="E72" s="4" t="str">
        <x:v>HKD/m²</x:v>
      </x:c>
      <x:c r="F72" s="17" t="n">
        <x:v>1</x:v>
      </x:c>
      <x:c r="G72" s="4" t="str">
        <x:v>HKD</x:v>
      </x:c>
      <x:c r="H72" s="17" t="n">
        <x:f>D72*F72</x:f>
        <x:v>7400</x:v>
      </x:c>
      <x:c r="I72" s="35" t="n">
        <x:f>INDEX($V$6:$V$19,MATCH(G72,$U$6:$U$19,0))</x:f>
        <x:v>7.7956</x:v>
      </x:c>
      <x:c r="J72" s="36" t="n">
        <x:f>IF(I72&lt;=0,"無有效匯率",H72/I72)</x:f>
        <x:v>949.2534250089794</x:v>
      </x:c>
      <x:c r="K72" s="4" t="str">
        <x:v>USD/m²</x:v>
      </x:c>
      <x:c r="L72" s="36" t="n">
        <x:f>IF(OR(NOT(ISNUMBER(J72)),$V$6&lt;=0),"無有效匯率",J72*$V$6)</x:f>
        <x:v>29584.717019857355</x:v>
      </x:c>
      <x:c r="M72" s="4" t="str">
        <x:v>TWD/m²</x:v>
      </x:c>
      <x:c r="N72" s="4" t="str">
        <x:v>HK12</x:v>
      </x:c>
      <x:c r="O72" s="4" t="str">
        <x:v>https://media.arcadis.com/-/media/project/arcadiscom/com/perspectives/asia/publications/cch/2026/cnhk-cost-handbook-2026-cn.pdf?rev=2ca3da9efc8d465dab292a4fbd8c847b</x:v>
      </x:c>
      <x:c r="P72" s="4" t="str">
        <x:v>X01</x:v>
      </x:c>
      <x:c r="Q72" s="4" t="str">
        <x:v>【示意】含家具隔間電氣與小幅空調消防改動；不含電話資料線辦公設備；獨立來源1；來源B級</x:v>
      </x:c>
      <x:c r="R72" s="4" t="str">
        <x:v>低</x:v>
      </x:c>
    </x:row>
    <x:row r="73" ht="52" customHeight="1">
      <x:c r="A73" s="4" t="str">
        <x:v>HK</x:v>
      </x:c>
      <x:c r="B73" s="4" t="str">
        <x:v>一般寫字樓装修成本高值</x:v>
      </x:c>
      <x:c r="C73" s="4" t="str">
        <x:v>2025Q4</x:v>
      </x:c>
      <x:c r="D73" s="17" t="n">
        <x:v>11400</x:v>
      </x:c>
      <x:c r="E73" s="4" t="str">
        <x:v>HKD/m²</x:v>
      </x:c>
      <x:c r="F73" s="17" t="n">
        <x:v>1</x:v>
      </x:c>
      <x:c r="G73" s="4" t="str">
        <x:v>HKD</x:v>
      </x:c>
      <x:c r="H73" s="17" t="n">
        <x:f>D73*F73</x:f>
        <x:v>11400</x:v>
      </x:c>
      <x:c r="I73" s="35" t="n">
        <x:f>INDEX($V$6:$V$19,MATCH(G73,$U$6:$U$19,0))</x:f>
        <x:v>7.7956</x:v>
      </x:c>
      <x:c r="J73" s="36" t="n">
        <x:f>IF(I73&lt;=0,"無有效匯率",H73/I73)</x:f>
        <x:v>1462.3633844732926</x:v>
      </x:c>
      <x:c r="K73" s="4" t="str">
        <x:v>USD/m²</x:v>
      </x:c>
      <x:c r="L73" s="36" t="n">
        <x:f>IF(OR(NOT(ISNUMBER(J73)),$V$6&lt;=0),"無有效匯率",J73*$V$6)</x:f>
        <x:v>45576.45594950998</x:v>
      </x:c>
      <x:c r="M73" s="4" t="str">
        <x:v>TWD/m²</x:v>
      </x:c>
      <x:c r="N73" s="4" t="str">
        <x:v>HK12</x:v>
      </x:c>
      <x:c r="O73" s="4" t="str">
        <x:v>https://media.arcadis.com/-/media/project/arcadiscom/com/perspectives/asia/publications/cch/2026/cnhk-cost-handbook-2026-cn.pdf?rev=2ca3da9efc8d465dab292a4fbd8c847b</x:v>
      </x:c>
      <x:c r="P73" s="4" t="str">
        <x:v>X01</x:v>
      </x:c>
      <x:c r="Q73" s="4" t="str">
        <x:v>【示意】與低值相同口徑，不可當住宅價；獨立來源1；來源B級</x:v>
      </x:c>
      <x:c r="R73" s="4" t="str">
        <x:v>低</x:v>
      </x:c>
    </x:row>
    <x:row r="74" ht="52" customHeight="1">
      <x:c r="A74" s="4" t="str">
        <x:v>HK</x:v>
      </x:c>
      <x:c r="B74" s="4" t="str">
        <x:v>一般餐廳装修成本低值</x:v>
      </x:c>
      <x:c r="C74" s="4" t="str">
        <x:v>2025Q4</x:v>
      </x:c>
      <x:c r="D74" s="17" t="n">
        <x:v>13300</x:v>
      </x:c>
      <x:c r="E74" s="4" t="str">
        <x:v>HKD/m²</x:v>
      </x:c>
      <x:c r="F74" s="17" t="n">
        <x:v>1</x:v>
      </x:c>
      <x:c r="G74" s="4" t="str">
        <x:v>HKD</x:v>
      </x:c>
      <x:c r="H74" s="17" t="n">
        <x:f>D74*F74</x:f>
        <x:v>13300</x:v>
      </x:c>
      <x:c r="I74" s="35" t="n">
        <x:f>INDEX($V$6:$V$19,MATCH(G74,$U$6:$U$19,0))</x:f>
        <x:v>7.7956</x:v>
      </x:c>
      <x:c r="J74" s="36" t="n">
        <x:f>IF(I74&lt;=0,"無有效匯率",H74/I74)</x:f>
        <x:v>1706.0906152188413</x:v>
      </x:c>
      <x:c r="K74" s="4" t="str">
        <x:v>USD/m²</x:v>
      </x:c>
      <x:c r="L74" s="36" t="n">
        <x:f>IF(OR(NOT(ISNUMBER(J74)),$V$6&lt;=0),"無有效匯率",J74*$V$6)</x:f>
        <x:v>53172.531941094974</x:v>
      </x:c>
      <x:c r="M74" s="4" t="str">
        <x:v>TWD/m²</x:v>
      </x:c>
      <x:c r="N74" s="4" t="str">
        <x:v>HK12</x:v>
      </x:c>
      <x:c r="O74" s="4" t="str">
        <x:v>https://media.arcadis.com/-/media/project/arcadiscom/com/perspectives/asia/publications/cch/2026/cnhk-cost-handbook-2026-cn.pdf?rev=2ca3da9efc8d465dab292a4fbd8c847b</x:v>
      </x:c>
      <x:c r="P74" s="4" t="str">
        <x:v>X01</x:v>
      </x:c>
      <x:c r="Q74" s="4" t="str">
        <x:v>【示意】含家具及局部機電；不含煙道營運設備；獨立來源1；來源B級</x:v>
      </x:c>
      <x:c r="R74" s="4" t="str">
        <x:v>低</x:v>
      </x:c>
    </x:row>
    <x:row r="75" ht="52" customHeight="1">
      <x:c r="A75" s="4" t="str">
        <x:v>HK</x:v>
      </x:c>
      <x:c r="B75" s="4" t="str">
        <x:v>一般餐廳装修成本高值</x:v>
      </x:c>
      <x:c r="C75" s="4" t="str">
        <x:v>2025Q4</x:v>
      </x:c>
      <x:c r="D75" s="17" t="n">
        <x:v>20700</x:v>
      </x:c>
      <x:c r="E75" s="4" t="str">
        <x:v>HKD/m²</x:v>
      </x:c>
      <x:c r="F75" s="17" t="n">
        <x:v>1</x:v>
      </x:c>
      <x:c r="G75" s="4" t="str">
        <x:v>HKD</x:v>
      </x:c>
      <x:c r="H75" s="17" t="n">
        <x:f>D75*F75</x:f>
        <x:v>20700</x:v>
      </x:c>
      <x:c r="I75" s="35" t="n">
        <x:f>INDEX($V$6:$V$19,MATCH(G75,$U$6:$U$19,0))</x:f>
        <x:v>7.7956</x:v>
      </x:c>
      <x:c r="J75" s="36" t="n">
        <x:f>IF(I75&lt;=0,"無有效匯率",H75/I75)</x:f>
        <x:v>2655.3440402278206</x:v>
      </x:c>
      <x:c r="K75" s="4" t="str">
        <x:v>USD/m²</x:v>
      </x:c>
      <x:c r="L75" s="36" t="n">
        <x:f>IF(OR(NOT(ISNUMBER(J75)),$V$6&lt;=0),"無有效匯率",J75*$V$6)</x:f>
        <x:v>82757.24896095233</x:v>
      </x:c>
      <x:c r="M75" s="4" t="str">
        <x:v>TWD/m²</x:v>
      </x:c>
      <x:c r="N75" s="4" t="str">
        <x:v>HK12</x:v>
      </x:c>
      <x:c r="O75" s="4" t="str">
        <x:v>https://media.arcadis.com/-/media/project/arcadiscom/com/perspectives/asia/publications/cch/2026/cnhk-cost-handbook-2026-cn.pdf?rev=2ca3da9efc8d465dab292a4fbd8c847b</x:v>
      </x:c>
      <x:c r="P75" s="4" t="str">
        <x:v>X01</x:v>
      </x:c>
      <x:c r="Q75" s="4" t="str">
        <x:v>【示意】不含煙道與營運設備；獨立來源1；來源B級</x:v>
      </x:c>
      <x:c r="R75" s="4" t="str">
        <x:v>低</x:v>
      </x:c>
    </x:row>
    <x:row r="76" ht="38" customHeight="1">
      <x:c r="A76" s="4" t="str">
        <x:v>HK</x:v>
      </x:c>
      <x:c r="B76" s="4" t="str">
        <x:v>人均GDP</x:v>
      </x:c>
      <x:c r="C76" s="4" t="n">
        <x:v>2025</x:v>
      </x:c>
      <x:c r="D76" s="21" t="n">
        <x:v>56983.066</x:v>
      </x:c>
      <x:c r="E76" s="4" t="str">
        <x:v>USD/人</x:v>
      </x:c>
      <x:c r="F76" s="17" t="n">
        <x:v>1</x:v>
      </x:c>
      <x:c r="G76" s="4" t="str">
        <x:v>USD</x:v>
      </x:c>
      <x:c r="H76" s="21" t="n">
        <x:f>D76*F76</x:f>
        <x:v>56983.066</x:v>
      </x:c>
      <x:c r="I76" s="17" t="n">
        <x:f>INDEX($V$6:$V$19,MATCH(G76,$U$6:$U$19,0))</x:f>
        <x:v>1</x:v>
      </x:c>
      <x:c r="J76" s="36" t="n">
        <x:f>IF(I76&lt;=0,"無有效匯率",H76/I76)</x:f>
        <x:v>56983.066</x:v>
      </x:c>
      <x:c r="K76" s="4" t="str">
        <x:v>USD/人</x:v>
      </x:c>
      <x:c r="L76" s="36" t="n">
        <x:f>IF(OR(NOT(ISNUMBER(J76)),$V$6&lt;=0),"無有效匯率",J76*$V$6)</x:f>
        <x:v>1775951.3298758</x:v>
      </x:c>
      <x:c r="M76" s="4" t="str">
        <x:v>TWD/人</x:v>
      </x:c>
      <x:c r="N76" s="4" t="str">
        <x:v>MHK</x:v>
      </x:c>
      <x:c r="O76" s="4" t="str">
        <x:v>https://data.worldbank.org/country/hong-kong-sar-china</x:v>
      </x:c>
      <x:c r="P76" s="4" t="str">
        <x:v>X01</x:v>
      </x:c>
      <x:c r="Q76" s="4" t="str">
        <x:v>【示意】名目、現價美元；WDI 2025歷史數列，可能修訂，非家庭可支配所得；獨立來源1；來源A級</x:v>
      </x:c>
      <x:c r="R76" s="4" t="str">
        <x:v>低</x:v>
      </x:c>
    </x:row>
    <x:row r="77" ht="30" customHeight="1">
      <x:c r="A77" s="4" t="str">
        <x:v>HK</x:v>
      </x:c>
      <x:c r="B77" s="4" t="str">
        <x:v>GDP</x:v>
      </x:c>
      <x:c r="C77" s="4" t="n">
        <x:v>2025</x:v>
      </x:c>
      <x:c r="D77" s="17" t="n">
        <x:v>427310000000</x:v>
      </x:c>
      <x:c r="E77" s="4" t="str">
        <x:v>USD</x:v>
      </x:c>
      <x:c r="F77" s="17" t="n">
        <x:v>1</x:v>
      </x:c>
      <x:c r="G77" s="4" t="str">
        <x:v>USD</x:v>
      </x:c>
      <x:c r="H77" s="17" t="n">
        <x:f>D77*F77</x:f>
        <x:v>427310000000</x:v>
      </x:c>
      <x:c r="I77" s="17" t="n">
        <x:f>INDEX($V$6:$V$19,MATCH(G77,$U$6:$U$19,0))</x:f>
        <x:v>1</x:v>
      </x:c>
      <x:c r="J77" s="36" t="n">
        <x:f>IF(I77&lt;=0,"無有效匯率",H77/I77)</x:f>
        <x:v>427310000000</x:v>
      </x:c>
      <x:c r="K77" s="4" t="str">
        <x:v>USD</x:v>
      </x:c>
      <x:c r="L77" s="36" t="n">
        <x:f>IF(OR(NOT(ISNUMBER(J77)),$V$6&lt;=0),"無有效匯率",J77*$V$6)</x:f>
        <x:v>13317671653000</x:v>
      </x:c>
      <x:c r="M77" s="4" t="str">
        <x:v>TWD</x:v>
      </x:c>
      <x:c r="N77" s="4" t="str">
        <x:v>MHK</x:v>
      </x:c>
      <x:c r="O77" s="4" t="str">
        <x:v>https://data.worldbank.org/country/hong-kong-sar-china</x:v>
      </x:c>
      <x:c r="P77" s="4" t="str">
        <x:v>X01</x:v>
      </x:c>
      <x:c r="Q77" s="4" t="str">
        <x:v>【示意】WDI 2025現價；頁面billion/trillion四捨五入值；獨立來源1；來源A級</x:v>
      </x:c>
      <x:c r="R77" s="4" t="str">
        <x:v>低</x:v>
      </x:c>
    </x:row>
    <x:row r="78" ht="38" customHeight="1">
      <x:c r="A78" s="4" t="str">
        <x:v>HK</x:v>
      </x:c>
      <x:c r="B78" s="4" t="str">
        <x:v>香港商辦裝修成本</x:v>
      </x:c>
      <x:c r="C78" s="4" t="n">
        <x:v>2026</x:v>
      </x:c>
      <x:c r="D78" s="20" t="n">
        <x:v>1722.2256666735555</x:v>
      </x:c>
      <x:c r="E78" s="4" t="str">
        <x:v>USD/m²</x:v>
      </x:c>
      <x:c r="F78" s="17" t="n">
        <x:v>1</x:v>
      </x:c>
      <x:c r="G78" s="4" t="str">
        <x:v>USD</x:v>
      </x:c>
      <x:c r="H78" s="20" t="n">
        <x:f>D78*F78</x:f>
        <x:v>1722.2256666735555</x:v>
      </x:c>
      <x:c r="I78" s="17" t="n">
        <x:f>INDEX($V$6:$V$19,MATCH(G78,$U$6:$U$19,0))</x:f>
        <x:v>1</x:v>
      </x:c>
      <x:c r="J78" s="36" t="n">
        <x:f>IF(I78&lt;=0,"無有效匯率",H78/I78)</x:f>
        <x:v>1722.2256666735555</x:v>
      </x:c>
      <x:c r="K78" s="4" t="str">
        <x:v>USD/m²</x:v>
      </x:c>
      <x:c r="L78" s="36" t="n">
        <x:f>IF(OR(NOT(ISNUMBER(J78)),$V$6&lt;=0),"無有效匯率",J78*$V$6)</x:f>
        <x:v>53675.40179524803</x:v>
      </x:c>
      <x:c r="M78" s="4" t="str">
        <x:v>TWD/m²</x:v>
      </x:c>
      <x:c r="N78" s="4" t="str">
        <x:v>X02</x:v>
      </x:c>
      <x:c r="O78" s="4" t="str">
        <x:v>https://digital.cushmanwakefield.com/fitoutcostguide-03-2026-apac-regional-en-content-pds-office/30-31/</x:v>
      </x:c>
      <x:c r="P78" s="4" t="str">
        <x:v>X01</x:v>
      </x:c>
      <x:c r="Q78" s="4" t="str">
        <x:v>【示意】C&amp;W 2026商辦fit-out，價格基準2025年12月；USD/ft²÷0.09290304，非住宅報價，報告自身匯率；獨立來源1；來源B級</x:v>
      </x:c>
      <x:c r="R78" s="4" t="str">
        <x:v>低</x:v>
      </x:c>
    </x:row>
    <x:row r="79" ht="38" customHeight="1">
      <x:c r="A79" s="4" t="str">
        <x:v>CN</x:v>
      </x:c>
      <x:c r="B79" s="4" t="str">
        <x:v>貝殼家裝家居季度收入</x:v>
      </x:c>
      <x:c r="C79" s="4" t="str">
        <x:v>2026Q2</x:v>
      </x:c>
      <x:c r="D79" s="17" t="n">
        <x:v>3200000000</x:v>
      </x:c>
      <x:c r="E79" s="4" t="str">
        <x:v>CNY</x:v>
      </x:c>
      <x:c r="F79" s="17" t="n">
        <x:v>1</x:v>
      </x:c>
      <x:c r="G79" s="4" t="str">
        <x:v>CNY</x:v>
      </x:c>
      <x:c r="H79" s="17" t="n">
        <x:f>D79*F79</x:f>
        <x:v>3200000000</x:v>
      </x:c>
      <x:c r="I79" s="35" t="n">
        <x:f>INDEX($V$6:$V$19,MATCH(G79,$U$6:$U$19,0))</x:f>
        <x:v>7.1875</x:v>
      </x:c>
      <x:c r="J79" s="36" t="n">
        <x:f>IF(I79&lt;=0,"無有效匯率",H79/I79)</x:f>
        <x:v>445217391.3043478</x:v>
      </x:c>
      <x:c r="K79" s="4" t="str">
        <x:v>USD</x:v>
      </x:c>
      <x:c r="L79" s="36" t="n">
        <x:f>IF(OR(NOT(ISNUMBER(J79)),$V$6&lt;=0),"無有效匯率",J79*$V$6)</x:f>
        <x:v>13875778782.608696</x:v>
      </x:c>
      <x:c r="M79" s="4" t="str">
        <x:v>TWD</x:v>
      </x:c>
      <x:c r="N79" s="4" t="str">
        <x:v>CN03</x:v>
      </x:c>
      <x:c r="O79" s="4" t="str">
        <x:v>https://investors.ke.com/zh-hans/news-releases/news-release-details/ke-holdings-inc-announces-second-quarter-2026-unaudited</x:v>
      </x:c>
      <x:c r="P79" s="4" t="str">
        <x:v>X01</x:v>
      </x:c>
      <x:c r="Q79" s="4" t="str">
        <x:v>【示意】含設計施工與家具家電，公告約數；獨立來源1；來源C級</x:v>
      </x:c>
      <x:c r="R79" s="4" t="str">
        <x:v>低</x:v>
      </x:c>
    </x:row>
    <x:row r="80" ht="38" customHeight="1">
      <x:c r="A80" s="4" t="str">
        <x:v>CN</x:v>
      </x:c>
      <x:c r="B80" s="4" t="str">
        <x:v>齊屹科技合併營收</x:v>
      </x:c>
      <x:c r="C80" s="4" t="n">
        <x:v>2024</x:v>
      </x:c>
      <x:c r="D80" s="17" t="n">
        <x:v>1055639000</x:v>
      </x:c>
      <x:c r="E80" s="4" t="str">
        <x:v>CNY</x:v>
      </x:c>
      <x:c r="F80" s="17" t="n">
        <x:v>1</x:v>
      </x:c>
      <x:c r="G80" s="4" t="str">
        <x:v>CNY</x:v>
      </x:c>
      <x:c r="H80" s="17" t="n">
        <x:f>D80*F80</x:f>
        <x:v>1055639000</x:v>
      </x:c>
      <x:c r="I80" s="35" t="n">
        <x:f>INDEX($V$6:$V$19,MATCH(G80,$U$6:$U$19,0))</x:f>
        <x:v>7.1875</x:v>
      </x:c>
      <x:c r="J80" s="36" t="n">
        <x:f>IF(I80&lt;=0,"無有效匯率",H80/I80)</x:f>
        <x:v>146871513.04347825</x:v>
      </x:c>
      <x:c r="K80" s="4" t="str">
        <x:v>USD</x:v>
      </x:c>
      <x:c r="L80" s="36" t="n">
        <x:f>IF(OR(NOT(ISNUMBER(J80)),$V$6&lt;=0),"無有效匯率",J80*$V$6)</x:f>
        <x:v>4577441636.966956</x:v>
      </x:c>
      <x:c r="M80" s="4" t="str">
        <x:v>TWD</x:v>
      </x:c>
      <x:c r="N80" s="4" t="str">
        <x:v>CN04</x:v>
      </x:c>
      <x:c r="O80" s="4" t="str">
        <x:v>https://www1.hkexnews.hk/listedco/listconews/sehk/2025/0425/2025042501676_c.pdf</x:v>
      </x:c>
      <x:c r="P80" s="4" t="str">
        <x:v>X01</x:v>
      </x:c>
      <x:c r="Q80" s="4" t="str">
        <x:v>【示意】SaaS行銷+室內設計施工+其他；獨立來源1；來源A級</x:v>
      </x:c>
      <x:c r="R80" s="4" t="str">
        <x:v>低</x:v>
      </x:c>
    </x:row>
    <x:row r="81" ht="38" customHeight="1">
      <x:c r="A81" s="4" t="str">
        <x:v>CN</x:v>
      </x:c>
      <x:c r="B81" s="4" t="str">
        <x:v>齊屹SaaS及行銷營收</x:v>
      </x:c>
      <x:c r="C81" s="4" t="n">
        <x:v>2024</x:v>
      </x:c>
      <x:c r="D81" s="17" t="n">
        <x:v>333709000</x:v>
      </x:c>
      <x:c r="E81" s="4" t="str">
        <x:v>CNY</x:v>
      </x:c>
      <x:c r="F81" s="17" t="n">
        <x:v>1</x:v>
      </x:c>
      <x:c r="G81" s="4" t="str">
        <x:v>CNY</x:v>
      </x:c>
      <x:c r="H81" s="17" t="n">
        <x:f>D81*F81</x:f>
        <x:v>333709000</x:v>
      </x:c>
      <x:c r="I81" s="35" t="n">
        <x:f>INDEX($V$6:$V$19,MATCH(G81,$U$6:$U$19,0))</x:f>
        <x:v>7.1875</x:v>
      </x:c>
      <x:c r="J81" s="36" t="n">
        <x:f>IF(I81&lt;=0,"無有效匯率",H81/I81)</x:f>
        <x:v>46429078.26086956</x:v>
      </x:c>
      <x:c r="K81" s="4" t="str">
        <x:v>USD</x:v>
      </x:c>
      <x:c r="L81" s="36" t="n">
        <x:f>IF(OR(NOT(ISNUMBER(J81)),$V$6&lt;=0),"無有效匯率",J81*$V$6)</x:f>
        <x:v>1447022581.801739</x:v>
      </x:c>
      <x:c r="M81" s="4" t="str">
        <x:v>TWD</x:v>
      </x:c>
      <x:c r="N81" s="4" t="str">
        <x:v>CN04</x:v>
      </x:c>
      <x:c r="O81" s="4" t="str">
        <x:v>https://www1.hkexnews.hk/listedco/listconews/sehk/2025/0425/2025042501676_c.pdf</x:v>
      </x:c>
      <x:c r="P81" s="4" t="str">
        <x:v>X01</x:v>
      </x:c>
      <x:c r="Q81" s="4" t="str">
        <x:v>【示意】平台線索變現，非施工總交易額；獨立來源1；來源A級</x:v>
      </x:c>
      <x:c r="R81" s="4" t="str">
        <x:v>低</x:v>
      </x:c>
    </x:row>
    <x:row r="82" ht="38" customHeight="1">
      <x:c r="A82" s="4" t="str">
        <x:v>CN</x:v>
      </x:c>
      <x:c r="B82" s="4" t="str">
        <x:v>齊屹設計施工營收</x:v>
      </x:c>
      <x:c r="C82" s="4" t="n">
        <x:v>2024</x:v>
      </x:c>
      <x:c r="D82" s="17" t="n">
        <x:v>665184000</x:v>
      </x:c>
      <x:c r="E82" s="4" t="str">
        <x:v>CNY</x:v>
      </x:c>
      <x:c r="F82" s="17" t="n">
        <x:v>1</x:v>
      </x:c>
      <x:c r="G82" s="4" t="str">
        <x:v>CNY</x:v>
      </x:c>
      <x:c r="H82" s="17" t="n">
        <x:f>D82*F82</x:f>
        <x:v>665184000</x:v>
      </x:c>
      <x:c r="I82" s="35" t="n">
        <x:f>INDEX($V$6:$V$19,MATCH(G82,$U$6:$U$19,0))</x:f>
        <x:v>7.1875</x:v>
      </x:c>
      <x:c r="J82" s="36" t="n">
        <x:f>IF(I82&lt;=0,"無有效匯率",H82/I82)</x:f>
        <x:v>92547339.13043478</x:v>
      </x:c>
      <x:c r="K82" s="4" t="str">
        <x:v>USD</x:v>
      </x:c>
      <x:c r="L82" s="36" t="n">
        <x:f>IF(OR(NOT(ISNUMBER(J82)),$V$6&lt;=0),"無有效匯率",J82*$V$6)</x:f>
        <x:v>2884358135.5408697</x:v>
      </x:c>
      <x:c r="M82" s="4" t="str">
        <x:v>TWD</x:v>
      </x:c>
      <x:c r="N82" s="4" t="str">
        <x:v>CN04</x:v>
      </x:c>
      <x:c r="O82" s="4" t="str">
        <x:v>https://www1.hkexnews.hk/listedco/listconews/sehk/2025/0425/2025042501676_c.pdf</x:v>
      </x:c>
      <x:c r="P82" s="4" t="str">
        <x:v>X01</x:v>
      </x:c>
      <x:c r="Q82" s="4" t="str">
        <x:v>【示意】公司分部，不是中國純設計市場；獨立來源1；來源A級</x:v>
      </x:c>
      <x:c r="R82" s="4" t="str">
        <x:v>低</x:v>
      </x:c>
    </x:row>
    <x:row r="83" ht="38" customHeight="1">
      <x:c r="A83" s="4" t="str">
        <x:v>CN</x:v>
      </x:c>
      <x:c r="B83" s="4" t="str">
        <x:v>齊屹每條線索平均收入</x:v>
      </x:c>
      <x:c r="C83" s="4" t="n">
        <x:v>2024</x:v>
      </x:c>
      <x:c r="D83" s="17" t="n">
        <x:v>527</x:v>
      </x:c>
      <x:c r="E83" s="4" t="str">
        <x:v>CNY/條</x:v>
      </x:c>
      <x:c r="F83" s="17" t="n">
        <x:v>1</x:v>
      </x:c>
      <x:c r="G83" s="4" t="str">
        <x:v>CNY</x:v>
      </x:c>
      <x:c r="H83" s="17" t="n">
        <x:f>D83*F83</x:f>
        <x:v>527</x:v>
      </x:c>
      <x:c r="I83" s="35" t="n">
        <x:f>INDEX($V$6:$V$19,MATCH(G83,$U$6:$U$19,0))</x:f>
        <x:v>7.1875</x:v>
      </x:c>
      <x:c r="J83" s="36" t="n">
        <x:f>IF(I83&lt;=0,"無有效匯率",H83/I83)</x:f>
        <x:v>73.32173913043478</x:v>
      </x:c>
      <x:c r="K83" s="4" t="str">
        <x:v>USD/條</x:v>
      </x:c>
      <x:c r="L83" s="36" t="n">
        <x:f>IF(OR(NOT(ISNUMBER(J83)),$V$6&lt;=0),"無有效匯率",J83*$V$6)</x:f>
        <x:v>2285.1673182608693</x:v>
      </x:c>
      <x:c r="M83" s="4" t="str">
        <x:v>TWD/條</x:v>
      </x:c>
      <x:c r="N83" s="4" t="str">
        <x:v>CN04</x:v>
      </x:c>
      <x:c r="O83" s="4" t="str">
        <x:v>https://www1.hkexnews.hk/listedco/listconews/sehk/2025/0425/2025042501676_c.pdf</x:v>
      </x:c>
      <x:c r="P83" s="4" t="str">
        <x:v>X01</x:v>
      </x:c>
      <x:c r="Q83" s="4" t="str">
        <x:v>【示意】SaaS及行銷收入除銷售線索，非成交獲客成本；獨立來源1；來源A級</x:v>
      </x:c>
      <x:c r="R83" s="4" t="str">
        <x:v>低</x:v>
      </x:c>
    </x:row>
    <x:row r="84" ht="38" customHeight="1">
      <x:c r="A84" s="4" t="str">
        <x:v>CN</x:v>
      </x:c>
      <x:c r="B84" s="4" t="str">
        <x:v>齊屹經營現金流量淨額</x:v>
      </x:c>
      <x:c r="C84" s="4" t="n">
        <x:v>2024</x:v>
      </x:c>
      <x:c r="D84" s="17" t="n">
        <x:v>-66301000</x:v>
      </x:c>
      <x:c r="E84" s="4" t="str">
        <x:v>CNY</x:v>
      </x:c>
      <x:c r="F84" s="17" t="n">
        <x:v>1</x:v>
      </x:c>
      <x:c r="G84" s="4" t="str">
        <x:v>CNY</x:v>
      </x:c>
      <x:c r="H84" s="17" t="n">
        <x:f>D84*F84</x:f>
        <x:v>-66301000</x:v>
      </x:c>
      <x:c r="I84" s="35" t="n">
        <x:f>INDEX($V$6:$V$19,MATCH(G84,$U$6:$U$19,0))</x:f>
        <x:v>7.1875</x:v>
      </x:c>
      <x:c r="J84" s="36" t="n">
        <x:f>IF(I84&lt;=0,"無有效匯率",H84/I84)</x:f>
        <x:v>-9224486.956521738</x:v>
      </x:c>
      <x:c r="K84" s="4" t="str">
        <x:v>USD</x:v>
      </x:c>
      <x:c r="L84" s="36" t="n">
        <x:f>IF(OR(NOT(ISNUMBER(J84)),$V$6&lt;=0),"無有效匯率",J84*$V$6)</x:f>
        <x:v>-287493127.83304346</x:v>
      </x:c>
      <x:c r="M84" s="4" t="str">
        <x:v>TWD</x:v>
      </x:c>
      <x:c r="N84" s="4" t="str">
        <x:v>CN04</x:v>
      </x:c>
      <x:c r="O84" s="4" t="str">
        <x:v>https://www1.hkexnews.hk/listedco/listconews/sehk/2025/0425/2025042501676_c.pdf</x:v>
      </x:c>
      <x:c r="P84" s="4" t="str">
        <x:v>X01</x:v>
      </x:c>
      <x:c r="Q84" s="4" t="str">
        <x:v>【示意】合併經營現金流，非破產證據；獨立來源1；來源A級</x:v>
      </x:c>
      <x:c r="R84" s="4" t="str">
        <x:v>低</x:v>
      </x:c>
    </x:row>
    <x:row r="85" ht="38" customHeight="1">
      <x:c r="A85" s="4" t="str">
        <x:v>CN</x:v>
      </x:c>
      <x:c r="B85" s="4" t="str">
        <x:v>齊屹權益持有人應佔虧損</x:v>
      </x:c>
      <x:c r="C85" s="4" t="n">
        <x:v>2024</x:v>
      </x:c>
      <x:c r="D85" s="17" t="n">
        <x:v>-126957000</x:v>
      </x:c>
      <x:c r="E85" s="4" t="str">
        <x:v>CNY</x:v>
      </x:c>
      <x:c r="F85" s="17" t="n">
        <x:v>1</x:v>
      </x:c>
      <x:c r="G85" s="4" t="str">
        <x:v>CNY</x:v>
      </x:c>
      <x:c r="H85" s="17" t="n">
        <x:f>D85*F85</x:f>
        <x:v>-126957000</x:v>
      </x:c>
      <x:c r="I85" s="35" t="n">
        <x:f>INDEX($V$6:$V$19,MATCH(G85,$U$6:$U$19,0))</x:f>
        <x:v>7.1875</x:v>
      </x:c>
      <x:c r="J85" s="36" t="n">
        <x:f>IF(I85&lt;=0,"無有效匯率",H85/I85)</x:f>
        <x:v>-17663582.608695652</x:v>
      </x:c>
      <x:c r="K85" s="4" t="str">
        <x:v>USD</x:v>
      </x:c>
      <x:c r="L85" s="36" t="n">
        <x:f>IF(OR(NOT(ISNUMBER(J85)),$V$6&lt;=0),"無有效匯率",J85*$V$6)</x:f>
        <x:v>-550508514.6573913</x:v>
      </x:c>
      <x:c r="M85" s="4" t="str">
        <x:v>TWD</x:v>
      </x:c>
      <x:c r="N85" s="4" t="str">
        <x:v>CN04</x:v>
      </x:c>
      <x:c r="O85" s="4" t="str">
        <x:v>https://www1.hkexnews.hk/listedco/listconews/sehk/2025/0425/2025042501676_c.pdf</x:v>
      </x:c>
      <x:c r="P85" s="4" t="str">
        <x:v>X01</x:v>
      </x:c>
      <x:c r="Q85" s="4" t="str">
        <x:v>【示意】IFRS經審核淨虧損；獨立來源1；來源A級</x:v>
      </x:c>
      <x:c r="R85" s="4" t="str">
        <x:v>低</x:v>
      </x:c>
    </x:row>
    <x:row r="86" ht="38" customHeight="1">
      <x:c r="A86" s="4" t="str">
        <x:v>CN</x:v>
      </x:c>
      <x:c r="B86" s="4" t="str">
        <x:v>歐派家居營收</x:v>
      </x:c>
      <x:c r="C86" s="4" t="n">
        <x:v>2025</x:v>
      </x:c>
      <x:c r="D86" s="18" t="n">
        <x:v>17232089820.26</x:v>
      </x:c>
      <x:c r="E86" s="4" t="str">
        <x:v>CNY</x:v>
      </x:c>
      <x:c r="F86" s="17" t="n">
        <x:v>1</x:v>
      </x:c>
      <x:c r="G86" s="4" t="str">
        <x:v>CNY</x:v>
      </x:c>
      <x:c r="H86" s="18" t="n">
        <x:f>D86*F86</x:f>
        <x:v>17232089820.26</x:v>
      </x:c>
      <x:c r="I86" s="35" t="n">
        <x:f>INDEX($V$6:$V$19,MATCH(G86,$U$6:$U$19,0))</x:f>
        <x:v>7.1875</x:v>
      </x:c>
      <x:c r="J86" s="36" t="n">
        <x:f>IF(I86&lt;=0,"無有效匯率",H86/I86)</x:f>
        <x:v>2397508148.905739</x:v>
      </x:c>
      <x:c r="K86" s="4" t="str">
        <x:v>USD</x:v>
      </x:c>
      <x:c r="L86" s="36" t="n">
        <x:f>IF(OR(NOT(ISNUMBER(J86)),$V$6&lt;=0),"無有效匯率",J86*$V$6)</x:f>
        <x:v>74721458221.24092</x:v>
      </x:c>
      <x:c r="M86" s="4" t="str">
        <x:v>TWD</x:v>
      </x:c>
      <x:c r="N86" s="4" t="str">
        <x:v>CN08</x:v>
      </x:c>
      <x:c r="O86" s="4" t="str">
        <x:v>https://vip.stock.finance.sina.com.cn/corp/view/vCB_AllBulletinDetail.php?id=12179735&amp;stockid=603833</x:v>
      </x:c>
      <x:c r="P86" s="4" t="str">
        <x:v>X01</x:v>
      </x:c>
      <x:c r="Q86" s="4" t="str">
        <x:v>【示意】家具製造與家居整合，非裝修施工產值；獨立來源1；來源A級</x:v>
      </x:c>
      <x:c r="R86" s="4" t="str">
        <x:v>低</x:v>
      </x:c>
    </x:row>
    <x:row r="87" ht="38" customHeight="1">
      <x:c r="A87" s="4" t="str">
        <x:v>CN</x:v>
      </x:c>
      <x:c r="B87" s="4" t="str">
        <x:v>歐派家居經營現金流</x:v>
      </x:c>
      <x:c r="C87" s="4" t="n">
        <x:v>2025</x:v>
      </x:c>
      <x:c r="D87" s="19" t="n">
        <x:v>3397112444.5</x:v>
      </x:c>
      <x:c r="E87" s="4" t="str">
        <x:v>CNY</x:v>
      </x:c>
      <x:c r="F87" s="17" t="n">
        <x:v>1</x:v>
      </x:c>
      <x:c r="G87" s="4" t="str">
        <x:v>CNY</x:v>
      </x:c>
      <x:c r="H87" s="19" t="n">
        <x:f>D87*F87</x:f>
        <x:v>3397112444.5</x:v>
      </x:c>
      <x:c r="I87" s="35" t="n">
        <x:f>INDEX($V$6:$V$19,MATCH(G87,$U$6:$U$19,0))</x:f>
        <x:v>7.1875</x:v>
      </x:c>
      <x:c r="J87" s="36" t="n">
        <x:f>IF(I87&lt;=0,"無有效匯率",H87/I87)</x:f>
        <x:v>472641731.40869564</x:v>
      </x:c>
      <x:c r="K87" s="4" t="str">
        <x:v>USD</x:v>
      </x:c>
      <x:c r="L87" s="36" t="n">
        <x:f>IF(OR(NOT(ISNUMBER(J87)),$V$6&lt;=0),"無有效匯率",J87*$V$6)</x:f>
        <x:v>14730493993.60283</x:v>
      </x:c>
      <x:c r="M87" s="4" t="str">
        <x:v>TWD</x:v>
      </x:c>
      <x:c r="N87" s="4" t="str">
        <x:v>CN08</x:v>
      </x:c>
      <x:c r="O87" s="4" t="str">
        <x:v>https://vip.stock.finance.sina.com.cn/corp/view/vCB_AllBulletinDetail.php?id=12179735&amp;stockid=603833</x:v>
      </x:c>
      <x:c r="P87" s="4" t="str">
        <x:v>X01</x:v>
      </x:c>
      <x:c r="Q87" s="4" t="str">
        <x:v>【示意】合併；獨立來源1；來源A級</x:v>
      </x:c>
      <x:c r="R87" s="4" t="str">
        <x:v>低</x:v>
      </x:c>
    </x:row>
    <x:row r="88" ht="38" customHeight="1">
      <x:c r="A88" s="4" t="str">
        <x:v>CN</x:v>
      </x:c>
      <x:c r="B88" s="4" t="str">
        <x:v>金螳螂營收</x:v>
      </x:c>
      <x:c r="C88" s="4" t="n">
        <x:v>2024</x:v>
      </x:c>
      <x:c r="D88" s="18" t="n">
        <x:v>18329220950.08</x:v>
      </x:c>
      <x:c r="E88" s="4" t="str">
        <x:v>CNY</x:v>
      </x:c>
      <x:c r="F88" s="17" t="n">
        <x:v>1</x:v>
      </x:c>
      <x:c r="G88" s="4" t="str">
        <x:v>CNY</x:v>
      </x:c>
      <x:c r="H88" s="18" t="n">
        <x:f>D88*F88</x:f>
        <x:v>18329220950.08</x:v>
      </x:c>
      <x:c r="I88" s="35" t="n">
        <x:f>INDEX($V$6:$V$19,MATCH(G88,$U$6:$U$19,0))</x:f>
        <x:v>7.1875</x:v>
      </x:c>
      <x:c r="J88" s="36" t="n">
        <x:f>IF(I88&lt;=0,"無有效匯率",H88/I88)</x:f>
        <x:v>2550152480.011131</x:v>
      </x:c>
      <x:c r="K88" s="4" t="str">
        <x:v>USD</x:v>
      </x:c>
      <x:c r="L88" s="36" t="n">
        <x:f>IF(OR(NOT(ISNUMBER(J88)),$V$6&lt;=0),"無有效匯率",J88*$V$6)</x:f>
        <x:v>79478817237.7709</x:v>
      </x:c>
      <x:c r="M88" s="4" t="str">
        <x:v>TWD</x:v>
      </x:c>
      <x:c r="N88" s="4" t="str">
        <x:v>CN09</x:v>
      </x:c>
      <x:c r="O88" s="4" t="str">
        <x:v>https://money.finance.sina.com.cn/corp/view/vCB_AllBulletinDetail.php?id=11046631&amp;stockid=002081</x:v>
      </x:c>
      <x:c r="P88" s="4" t="str">
        <x:v>X01</x:v>
      </x:c>
      <x:c r="Q88" s="4" t="str">
        <x:v>【示意】含公裝、住宅、幕牆等合併，非住宅翻修；獨立來源1；來源A級</x:v>
      </x:c>
      <x:c r="R88" s="4" t="str">
        <x:v>低</x:v>
      </x:c>
    </x:row>
    <x:row r="89" ht="38" customHeight="1">
      <x:c r="A89" s="4" t="str">
        <x:v>CN</x:v>
      </x:c>
      <x:c r="B89" s="4" t="str">
        <x:v>金螳螂全年經營現金流</x:v>
      </x:c>
      <x:c r="C89" s="4" t="n">
        <x:v>2024</x:v>
      </x:c>
      <x:c r="D89" s="18" t="n">
        <x:v>404600512.55</x:v>
      </x:c>
      <x:c r="E89" s="4" t="str">
        <x:v>CNY</x:v>
      </x:c>
      <x:c r="F89" s="17" t="n">
        <x:v>1</x:v>
      </x:c>
      <x:c r="G89" s="4" t="str">
        <x:v>CNY</x:v>
      </x:c>
      <x:c r="H89" s="18" t="n">
        <x:f>D89*F89</x:f>
        <x:v>404600512.55</x:v>
      </x:c>
      <x:c r="I89" s="35" t="n">
        <x:f>INDEX($V$6:$V$19,MATCH(G89,$U$6:$U$19,0))</x:f>
        <x:v>7.1875</x:v>
      </x:c>
      <x:c r="J89" s="36" t="n">
        <x:f>IF(I89&lt;=0,"無有效匯率",H89/I89)</x:f>
        <x:v>56292245.22434783</x:v>
      </x:c>
      <x:c r="K89" s="4" t="str">
        <x:v>USD</x:v>
      </x:c>
      <x:c r="L89" s="36" t="n">
        <x:f>IF(OR(NOT(ISNUMBER(J89)),$V$6&lt;=0),"無有效匯率",J89*$V$6)</x:f>
        <x:v>1754421002.3355918</x:v>
      </x:c>
      <x:c r="M89" s="4" t="str">
        <x:v>TWD</x:v>
      </x:c>
      <x:c r="N89" s="4" t="str">
        <x:v>CN09</x:v>
      </x:c>
      <x:c r="O89" s="4" t="str">
        <x:v>https://money.finance.sina.com.cn/corp/view/vCB_AllBulletinDetail.php?id=11046631&amp;stockid=002081</x:v>
      </x:c>
      <x:c r="P89" s="4" t="str">
        <x:v>X01</x:v>
      </x:c>
      <x:c r="Q89" s="4" t="str">
        <x:v>【示意】全年正值不代表各季均正；獨立來源1；來源A級</x:v>
      </x:c>
      <x:c r="R89" s="4" t="str">
        <x:v>低</x:v>
      </x:c>
    </x:row>
    <x:row r="90" ht="38" customHeight="1">
      <x:c r="A90" s="4" t="str">
        <x:v>CN</x:v>
      </x:c>
      <x:c r="B90" s="4" t="str">
        <x:v>金螳螂第一季經營現金流</x:v>
      </x:c>
      <x:c r="C90" s="4" t="str">
        <x:v>2024Q1</x:v>
      </x:c>
      <x:c r="D90" s="18" t="n">
        <x:v>-1585213082.85</x:v>
      </x:c>
      <x:c r="E90" s="4" t="str">
        <x:v>CNY</x:v>
      </x:c>
      <x:c r="F90" s="17" t="n">
        <x:v>1</x:v>
      </x:c>
      <x:c r="G90" s="4" t="str">
        <x:v>CNY</x:v>
      </x:c>
      <x:c r="H90" s="18" t="n">
        <x:f>D90*F90</x:f>
        <x:v>-1585213082.85</x:v>
      </x:c>
      <x:c r="I90" s="35" t="n">
        <x:f>INDEX($V$6:$V$19,MATCH(G90,$U$6:$U$19,0))</x:f>
        <x:v>7.1875</x:v>
      </x:c>
      <x:c r="J90" s="36" t="n">
        <x:f>IF(I90&lt;=0,"無有效匯率",H90/I90)</x:f>
        <x:v>-220551385.44</x:v>
      </x:c>
      <x:c r="K90" s="4" t="str">
        <x:v>USD</x:v>
      </x:c>
      <x:c r="L90" s="36" t="n">
        <x:f>IF(OR(NOT(ISNUMBER(J90)),$V$6&lt;=0),"無有效匯率",J90*$V$6)</x:f>
        <x:v>-6873770644.0386715</x:v>
      </x:c>
      <x:c r="M90" s="4" t="str">
        <x:v>TWD</x:v>
      </x:c>
      <x:c r="N90" s="4" t="str">
        <x:v>CN09</x:v>
      </x:c>
      <x:c r="O90" s="4" t="str">
        <x:v>https://money.finance.sina.com.cn/corp/view/vCB_AllBulletinDetail.php?id=11046631&amp;stockid=002081</x:v>
      </x:c>
      <x:c r="P90" s="4" t="str">
        <x:v>X01</x:v>
      </x:c>
      <x:c r="Q90" s="4" t="str">
        <x:v>【示意】同年第一季，展示季節資金壓力；獨立來源1；來源A級</x:v>
      </x:c>
      <x:c r="R90" s="4" t="str">
        <x:v>低</x:v>
      </x:c>
    </x:row>
    <x:row r="91" ht="30" customHeight="1">
      <x:c r="A91" s="4" t="str">
        <x:v>CN</x:v>
      </x:c>
      <x:c r="B91" s="4" t="str">
        <x:v>金螳螂營收</x:v>
      </x:c>
      <x:c r="C91" s="4" t="str">
        <x:v>2026H1</x:v>
      </x:c>
      <x:c r="D91" s="18" t="n">
        <x:v>8091209954.22</x:v>
      </x:c>
      <x:c r="E91" s="4" t="str">
        <x:v>CNY</x:v>
      </x:c>
      <x:c r="F91" s="17" t="n">
        <x:v>1</x:v>
      </x:c>
      <x:c r="G91" s="4" t="str">
        <x:v>CNY</x:v>
      </x:c>
      <x:c r="H91" s="18" t="n">
        <x:f>D91*F91</x:f>
        <x:v>8091209954.22</x:v>
      </x:c>
      <x:c r="I91" s="35" t="n">
        <x:f>INDEX($V$6:$V$19,MATCH(G91,$U$6:$U$19,0))</x:f>
        <x:v>7.1875</x:v>
      </x:c>
      <x:c r="J91" s="36" t="n">
        <x:f>IF(I91&lt;=0,"無有效匯率",H91/I91)</x:f>
        <x:v>1125733558.848</x:v>
      </x:c>
      <x:c r="K91" s="4" t="str">
        <x:v>USD</x:v>
      </x:c>
      <x:c r="L91" s="36" t="n">
        <x:f>IF(OR(NOT(ISNUMBER(J91)),$V$6&lt;=0),"無有效匯率",J91*$V$6)</x:f>
        <x:v>35084949815.12442</x:v>
      </x:c>
      <x:c r="M91" s="4" t="str">
        <x:v>TWD</x:v>
      </x:c>
      <x:c r="N91" s="4" t="str">
        <x:v>CN12</x:v>
      </x:c>
      <x:c r="O91" s="4" t="str">
        <x:v>https://static.cninfo.com.cn/finalpage/2026-08-26/1225501659.PDF</x:v>
      </x:c>
      <x:c r="P91" s="4" t="str">
        <x:v>X01</x:v>
      </x:c>
      <x:c r="Q91" s="4" t="str">
        <x:v>【示意】半年度合併；獨立來源1；來源A級</x:v>
      </x:c>
      <x:c r="R91" s="4" t="str">
        <x:v>低</x:v>
      </x:c>
    </x:row>
    <x:row r="92" ht="38" customHeight="1">
      <x:c r="A92" s="4" t="str">
        <x:v>CN</x:v>
      </x:c>
      <x:c r="B92" s="4" t="str">
        <x:v>貝殼家裝家居全年收入</x:v>
      </x:c>
      <x:c r="C92" s="4" t="n">
        <x:v>2025</x:v>
      </x:c>
      <x:c r="D92" s="17" t="n">
        <x:v>15400000000</x:v>
      </x:c>
      <x:c r="E92" s="4" t="str">
        <x:v>CNY</x:v>
      </x:c>
      <x:c r="F92" s="17" t="n">
        <x:v>1</x:v>
      </x:c>
      <x:c r="G92" s="4" t="str">
        <x:v>CNY</x:v>
      </x:c>
      <x:c r="H92" s="17" t="n">
        <x:f>D92*F92</x:f>
        <x:v>15400000000</x:v>
      </x:c>
      <x:c r="I92" s="35" t="n">
        <x:f>INDEX($V$6:$V$19,MATCH(G92,$U$6:$U$19,0))</x:f>
        <x:v>7.1875</x:v>
      </x:c>
      <x:c r="J92" s="36" t="n">
        <x:f>IF(I92&lt;=0,"無有效匯率",H92/I92)</x:f>
        <x:v>2142608695.652174</x:v>
      </x:c>
      <x:c r="K92" s="4" t="str">
        <x:v>USD</x:v>
      </x:c>
      <x:c r="L92" s="36" t="n">
        <x:f>IF(OR(NOT(ISNUMBER(J92)),$V$6&lt;=0),"無有效匯率",J92*$V$6)</x:f>
        <x:v>66777185391.30435</x:v>
      </x:c>
      <x:c r="M92" s="4" t="str">
        <x:v>TWD</x:v>
      </x:c>
      <x:c r="N92" s="4" t="str">
        <x:v>CN13</x:v>
      </x:c>
      <x:c r="O92" s="4" t="str">
        <x:v>https://investors.ke.com/news-releases/news-release-details/ke-holdings-inc-announces-fourth-quarter-and-fiscal-year-2025</x:v>
      </x:c>
      <x:c r="P92" s="4" t="str">
        <x:v>X01</x:v>
      </x:c>
      <x:c r="Q92" s="4" t="str">
        <x:v>【示意】家装家居分部，含施工與家居銷售，公告約數；獨立來源1；來源C級</x:v>
      </x:c>
      <x:c r="R92" s="4" t="str">
        <x:v>低</x:v>
      </x:c>
    </x:row>
    <x:row r="93" ht="38" customHeight="1">
      <x:c r="A93" s="4" t="str">
        <x:v>CN</x:v>
      </x:c>
      <x:c r="B93" s="4" t="str">
        <x:v>貝殼家裝家居全年收入</x:v>
      </x:c>
      <x:c r="C93" s="4" t="n">
        <x:v>2024</x:v>
      </x:c>
      <x:c r="D93" s="17" t="n">
        <x:v>14800000000</x:v>
      </x:c>
      <x:c r="E93" s="4" t="str">
        <x:v>CNY</x:v>
      </x:c>
      <x:c r="F93" s="17" t="n">
        <x:v>1</x:v>
      </x:c>
      <x:c r="G93" s="4" t="str">
        <x:v>CNY</x:v>
      </x:c>
      <x:c r="H93" s="17" t="n">
        <x:f>D93*F93</x:f>
        <x:v>14800000000</x:v>
      </x:c>
      <x:c r="I93" s="35" t="n">
        <x:f>INDEX($V$6:$V$19,MATCH(G93,$U$6:$U$19,0))</x:f>
        <x:v>7.1875</x:v>
      </x:c>
      <x:c r="J93" s="36" t="n">
        <x:f>IF(I93&lt;=0,"無有效匯率",H93/I93)</x:f>
        <x:v>2059130434.7826087</x:v>
      </x:c>
      <x:c r="K93" s="4" t="str">
        <x:v>USD</x:v>
      </x:c>
      <x:c r="L93" s="36" t="n">
        <x:f>IF(OR(NOT(ISNUMBER(J93)),$V$6&lt;=0),"無有效匯率",J93*$V$6)</x:f>
        <x:v>64175476869.565216</x:v>
      </x:c>
      <x:c r="M93" s="4" t="str">
        <x:v>TWD</x:v>
      </x:c>
      <x:c r="N93" s="4" t="str">
        <x:v>CN13</x:v>
      </x:c>
      <x:c r="O93" s="4" t="str">
        <x:v>https://investors.ke.com/news-releases/news-release-details/ke-holdings-inc-announces-fourth-quarter-and-fiscal-year-2025</x:v>
      </x:c>
      <x:c r="P93" s="4" t="str">
        <x:v>X01</x:v>
      </x:c>
      <x:c r="Q93" s="4" t="str">
        <x:v>【示意】家装家居分部，含施工與家居銷售，公告約數；獨立來源1；來源C級</x:v>
      </x:c>
      <x:c r="R93" s="4" t="str">
        <x:v>低</x:v>
      </x:c>
    </x:row>
    <x:row r="94" ht="38" customHeight="1">
      <x:c r="A94" s="4" t="str">
        <x:v>CN</x:v>
      </x:c>
      <x:c r="B94" s="4" t="str">
        <x:v>人均GDP</x:v>
      </x:c>
      <x:c r="C94" s="4" t="n">
        <x:v>2025</x:v>
      </x:c>
      <x:c r="D94" s="17" t="n">
        <x:v>13862</x:v>
      </x:c>
      <x:c r="E94" s="4" t="str">
        <x:v>USD/人</x:v>
      </x:c>
      <x:c r="F94" s="17" t="n">
        <x:v>1</x:v>
      </x:c>
      <x:c r="G94" s="4" t="str">
        <x:v>USD</x:v>
      </x:c>
      <x:c r="H94" s="17" t="n">
        <x:f>D94*F94</x:f>
        <x:v>13862</x:v>
      </x:c>
      <x:c r="I94" s="17" t="n">
        <x:f>INDEX($V$6:$V$19,MATCH(G94,$U$6:$U$19,0))</x:f>
        <x:v>1</x:v>
      </x:c>
      <x:c r="J94" s="36" t="n">
        <x:f>IF(I94&lt;=0,"無有效匯率",H94/I94)</x:f>
        <x:v>13862</x:v>
      </x:c>
      <x:c r="K94" s="4" t="str">
        <x:v>USD/人</x:v>
      </x:c>
      <x:c r="L94" s="36" t="n">
        <x:f>IF(OR(NOT(ISNUMBER(J94)),$V$6&lt;=0),"無有效匯率",J94*$V$6)</x:f>
        <x:v>432027.25059999997</x:v>
      </x:c>
      <x:c r="M94" s="4" t="str">
        <x:v>TWD/人</x:v>
      </x:c>
      <x:c r="N94" s="4" t="str">
        <x:v>MCN</x:v>
      </x:c>
      <x:c r="O94" s="4" t="str">
        <x:v>https://data.worldbank.org/country/china</x:v>
      </x:c>
      <x:c r="P94" s="4" t="str">
        <x:v>X01</x:v>
      </x:c>
      <x:c r="Q94" s="4" t="str">
        <x:v>【示意】名目、現價美元；WDI 2025歷史數列，可能修訂，非家庭可支配所得；獨立來源1；來源A級</x:v>
      </x:c>
      <x:c r="R94" s="4" t="str">
        <x:v>低</x:v>
      </x:c>
    </x:row>
    <x:row r="95" ht="30" customHeight="1">
      <x:c r="A95" s="4" t="str">
        <x:v>CN</x:v>
      </x:c>
      <x:c r="B95" s="4" t="str">
        <x:v>GDP</x:v>
      </x:c>
      <x:c r="C95" s="4" t="n">
        <x:v>2025</x:v>
      </x:c>
      <x:c r="D95" s="17" t="n">
        <x:v>19500000000000</x:v>
      </x:c>
      <x:c r="E95" s="4" t="str">
        <x:v>USD</x:v>
      </x:c>
      <x:c r="F95" s="17" t="n">
        <x:v>1</x:v>
      </x:c>
      <x:c r="G95" s="4" t="str">
        <x:v>USD</x:v>
      </x:c>
      <x:c r="H95" s="17" t="n">
        <x:f>D95*F95</x:f>
        <x:v>19500000000000</x:v>
      </x:c>
      <x:c r="I95" s="17" t="n">
        <x:f>INDEX($V$6:$V$19,MATCH(G95,$U$6:$U$19,0))</x:f>
        <x:v>1</x:v>
      </x:c>
      <x:c r="J95" s="36" t="n">
        <x:f>IF(I95&lt;=0,"無有效匯率",H95/I95)</x:f>
        <x:v>19500000000000</x:v>
      </x:c>
      <x:c r="K95" s="4" t="str">
        <x:v>USD</x:v>
      </x:c>
      <x:c r="L95" s="36" t="n">
        <x:f>IF(OR(NOT(ISNUMBER(J95)),$V$6&lt;=0),"無有效匯率",J95*$V$6)</x:f>
        <x:v>607742850000000</x:v>
      </x:c>
      <x:c r="M95" s="4" t="str">
        <x:v>TWD</x:v>
      </x:c>
      <x:c r="N95" s="4" t="str">
        <x:v>MCN</x:v>
      </x:c>
      <x:c r="O95" s="4" t="str">
        <x:v>https://data.worldbank.org/country/china</x:v>
      </x:c>
      <x:c r="P95" s="4" t="str">
        <x:v>X01</x:v>
      </x:c>
      <x:c r="Q95" s="4" t="str">
        <x:v>【示意】WDI 2025現價；頁面billion/trillion四捨五入值；獨立來源1；來源A級</x:v>
      </x:c>
      <x:c r="R95" s="4" t="str">
        <x:v>低</x:v>
      </x:c>
    </x:row>
    <x:row r="96" ht="38" customHeight="1">
      <x:c r="A96" s="4" t="str">
        <x:v>CN</x:v>
      </x:c>
      <x:c r="B96" s="4" t="str">
        <x:v>上海商辦裝修成本</x:v>
      </x:c>
      <x:c r="C96" s="4" t="n">
        <x:v>2026</x:v>
      </x:c>
      <x:c r="D96" s="20" t="n">
        <x:v>1033.3354000041334</x:v>
      </x:c>
      <x:c r="E96" s="4" t="str">
        <x:v>USD/m²</x:v>
      </x:c>
      <x:c r="F96" s="17" t="n">
        <x:v>1</x:v>
      </x:c>
      <x:c r="G96" s="4" t="str">
        <x:v>USD</x:v>
      </x:c>
      <x:c r="H96" s="20" t="n">
        <x:f>D96*F96</x:f>
        <x:v>1033.3354000041334</x:v>
      </x:c>
      <x:c r="I96" s="17" t="n">
        <x:f>INDEX($V$6:$V$19,MATCH(G96,$U$6:$U$19,0))</x:f>
        <x:v>1</x:v>
      </x:c>
      <x:c r="J96" s="36" t="n">
        <x:f>IF(I96&lt;=0,"無有效匯率",H96/I96)</x:f>
        <x:v>1033.3354000041334</x:v>
      </x:c>
      <x:c r="K96" s="4" t="str">
        <x:v>USD/m²</x:v>
      </x:c>
      <x:c r="L96" s="36" t="n">
        <x:f>IF(OR(NOT(ISNUMBER(J96)),$V$6&lt;=0),"無有效匯率",J96*$V$6)</x:f>
        <x:v>32205.24107714882</x:v>
      </x:c>
      <x:c r="M96" s="4" t="str">
        <x:v>TWD/m²</x:v>
      </x:c>
      <x:c r="N96" s="4" t="str">
        <x:v>X02</x:v>
      </x:c>
      <x:c r="O96" s="4" t="str">
        <x:v>https://digital.cushmanwakefield.com/fitoutcostguide-03-2026-apac-regional-en-content-pds-office/30-31/</x:v>
      </x:c>
      <x:c r="P96" s="4" t="str">
        <x:v>X01</x:v>
      </x:c>
      <x:c r="Q96" s="4" t="str">
        <x:v>【示意】C&amp;W 2026商辦fit-out，價格基準2025年12月；USD/ft²÷0.09290304，非住宅報價，報告自身匯率；獨立來源1；來源B級</x:v>
      </x:c>
      <x:c r="R96" s="4" t="str">
        <x:v>低</x:v>
      </x:c>
    </x:row>
    <x:row r="97" ht="30" customHeight="1">
      <x:c r="A97" s="4" t="str">
        <x:v>MY</x:v>
      </x:c>
      <x:c r="B97" s="4" t="str">
        <x:v>全體建築工程完成值</x:v>
      </x:c>
      <x:c r="C97" s="4" t="n">
        <x:v>2025</x:v>
      </x:c>
      <x:c r="D97" s="19" t="n">
        <x:v>178.6</x:v>
      </x:c>
      <x:c r="E97" s="4" t="str">
        <x:v>十億MYR</x:v>
      </x:c>
      <x:c r="F97" s="17" t="n">
        <x:v>1000000000</x:v>
      </x:c>
      <x:c r="G97" s="4" t="str">
        <x:v>MYR</x:v>
      </x:c>
      <x:c r="H97" s="17" t="n">
        <x:f>D97*F97</x:f>
        <x:v>178600000000</x:v>
      </x:c>
      <x:c r="I97" s="35" t="n">
        <x:f>INDEX($V$6:$V$19,MATCH(G97,$U$6:$U$19,0))</x:f>
        <x:v>4.2809</x:v>
      </x:c>
      <x:c r="J97" s="36" t="n">
        <x:f>IF(I97&lt;=0,"無有效匯率",H97/I97)</x:f>
        <x:v>41720199023.56981</x:v>
      </x:c>
      <x:c r="K97" s="4" t="str">
        <x:v>USD</x:v>
      </x:c>
      <x:c r="L97" s="36" t="n">
        <x:f>IF(OR(NOT(ISNUMBER(J97)),$V$6&lt;=0),"無有效匯率",J97*$V$6)</x:f>
        <x:v>1300264238828.2837</x:v>
      </x:c>
      <x:c r="M97" s="4" t="str">
        <x:v>TWD</x:v>
      </x:c>
      <x:c r="N97" s="4" t="str">
        <x:v>MY02</x:v>
      </x:c>
      <x:c r="O97" s="4" t="str">
        <x:v>https://www.dosm.gov.my/portal-main/downloads-log?id=9899</x:v>
      </x:c>
      <x:c r="P97" s="4" t="str">
        <x:v>X01</x:v>
      </x:c>
      <x:c r="Q97" s="4" t="str">
        <x:v>【示意】含土木、新建結構與其他工程；排除作裝修市場規模；獨立來源1；來源A級</x:v>
      </x:c>
      <x:c r="R97" s="4" t="str">
        <x:v>低</x:v>
      </x:c>
    </x:row>
    <x:row r="98" ht="38" customHeight="1">
      <x:c r="A98" s="4" t="str">
        <x:v>MY</x:v>
      </x:c>
      <x:c r="B98" s="4" t="str">
        <x:v>外國承包商最低實收資本</x:v>
      </x:c>
      <x:c r="C98" s="4" t="n">
        <x:v>2025</x:v>
      </x:c>
      <x:c r="D98" s="17" t="n">
        <x:v>750000</x:v>
      </x:c>
      <x:c r="E98" s="4" t="str">
        <x:v>MYR</x:v>
      </x:c>
      <x:c r="F98" s="17" t="n">
        <x:v>1</x:v>
      </x:c>
      <x:c r="G98" s="4" t="str">
        <x:v>MYR</x:v>
      </x:c>
      <x:c r="H98" s="17" t="n">
        <x:f>D98*F98</x:f>
        <x:v>750000</x:v>
      </x:c>
      <x:c r="I98" s="35" t="n">
        <x:f>INDEX($V$6:$V$19,MATCH(G98,$U$6:$U$19,0))</x:f>
        <x:v>4.2809</x:v>
      </x:c>
      <x:c r="J98" s="36" t="n">
        <x:f>IF(I98&lt;=0,"無有效匯率",H98/I98)</x:f>
        <x:v>175196.80441028756</x:v>
      </x:c>
      <x:c r="K98" s="4" t="str">
        <x:v>USD</x:v>
      </x:c>
      <x:c r="L98" s="36" t="n">
        <x:f>IF(OR(NOT(ISNUMBER(J98)),$V$6&lt;=0),"無有效匯率",J98*$V$6)</x:f>
        <x:v>5460236.165292345</x:v>
      </x:c>
      <x:c r="M98" s="4" t="str">
        <x:v>TWD</x:v>
      </x:c>
      <x:c r="N98" s="4" t="str">
        <x:v>MY03</x:v>
      </x:c>
      <x:c r="O98" s="4" t="str">
        <x:v>https://www.cidb.gov.my/wp-content/uploads/2025/06/SYARAT-PENDAFTARAN-KONTRAKTOR-ASING-2.pdf</x:v>
      </x:c>
      <x:c r="P98" s="4" t="str">
        <x:v>X01</x:v>
      </x:c>
      <x:c r="Q98" s="4" t="str">
        <x:v>【示意】CIDB外國承包商登記要求；公司設立不等同執業許可；獨立來源1；來源A級</x:v>
      </x:c>
      <x:c r="R98" s="4" t="str">
        <x:v>低</x:v>
      </x:c>
    </x:row>
    <x:row r="99" ht="38" customHeight="1">
      <x:c r="A99" s="4" t="str">
        <x:v>MY</x:v>
      </x:c>
      <x:c r="B99" s="4" t="str">
        <x:v>外國承包商年度登記費</x:v>
      </x:c>
      <x:c r="C99" s="4" t="n">
        <x:v>2025</x:v>
      </x:c>
      <x:c r="D99" s="17" t="n">
        <x:v>1400</x:v>
      </x:c>
      <x:c r="E99" s="4" t="str">
        <x:v>MYR/年</x:v>
      </x:c>
      <x:c r="F99" s="17" t="n">
        <x:v>1</x:v>
      </x:c>
      <x:c r="G99" s="4" t="str">
        <x:v>MYR</x:v>
      </x:c>
      <x:c r="H99" s="17" t="n">
        <x:f>D99*F99</x:f>
        <x:v>1400</x:v>
      </x:c>
      <x:c r="I99" s="35" t="n">
        <x:f>INDEX($V$6:$V$19,MATCH(G99,$U$6:$U$19,0))</x:f>
        <x:v>4.2809</x:v>
      </x:c>
      <x:c r="J99" s="36" t="n">
        <x:f>IF(I99&lt;=0,"無有效匯率",H99/I99)</x:f>
        <x:v>327.03403489920345</x:v>
      </x:c>
      <x:c r="K99" s="4" t="str">
        <x:v>USD/年</x:v>
      </x:c>
      <x:c r="L99" s="36" t="n">
        <x:f>IF(OR(NOT(ISNUMBER(J99)),$V$6&lt;=0),"無有效匯率",J99*$V$6)</x:f>
        <x:v>10192.440841879044</x:v>
      </x:c>
      <x:c r="M99" s="4" t="str">
        <x:v>TWD/年</x:v>
      </x:c>
      <x:c r="N99" s="4" t="str">
        <x:v>MY03</x:v>
      </x:c>
      <x:c r="O99" s="4" t="str">
        <x:v>https://www.cidb.gov.my/wp-content/uploads/2025/06/SYARAT-PENDAFTARAN-KONTRAKTOR-ASING-2.pdf</x:v>
      </x:c>
      <x:c r="P99" s="4" t="str">
        <x:v>X01</x:v>
      </x:c>
      <x:c r="Q99" s="4" t="str">
        <x:v>【示意】CIDB PPKA；費率可依法調整；獨立來源1；來源A級</x:v>
      </x:c>
      <x:c r="R99" s="4" t="str">
        <x:v>低</x:v>
      </x:c>
    </x:row>
    <x:row r="100" ht="38" customHeight="1">
      <x:c r="A100" s="4" t="str">
        <x:v>MY</x:v>
      </x:c>
      <x:c r="B100" s="4" t="str">
        <x:v>外國承包商PPP每案登記費</x:v>
      </x:c>
      <x:c r="C100" s="4" t="n">
        <x:v>2025</x:v>
      </x:c>
      <x:c r="D100" s="17" t="n">
        <x:v>5000</x:v>
      </x:c>
      <x:c r="E100" s="4" t="str">
        <x:v>MYR/案</x:v>
      </x:c>
      <x:c r="F100" s="17" t="n">
        <x:v>1</x:v>
      </x:c>
      <x:c r="G100" s="4" t="str">
        <x:v>MYR</x:v>
      </x:c>
      <x:c r="H100" s="17" t="n">
        <x:f>D100*F100</x:f>
        <x:v>5000</x:v>
      </x:c>
      <x:c r="I100" s="35" t="n">
        <x:f>INDEX($V$6:$V$19,MATCH(G100,$U$6:$U$19,0))</x:f>
        <x:v>4.2809</x:v>
      </x:c>
      <x:c r="J100" s="36" t="n">
        <x:f>IF(I100&lt;=0,"無有效匯率",H100/I100)</x:f>
        <x:v>1167.9786960685838</x:v>
      </x:c>
      <x:c r="K100" s="4" t="str">
        <x:v>USD/案</x:v>
      </x:c>
      <x:c r="L100" s="36" t="n">
        <x:f>IF(OR(NOT(ISNUMBER(J100)),$V$6&lt;=0),"無有效匯率",J100*$V$6)</x:f>
        <x:v>36401.5744352823</x:v>
      </x:c>
      <x:c r="M100" s="4" t="str">
        <x:v>TWD/案</x:v>
      </x:c>
      <x:c r="N100" s="4" t="str">
        <x:v>MY03</x:v>
      </x:c>
      <x:c r="O100" s="4" t="str">
        <x:v>https://www.cidb.gov.my/wp-content/uploads/2025/06/SYARAT-PENDAFTARAN-KONTRAKTOR-ASING-2.pdf</x:v>
      </x:c>
      <x:c r="P100" s="4" t="str">
        <x:v>X01</x:v>
      </x:c>
      <x:c r="Q100" s="4" t="str">
        <x:v>【示意】另有每案處理費50 MYR；獨立來源1；來源A級</x:v>
      </x:c>
      <x:c r="R100" s="4" t="str">
        <x:v>低</x:v>
      </x:c>
    </x:row>
    <x:row r="101" ht="52" customHeight="1">
      <x:c r="A101" s="4" t="str">
        <x:v>MY</x:v>
      </x:c>
      <x:c r="B101" s="4" t="str">
        <x:v>鋼材平均價格</x:v>
      </x:c>
      <x:c r="C101" s="4" t="str">
        <x:v>2026-03</x:v>
      </x:c>
      <x:c r="D101" s="19" t="n">
        <x:v>3426.8</x:v>
      </x:c>
      <x:c r="E101" s="4" t="str">
        <x:v>MYR/公噸</x:v>
      </x:c>
      <x:c r="F101" s="17" t="n">
        <x:v>1</x:v>
      </x:c>
      <x:c r="G101" s="4" t="str">
        <x:v>MYR</x:v>
      </x:c>
      <x:c r="H101" s="19" t="n">
        <x:f>D101*F101</x:f>
        <x:v>3426.8</x:v>
      </x:c>
      <x:c r="I101" s="35" t="n">
        <x:f>INDEX($V$6:$V$19,MATCH(G101,$U$6:$U$19,0))</x:f>
        <x:v>4.2809</x:v>
      </x:c>
      <x:c r="J101" s="36" t="n">
        <x:f>IF(I101&lt;=0,"無有效匯率",H101/I101)</x:f>
        <x:v>800.4858791375646</x:v>
      </x:c>
      <x:c r="K101" s="4" t="str">
        <x:v>USD/公噸</x:v>
      </x:c>
      <x:c r="L101" s="36" t="n">
        <x:f>IF(OR(NOT(ISNUMBER(J101)),$V$6&lt;=0),"無有效匯率",J101*$V$6)</x:f>
        <x:v>24948.183054965077</x:v>
      </x:c>
      <x:c r="M101" s="4" t="str">
        <x:v>TWD/公噸</x:v>
      </x:c>
      <x:c r="N101" s="4" t="str">
        <x:v>MY07</x:v>
      </x:c>
      <x:c r="O101" s="4" t="str">
        <x:v>https://www.dosm.gov.my/portal-main/downloads-log?id=9915</x:v>
      </x:c>
      <x:c r="P101" s="4" t="str">
        <x:v>X01</x:v>
      </x:c>
      <x:c r="Q101" s="4" t="str">
        <x:v>【示意】指定建築鋼材平均；非全部內裝建材；獨立來源1；來源A級；查核限制：PDF正文第2及5頁鋼材RM3,426.80/噸、水泥RM25.55/50kg；第3及6頁鋼材圖標RM3,436.80，鋼材存在同頁組內部矛盾。</x:v>
      </x:c>
      <x:c r="R101" s="4" t="str">
        <x:v>低</x:v>
      </x:c>
    </x:row>
    <x:row r="102" ht="30" customHeight="1">
      <x:c r="A102" s="4" t="str">
        <x:v>MY</x:v>
      </x:c>
      <x:c r="B102" s="4" t="str">
        <x:v>普通卜特蘭水泥平均價格</x:v>
      </x:c>
      <x:c r="C102" s="4" t="str">
        <x:v>2026-03</x:v>
      </x:c>
      <x:c r="D102" s="18" t="n">
        <x:v>25.55</x:v>
      </x:c>
      <x:c r="E102" s="4" t="str">
        <x:v>MYR/50公斤</x:v>
      </x:c>
      <x:c r="F102" s="17" t="n">
        <x:v>1</x:v>
      </x:c>
      <x:c r="G102" s="4" t="str">
        <x:v>MYR</x:v>
      </x:c>
      <x:c r="H102" s="18" t="n">
        <x:f>D102*F102</x:f>
        <x:v>25.55</x:v>
      </x:c>
      <x:c r="I102" s="35" t="n">
        <x:f>INDEX($V$6:$V$19,MATCH(G102,$U$6:$U$19,0))</x:f>
        <x:v>4.2809</x:v>
      </x:c>
      <x:c r="J102" s="36" t="n">
        <x:f>IF(I102&lt;=0,"無有效匯率",H102/I102)</x:f>
        <x:v>5.968371136910463</x:v>
      </x:c>
      <x:c r="K102" s="4" t="str">
        <x:v>USD/50公斤</x:v>
      </x:c>
      <x:c r="L102" s="36" t="n">
        <x:f>IF(OR(NOT(ISNUMBER(J102)),$V$6&lt;=0),"無有效匯率",J102*$V$6)</x:f>
        <x:v>186.01204536429256</x:v>
      </x:c>
      <x:c r="M102" s="4" t="str">
        <x:v>TWD/50公斤</x:v>
      </x:c>
      <x:c r="N102" s="4" t="str">
        <x:v>MY07</x:v>
      </x:c>
      <x:c r="O102" s="4" t="str">
        <x:v>https://www.dosm.gov.my/portal-main/downloads-log?id=9915</x:v>
      </x:c>
      <x:c r="P102" s="4" t="str">
        <x:v>X01</x:v>
      </x:c>
      <x:c r="Q102" s="4" t="str">
        <x:v>【示意】DOSM建築材料規格；獨立來源1；來源A級</x:v>
      </x:c>
      <x:c r="R102" s="4" t="str">
        <x:v>低</x:v>
      </x:c>
    </x:row>
    <x:row r="103" ht="30" customHeight="1">
      <x:c r="A103" s="4" t="str">
        <x:v>MY</x:v>
      </x:c>
      <x:c r="B103" s="4" t="str">
        <x:v>公民受僱者薪資中位數</x:v>
      </x:c>
      <x:c r="C103" s="4" t="n">
        <x:v>2025</x:v>
      </x:c>
      <x:c r="D103" s="17" t="n">
        <x:v>2940</x:v>
      </x:c>
      <x:c r="E103" s="4" t="str">
        <x:v>MYR/月</x:v>
      </x:c>
      <x:c r="F103" s="17" t="n">
        <x:v>1</x:v>
      </x:c>
      <x:c r="G103" s="4" t="str">
        <x:v>MYR</x:v>
      </x:c>
      <x:c r="H103" s="17" t="n">
        <x:f>D103*F103</x:f>
        <x:v>2940</x:v>
      </x:c>
      <x:c r="I103" s="35" t="n">
        <x:f>INDEX($V$6:$V$19,MATCH(G103,$U$6:$U$19,0))</x:f>
        <x:v>4.2809</x:v>
      </x:c>
      <x:c r="J103" s="36" t="n">
        <x:f>IF(I103&lt;=0,"無有效匯率",H103/I103)</x:f>
        <x:v>686.7714732883272</x:v>
      </x:c>
      <x:c r="K103" s="4" t="str">
        <x:v>USD/月</x:v>
      </x:c>
      <x:c r="L103" s="36" t="n">
        <x:f>IF(OR(NOT(ISNUMBER(J103)),$V$6&lt;=0),"無有效匯率",J103*$V$6)</x:f>
        <x:v>21404.125767945992</x:v>
      </x:c>
      <x:c r="M103" s="4" t="str">
        <x:v>TWD/月</x:v>
      </x:c>
      <x:c r="N103" s="4" t="str">
        <x:v>MY08</x:v>
      </x:c>
      <x:c r="O103" s="4" t="str">
        <x:v>https://storage.dosm.gov.my/labour/salaries_wages_2025.pdf</x:v>
      </x:c>
      <x:c r="P103" s="4" t="str">
        <x:v>X01</x:v>
      </x:c>
      <x:c r="Q103" s="4" t="str">
        <x:v>【示意】Salaries &amp; Wages Survey；公民受僱者，非設計師專業；獨立來源1；來源A級</x:v>
      </x:c>
      <x:c r="R103" s="4" t="str">
        <x:v>低</x:v>
      </x:c>
    </x:row>
    <x:row r="104" ht="30" customHeight="1">
      <x:c r="A104" s="4" t="str">
        <x:v>MY</x:v>
      </x:c>
      <x:c r="B104" s="4" t="str">
        <x:v>公民受僱者薪資平均數</x:v>
      </x:c>
      <x:c r="C104" s="4" t="n">
        <x:v>2025</x:v>
      </x:c>
      <x:c r="D104" s="17" t="n">
        <x:v>3803</x:v>
      </x:c>
      <x:c r="E104" s="4" t="str">
        <x:v>MYR/月</x:v>
      </x:c>
      <x:c r="F104" s="17" t="n">
        <x:v>1</x:v>
      </x:c>
      <x:c r="G104" s="4" t="str">
        <x:v>MYR</x:v>
      </x:c>
      <x:c r="H104" s="17" t="n">
        <x:f>D104*F104</x:f>
        <x:v>3803</x:v>
      </x:c>
      <x:c r="I104" s="35" t="n">
        <x:f>INDEX($V$6:$V$19,MATCH(G104,$U$6:$U$19,0))</x:f>
        <x:v>4.2809</x:v>
      </x:c>
      <x:c r="J104" s="36" t="n">
        <x:f>IF(I104&lt;=0,"無有效匯率",H104/I104)</x:f>
        <x:v>888.3645962297647</x:v>
      </x:c>
      <x:c r="K104" s="4" t="str">
        <x:v>USD/月</x:v>
      </x:c>
      <x:c r="L104" s="36" t="n">
        <x:f>IF(OR(NOT(ISNUMBER(J104)),$V$6&lt;=0),"無有效匯率",J104*$V$6)</x:f>
        <x:v>27687.037515475717</x:v>
      </x:c>
      <x:c r="M104" s="4" t="str">
        <x:v>TWD/月</x:v>
      </x:c>
      <x:c r="N104" s="4" t="str">
        <x:v>MY08</x:v>
      </x:c>
      <x:c r="O104" s="4" t="str">
        <x:v>https://storage.dosm.gov.my/labour/salaries_wages_2025.pdf</x:v>
      </x:c>
      <x:c r="P104" s="4" t="str">
        <x:v>X01</x:v>
      </x:c>
      <x:c r="Q104" s="4" t="str">
        <x:v>【示意】全產業公民受僱者；獨立來源1；來源A級</x:v>
      </x:c>
      <x:c r="R104" s="4" t="str">
        <x:v>低</x:v>
      </x:c>
    </x:row>
    <x:row r="105" ht="30" customHeight="1">
      <x:c r="A105" s="4" t="str">
        <x:v>MY</x:v>
      </x:c>
      <x:c r="B105" s="4" t="str">
        <x:v>營造業公民受僱者薪資平均數</x:v>
      </x:c>
      <x:c r="C105" s="4" t="n">
        <x:v>2025</x:v>
      </x:c>
      <x:c r="D105" s="17" t="n">
        <x:v>3188</x:v>
      </x:c>
      <x:c r="E105" s="4" t="str">
        <x:v>MYR/月</x:v>
      </x:c>
      <x:c r="F105" s="17" t="n">
        <x:v>1</x:v>
      </x:c>
      <x:c r="G105" s="4" t="str">
        <x:v>MYR</x:v>
      </x:c>
      <x:c r="H105" s="17" t="n">
        <x:f>D105*F105</x:f>
        <x:v>3188</x:v>
      </x:c>
      <x:c r="I105" s="35" t="n">
        <x:f>INDEX($V$6:$V$19,MATCH(G105,$U$6:$U$19,0))</x:f>
        <x:v>4.2809</x:v>
      </x:c>
      <x:c r="J105" s="36" t="n">
        <x:f>IF(I105&lt;=0,"無有效匯率",H105/I105)</x:f>
        <x:v>744.703216613329</x:v>
      </x:c>
      <x:c r="K105" s="4" t="str">
        <x:v>USD/月</x:v>
      </x:c>
      <x:c r="L105" s="36" t="n">
        <x:f>IF(OR(NOT(ISNUMBER(J105)),$V$6&lt;=0),"無有效匯率",J105*$V$6)</x:f>
        <x:v>23209.643859935997</x:v>
      </x:c>
      <x:c r="M105" s="4" t="str">
        <x:v>TWD/月</x:v>
      </x:c>
      <x:c r="N105" s="4" t="str">
        <x:v>MY08</x:v>
      </x:c>
      <x:c r="O105" s="4" t="str">
        <x:v>https://storage.dosm.gov.my/labour/salaries_wages_2025.pdf</x:v>
      </x:c>
      <x:c r="P105" s="4" t="str">
        <x:v>X01</x:v>
      </x:c>
      <x:c r="Q105" s="4" t="str">
        <x:v>【示意】Construction sector；不含外籍全體、不是師傅日薪；獨立來源1；來源A級</x:v>
      </x:c>
      <x:c r="R105" s="4" t="str">
        <x:v>低</x:v>
      </x:c>
    </x:row>
    <x:row r="106" ht="38" customHeight="1">
      <x:c r="A106" s="4" t="str">
        <x:v>MY</x:v>
      </x:c>
      <x:c r="B106" s="4" t="str">
        <x:v>住宅交易額</x:v>
      </x:c>
      <x:c r="C106" s="4" t="n">
        <x:v>2025</x:v>
      </x:c>
      <x:c r="D106" s="18" t="n">
        <x:v>108.27</x:v>
      </x:c>
      <x:c r="E106" s="4" t="str">
        <x:v>十億MYR</x:v>
      </x:c>
      <x:c r="F106" s="17" t="n">
        <x:v>1000000000</x:v>
      </x:c>
      <x:c r="G106" s="4" t="str">
        <x:v>MYR</x:v>
      </x:c>
      <x:c r="H106" s="17" t="n">
        <x:f>D106*F106</x:f>
        <x:v>108270000000</x:v>
      </x:c>
      <x:c r="I106" s="35" t="n">
        <x:f>INDEX($V$6:$V$19,MATCH(G106,$U$6:$U$19,0))</x:f>
        <x:v>4.2809</x:v>
      </x:c>
      <x:c r="J106" s="36" t="n">
        <x:f>IF(I106&lt;=0,"無有效匯率",H106/I106)</x:f>
        <x:v>25291410684.669113</x:v>
      </x:c>
      <x:c r="K106" s="4" t="str">
        <x:v>USD</x:v>
      </x:c>
      <x:c r="L106" s="36" t="n">
        <x:f>IF(OR(NOT(ISNUMBER(J106)),$V$6&lt;=0),"無有效匯率",J106*$V$6)</x:f>
        <x:v>788239692821.603</x:v>
      </x:c>
      <x:c r="M106" s="4" t="str">
        <x:v>TWD</x:v>
      </x:c>
      <x:c r="N106" s="4" t="str">
        <x:v>MY09</x:v>
      </x:c>
      <x:c r="O106" s="4" t="str">
        <x:v>https://rehdainstitute.com/wp-content/uploads/2026/04/Summary-of-NAPIC-AR-2025.pdf</x:v>
      </x:c>
      <x:c r="P106" s="4" t="str">
        <x:v>X01</x:v>
      </x:c>
      <x:c r="Q106" s="4" t="str">
        <x:v>【示意】住宅類不動產成交價款；不是裝修支出；獨立來源1；來源B級</x:v>
      </x:c>
      <x:c r="R106" s="4" t="str">
        <x:v>低</x:v>
      </x:c>
    </x:row>
    <x:row r="107" ht="30" customHeight="1">
      <x:c r="A107" s="4" t="str">
        <x:v>MY</x:v>
      </x:c>
      <x:c r="B107" s="4" t="str">
        <x:v>Qanvast公寓设计施工參考包價下限</x:v>
      </x:c>
      <x:c r="C107" s="4" t="str">
        <x:v>2026查閱</x:v>
      </x:c>
      <x:c r="D107" s="17" t="n">
        <x:v>25000</x:v>
      </x:c>
      <x:c r="E107" s="4" t="str">
        <x:v>MYR/案</x:v>
      </x:c>
      <x:c r="F107" s="17" t="n">
        <x:v>1</x:v>
      </x:c>
      <x:c r="G107" s="4" t="str">
        <x:v>MYR</x:v>
      </x:c>
      <x:c r="H107" s="17" t="n">
        <x:f>D107*F107</x:f>
        <x:v>25000</x:v>
      </x:c>
      <x:c r="I107" s="35" t="n">
        <x:f>INDEX($V$6:$V$19,MATCH(G107,$U$6:$U$19,0))</x:f>
        <x:v>4.2809</x:v>
      </x:c>
      <x:c r="J107" s="36" t="n">
        <x:f>IF(I107&lt;=0,"無有效匯率",H107/I107)</x:f>
        <x:v>5839.893480342918</x:v>
      </x:c>
      <x:c r="K107" s="4" t="str">
        <x:v>USD/案</x:v>
      </x:c>
      <x:c r="L107" s="36" t="n">
        <x:f>IF(OR(NOT(ISNUMBER(J107)),$V$6&lt;=0),"無有效匯率",J107*$V$6)</x:f>
        <x:v>182007.8721764115</x:v>
      </x:c>
      <x:c r="M107" s="4" t="str">
        <x:v>TWD/案</x:v>
      </x:c>
      <x:c r="N107" s="4" t="str">
        <x:v>MY10</x:v>
      </x:c>
      <x:c r="O107" s="4" t="str">
        <x:v>https://qanvast.com/my/interior-designers</x:v>
      </x:c>
      <x:c r="P107" s="4" t="str">
        <x:v>X01</x:v>
      </x:c>
      <x:c r="Q107" s="4" t="str">
        <x:v>【示意】頁面典型condo25k–60k；無面積與樣本年度，非全國均價；獨立來源1；來源C級</x:v>
      </x:c>
      <x:c r="R107" s="4" t="str">
        <x:v>低</x:v>
      </x:c>
    </x:row>
    <x:row r="108" ht="30" customHeight="1">
      <x:c r="A108" s="4" t="str">
        <x:v>MY</x:v>
      </x:c>
      <x:c r="B108" s="4" t="str">
        <x:v>Qanvast公寓设计施工參考包價上限</x:v>
      </x:c>
      <x:c r="C108" s="4" t="str">
        <x:v>2026查閱</x:v>
      </x:c>
      <x:c r="D108" s="17" t="n">
        <x:v>60000</x:v>
      </x:c>
      <x:c r="E108" s="4" t="str">
        <x:v>MYR/案</x:v>
      </x:c>
      <x:c r="F108" s="17" t="n">
        <x:v>1</x:v>
      </x:c>
      <x:c r="G108" s="4" t="str">
        <x:v>MYR</x:v>
      </x:c>
      <x:c r="H108" s="17" t="n">
        <x:f>D108*F108</x:f>
        <x:v>60000</x:v>
      </x:c>
      <x:c r="I108" s="35" t="n">
        <x:f>INDEX($V$6:$V$19,MATCH(G108,$U$6:$U$19,0))</x:f>
        <x:v>4.2809</x:v>
      </x:c>
      <x:c r="J108" s="36" t="n">
        <x:f>IF(I108&lt;=0,"無有效匯率",H108/I108)</x:f>
        <x:v>14015.744352823005</x:v>
      </x:c>
      <x:c r="K108" s="4" t="str">
        <x:v>USD/案</x:v>
      </x:c>
      <x:c r="L108" s="36" t="n">
        <x:f>IF(OR(NOT(ISNUMBER(J108)),$V$6&lt;=0),"無有效匯率",J108*$V$6)</x:f>
        <x:v>436818.8932233876</x:v>
      </x:c>
      <x:c r="M108" s="4" t="str">
        <x:v>TWD/案</x:v>
      </x:c>
      <x:c r="N108" s="4" t="str">
        <x:v>MY10</x:v>
      </x:c>
      <x:c r="O108" s="4" t="str">
        <x:v>https://qanvast.com/my/interior-designers</x:v>
      </x:c>
      <x:c r="P108" s="4" t="str">
        <x:v>X01</x:v>
      </x:c>
      <x:c r="Q108" s="4" t="str">
        <x:v>【示意】不可拆為設計費；無樣本；獨立來源1；來源C級</x:v>
      </x:c>
      <x:c r="R108" s="4" t="str">
        <x:v>低</x:v>
      </x:c>
    </x:row>
    <x:row r="109" ht="38" customHeight="1">
      <x:c r="A109" s="4" t="str">
        <x:v>MY</x:v>
      </x:c>
      <x:c r="B109" s="4" t="str">
        <x:v>Qanvast倒閉保障上限</x:v>
      </x:c>
      <x:c r="C109" s="4" t="str">
        <x:v>2025頁面</x:v>
      </x:c>
      <x:c r="D109" s="17" t="n">
        <x:v>50000</x:v>
      </x:c>
      <x:c r="E109" s="4" t="str">
        <x:v>MYR/合約</x:v>
      </x:c>
      <x:c r="F109" s="17" t="n">
        <x:v>1</x:v>
      </x:c>
      <x:c r="G109" s="4" t="str">
        <x:v>MYR</x:v>
      </x:c>
      <x:c r="H109" s="17" t="n">
        <x:f>D109*F109</x:f>
        <x:v>50000</x:v>
      </x:c>
      <x:c r="I109" s="35" t="n">
        <x:f>INDEX($V$6:$V$19,MATCH(G109,$U$6:$U$19,0))</x:f>
        <x:v>4.2809</x:v>
      </x:c>
      <x:c r="J109" s="36" t="n">
        <x:f>IF(I109&lt;=0,"無有效匯率",H109/I109)</x:f>
        <x:v>11679.786960685837</x:v>
      </x:c>
      <x:c r="K109" s="4" t="str">
        <x:v>USD/合約</x:v>
      </x:c>
      <x:c r="L109" s="36" t="n">
        <x:f>IF(OR(NOT(ISNUMBER(J109)),$V$6&lt;=0),"無有效匯率",J109*$V$6)</x:f>
        <x:v>364015.744352823</x:v>
      </x:c>
      <x:c r="M109" s="4" t="str">
        <x:v>TWD/合約</x:v>
      </x:c>
      <x:c r="N109" s="4" t="str">
        <x:v>MY11</x:v>
      </x:c>
      <x:c r="O109" s="4" t="str">
        <x:v>https://qanvast.com/my/articles/qanvast-supertrust-2025-the-top-12-interior-design-firms-in-malaysia-3407</x:v>
      </x:c>
      <x:c r="P109" s="4" t="str">
        <x:v>X01</x:v>
      </x:c>
      <x:c r="Q109" s="4" t="str">
        <x:v>【示意】合約價50%與RM50k取低，適用推薦公司破產及計畫條件；非全面履約保證；獨立來源1；來源C級</x:v>
      </x:c>
      <x:c r="R109" s="4" t="str">
        <x:v>低</x:v>
      </x:c>
    </x:row>
    <x:row r="110" ht="38" customHeight="1">
      <x:c r="A110" s="4" t="str">
        <x:v>MY</x:v>
      </x:c>
      <x:c r="B110" s="4" t="str">
        <x:v>人均GDP</x:v>
      </x:c>
      <x:c r="C110" s="4" t="n">
        <x:v>2025</x:v>
      </x:c>
      <x:c r="D110" s="22" t="n">
        <x:v>13124.55542</x:v>
      </x:c>
      <x:c r="E110" s="4" t="str">
        <x:v>USD/person</x:v>
      </x:c>
      <x:c r="F110" s="17" t="n">
        <x:v>1</x:v>
      </x:c>
      <x:c r="G110" s="4" t="str">
        <x:v>USD</x:v>
      </x:c>
      <x:c r="H110" s="22" t="n">
        <x:f>D110*F110</x:f>
        <x:v>13124.55542</x:v>
      </x:c>
      <x:c r="I110" s="17" t="n">
        <x:f>INDEX($V$6:$V$19,MATCH(G110,$U$6:$U$19,0))</x:f>
        <x:v>1</x:v>
      </x:c>
      <x:c r="J110" s="36" t="n">
        <x:f>IF(I110&lt;=0,"無有效匯率",H110/I110)</x:f>
        <x:v>13124.55542</x:v>
      </x:c>
      <x:c r="K110" s="4" t="str">
        <x:v>USD/person</x:v>
      </x:c>
      <x:c r="L110" s="36" t="n">
        <x:f>IF(OR(NOT(ISNUMBER(J110)),$V$6&lt;=0),"無有效匯率",J110*$V$6)</x:f>
        <x:v>409043.83158634603</x:v>
      </x:c>
      <x:c r="M110" s="4" t="str">
        <x:v>TWD/person</x:v>
      </x:c>
      <x:c r="N110" s="4" t="str">
        <x:v>MY13</x:v>
      </x:c>
      <x:c r="O110" s="4" t="str">
        <x:v>https://fred.stlouisfed.org/series/PCAGDPMYA646NWDB</x:v>
      </x:c>
      <x:c r="P110" s="4" t="str">
        <x:v>X01</x:v>
      </x:c>
      <x:c r="Q110" s="4" t="str">
        <x:v>【示意】World Bank WDI 現價美元，NY.GDP.PCAP.CD，FRED轉載；非PPP；獨立來源1；來源A級</x:v>
      </x:c>
      <x:c r="R110" s="4" t="str">
        <x:v>低</x:v>
      </x:c>
    </x:row>
    <x:row r="111" ht="38" customHeight="1">
      <x:c r="A111" s="4" t="str">
        <x:v>MY</x:v>
      </x:c>
      <x:c r="B111" s="4" t="str">
        <x:v>Signature合併季度營收</x:v>
      </x:c>
      <x:c r="C111" s="4" t="str">
        <x:v>2026Q1</x:v>
      </x:c>
      <x:c r="D111" s="21" t="n">
        <x:v>211.789</x:v>
      </x:c>
      <x:c r="E111" s="4" t="str">
        <x:v>百萬MYR</x:v>
      </x:c>
      <x:c r="F111" s="17" t="n">
        <x:v>1000000</x:v>
      </x:c>
      <x:c r="G111" s="4" t="str">
        <x:v>MYR</x:v>
      </x:c>
      <x:c r="H111" s="17" t="n">
        <x:f>D111*F111</x:f>
        <x:v>211789000</x:v>
      </x:c>
      <x:c r="I111" s="35" t="n">
        <x:f>INDEX($V$6:$V$19,MATCH(G111,$U$6:$U$19,0))</x:f>
        <x:v>4.2809</x:v>
      </x:c>
      <x:c r="J111" s="36" t="n">
        <x:f>IF(I111&lt;=0,"無有效匯率",H111/I111)</x:f>
        <x:v>49473008.012333855</x:v>
      </x:c>
      <x:c r="K111" s="4" t="str">
        <x:v>USD</x:v>
      </x:c>
      <x:c r="L111" s="36" t="n">
        <x:f>IF(OR(NOT(ISNUMBER(J111)),$V$6&lt;=0),"無有效匯率",J111*$V$6)</x:f>
        <x:v>1541890609.6148007</x:v>
      </x:c>
      <x:c r="M111" s="4" t="str">
        <x:v>TWD</x:v>
      </x:c>
      <x:c r="N111" s="4" t="str">
        <x:v>MY15</x:v>
      </x:c>
      <x:c r="O111" s="4" t="str">
        <x:v>https://newsfile.moomoo.com/public/NN-PersistNoticeAttachment/7781/20260520/MYX/MYX_3667615_238047.pdf</x:v>
      </x:c>
      <x:c r="P111" s="4" t="str">
        <x:v>X01</x:v>
      </x:c>
      <x:c r="Q111" s="4" t="str">
        <x:v>【示意】跨業務／地理合併營收，不是MY住宅裝修市場；獨立來源1；來源A級</x:v>
      </x:c>
      <x:c r="R111" s="4" t="str">
        <x:v>低</x:v>
      </x:c>
    </x:row>
    <x:row r="112" ht="38" customHeight="1">
      <x:c r="A112" s="4" t="str">
        <x:v>MY</x:v>
      </x:c>
      <x:c r="B112" s="4" t="str">
        <x:v>Signature廚櫃衣櫃部門季度外部營收</x:v>
      </x:c>
      <x:c r="C112" s="4" t="str">
        <x:v>2026Q1</x:v>
      </x:c>
      <x:c r="D112" s="21" t="n">
        <x:v>45.712</x:v>
      </x:c>
      <x:c r="E112" s="4" t="str">
        <x:v>百萬MYR</x:v>
      </x:c>
      <x:c r="F112" s="17" t="n">
        <x:v>1000000</x:v>
      </x:c>
      <x:c r="G112" s="4" t="str">
        <x:v>MYR</x:v>
      </x:c>
      <x:c r="H112" s="17" t="n">
        <x:f>D112*F112</x:f>
        <x:v>45712000</x:v>
      </x:c>
      <x:c r="I112" s="35" t="n">
        <x:f>INDEX($V$6:$V$19,MATCH(G112,$U$6:$U$19,0))</x:f>
        <x:v>4.2809</x:v>
      </x:c>
      <x:c r="J112" s="36" t="n">
        <x:f>IF(I112&lt;=0,"無有效匯率",H112/I112)</x:f>
        <x:v>10678128.43093742</x:v>
      </x:c>
      <x:c r="K112" s="4" t="str">
        <x:v>USD</x:v>
      </x:c>
      <x:c r="L112" s="36" t="n">
        <x:f>IF(OR(NOT(ISNUMBER(J112)),$V$6&lt;=0),"無有效匯率",J112*$V$6)</x:f>
        <x:v>332797754.1171249</x:v>
      </x:c>
      <x:c r="M112" s="4" t="str">
        <x:v>TWD</x:v>
      </x:c>
      <x:c r="N112" s="4" t="str">
        <x:v>MY15</x:v>
      </x:c>
      <x:c r="O112" s="4" t="str">
        <x:v>https://newsfile.moomoo.com/public/NN-PersistNoticeAttachment/7781/20260520/MYX/MYX_3667615_238047.pdf</x:v>
      </x:c>
      <x:c r="P112" s="4" t="str">
        <x:v>X01</x:v>
      </x:c>
      <x:c r="Q112" s="4" t="str">
        <x:v>【示意】signature kitchen and wardrobe external revenue；獨立來源1；來源A級</x:v>
      </x:c>
      <x:c r="R112" s="4" t="str">
        <x:v>低</x:v>
      </x:c>
    </x:row>
    <x:row r="113" ht="38" customHeight="1">
      <x:c r="A113" s="4" t="str">
        <x:v>MY</x:v>
      </x:c>
      <x:c r="B113" s="4" t="str">
        <x:v>Signature內裝部門季度外部營收</x:v>
      </x:c>
      <x:c r="C113" s="4" t="str">
        <x:v>2026Q1</x:v>
      </x:c>
      <x:c r="D113" s="21" t="n">
        <x:v>88.826</x:v>
      </x:c>
      <x:c r="E113" s="4" t="str">
        <x:v>百萬MYR</x:v>
      </x:c>
      <x:c r="F113" s="17" t="n">
        <x:v>1000000</x:v>
      </x:c>
      <x:c r="G113" s="4" t="str">
        <x:v>MYR</x:v>
      </x:c>
      <x:c r="H113" s="17" t="n">
        <x:f>D113*F113</x:f>
        <x:v>88826000</x:v>
      </x:c>
      <x:c r="I113" s="35" t="n">
        <x:f>INDEX($V$6:$V$19,MATCH(G113,$U$6:$U$19,0))</x:f>
        <x:v>4.2809</x:v>
      </x:c>
      <x:c r="J113" s="36" t="n">
        <x:f>IF(I113&lt;=0,"無有效匯率",H113/I113)</x:f>
        <x:v>20749375.131397605</x:v>
      </x:c>
      <x:c r="K113" s="4" t="str">
        <x:v>USD</x:v>
      </x:c>
      <x:c r="L113" s="36" t="n">
        <x:f>IF(OR(NOT(ISNUMBER(J113)),$V$6&lt;=0),"無有效匯率",J113*$V$6)</x:f>
        <x:v>646681250.1576772</x:v>
      </x:c>
      <x:c r="M113" s="4" t="str">
        <x:v>TWD</x:v>
      </x:c>
      <x:c r="N113" s="4" t="str">
        <x:v>MY15</x:v>
      </x:c>
      <x:c r="O113" s="4" t="str">
        <x:v>https://newsfile.moomoo.com/public/NN-PersistNoticeAttachment/7781/20260520/MYX/MYX_3667615_238047.pdf</x:v>
      </x:c>
      <x:c r="P113" s="4" t="str">
        <x:v>X01</x:v>
      </x:c>
      <x:c r="Q113" s="4" t="str">
        <x:v>【示意】interior fit-out external revenue，不限住宅；獨立來源1；來源A級</x:v>
      </x:c>
      <x:c r="R113" s="4" t="str">
        <x:v>低</x:v>
      </x:c>
    </x:row>
    <x:row r="114" ht="38" customHeight="1">
      <x:c r="A114" s="4" t="str">
        <x:v>MY</x:v>
      </x:c>
      <x:c r="B114" s="4" t="str">
        <x:v>Home improvement混合市場模型</x:v>
      </x:c>
      <x:c r="C114" s="4" t="n">
        <x:v>2025</x:v>
      </x:c>
      <x:c r="D114" s="17" t="n">
        <x:v>1000</x:v>
      </x:c>
      <x:c r="E114" s="4" t="str">
        <x:v>百萬USD</x:v>
      </x:c>
      <x:c r="F114" s="17" t="n">
        <x:v>1000000</x:v>
      </x:c>
      <x:c r="G114" s="4" t="str">
        <x:v>USD</x:v>
      </x:c>
      <x:c r="H114" s="17" t="n">
        <x:f>D114*F114</x:f>
        <x:v>1000000000</x:v>
      </x:c>
      <x:c r="I114" s="17" t="n">
        <x:f>INDEX($V$6:$V$19,MATCH(G114,$U$6:$U$19,0))</x:f>
        <x:v>1</x:v>
      </x:c>
      <x:c r="J114" s="36" t="n">
        <x:f>IF(I114&lt;=0,"無有效匯率",H114/I114)</x:f>
        <x:v>1000000000</x:v>
      </x:c>
      <x:c r="K114" s="4" t="str">
        <x:v>USD</x:v>
      </x:c>
      <x:c r="L114" s="36" t="n">
        <x:f>IF(OR(NOT(ISNUMBER(J114)),$V$6&lt;=0),"無有效匯率",J114*$V$6)</x:f>
        <x:v>31166300000</x:v>
      </x:c>
      <x:c r="M114" s="4" t="str">
        <x:v>TWD</x:v>
      </x:c>
      <x:c r="N114" s="4" t="str">
        <x:v>MY17</x:v>
      </x:c>
      <x:c r="O114" s="4" t="str">
        <x:v>https://www.kenresearch.com/malaysia-home-improvement-market</x:v>
      </x:c>
      <x:c r="P114" s="4" t="str">
        <x:v>X01</x:v>
      </x:c>
      <x:c r="Q114" s="4" t="str">
        <x:v>【示意】住宅改善商品、硬體、飾面、設備及專業服務；非純翻修；與MY20無法調和；獨立來源1；來源C級</x:v>
      </x:c>
      <x:c r="R114" s="4" t="str">
        <x:v>低</x:v>
      </x:c>
    </x:row>
    <x:row r="115" ht="52" customHeight="1">
      <x:c r="A115" s="4" t="str">
        <x:v>MY</x:v>
      </x:c>
      <x:c r="B115" s="4" t="str">
        <x:v>Home improvement混合市場預測</x:v>
      </x:c>
      <x:c r="C115" s="4" t="n">
        <x:v>2032</x:v>
      </x:c>
      <x:c r="D115" s="17" t="n">
        <x:v>1606</x:v>
      </x:c>
      <x:c r="E115" s="4" t="str">
        <x:v>百萬USD</x:v>
      </x:c>
      <x:c r="F115" s="17" t="n">
        <x:v>1000000</x:v>
      </x:c>
      <x:c r="G115" s="4" t="str">
        <x:v>USD</x:v>
      </x:c>
      <x:c r="H115" s="17" t="n">
        <x:f>D115*F115</x:f>
        <x:v>1606000000</x:v>
      </x:c>
      <x:c r="I115" s="17" t="n">
        <x:f>INDEX($V$6:$V$19,MATCH(G115,$U$6:$U$19,0))</x:f>
        <x:v>1</x:v>
      </x:c>
      <x:c r="J115" s="36" t="n">
        <x:f>IF(I115&lt;=0,"無有效匯率",H115/I115)</x:f>
        <x:v>1606000000</x:v>
      </x:c>
      <x:c r="K115" s="4" t="str">
        <x:v>USD</x:v>
      </x:c>
      <x:c r="L115" s="36" t="n">
        <x:f>IF(OR(NOT(ISNUMBER(J115)),$V$6&lt;=0),"無有效匯率",J115*$V$6)</x:f>
        <x:v>50053077800</x:v>
      </x:c>
      <x:c r="M115" s="4" t="str">
        <x:v>TWD</x:v>
      </x:c>
      <x:c r="N115" s="4" t="str">
        <x:v>MY17</x:v>
      </x:c>
      <x:c r="O115" s="4" t="str">
        <x:v>https://www.kenresearch.com/malaysia-home-improvement-market</x:v>
      </x:c>
      <x:c r="P115" s="4" t="str">
        <x:v>X01</x:v>
      </x:c>
      <x:c r="Q115" s="4" t="str">
        <x:v>【預測／示意】正文2032；頁面另標2030 Projection矛盾，不採作2030數字；獨立來源1；來源C級；查核限制：正文及年度模型表：2025 USD1,000m、2032 USD1,606m；摘要卡卻標2030，僅模型且方法不透明。</x:v>
      </x:c>
      <x:c r="R115" s="4" t="str">
        <x:v>低</x:v>
      </x:c>
    </x:row>
    <x:row r="116" ht="38" customHeight="1">
      <x:c r="A116" s="4" t="str">
        <x:v>MY</x:v>
      </x:c>
      <x:c r="B116" s="4" t="str">
        <x:v>國內家具最終銷售模型</x:v>
      </x:c>
      <x:c r="C116" s="4" t="n">
        <x:v>2025</x:v>
      </x:c>
      <x:c r="D116" s="17" t="n">
        <x:v>2131</x:v>
      </x:c>
      <x:c r="E116" s="4" t="str">
        <x:v>百萬USD</x:v>
      </x:c>
      <x:c r="F116" s="17" t="n">
        <x:v>1000000</x:v>
      </x:c>
      <x:c r="G116" s="4" t="str">
        <x:v>USD</x:v>
      </x:c>
      <x:c r="H116" s="17" t="n">
        <x:f>D116*F116</x:f>
        <x:v>2131000000</x:v>
      </x:c>
      <x:c r="I116" s="17" t="n">
        <x:f>INDEX($V$6:$V$19,MATCH(G116,$U$6:$U$19,0))</x:f>
        <x:v>1</x:v>
      </x:c>
      <x:c r="J116" s="36" t="n">
        <x:f>IF(I116&lt;=0,"無有效匯率",H116/I116)</x:f>
        <x:v>2131000000</x:v>
      </x:c>
      <x:c r="K116" s="4" t="str">
        <x:v>USD</x:v>
      </x:c>
      <x:c r="L116" s="36" t="n">
        <x:f>IF(OR(NOT(ISNUMBER(J116)),$V$6&lt;=0),"無有效匯率",J116*$V$6)</x:f>
        <x:v>66415385300</x:v>
      </x:c>
      <x:c r="M116" s="4" t="str">
        <x:v>TWD</x:v>
      </x:c>
      <x:c r="N116" s="4" t="str">
        <x:v>MY18</x:v>
      </x:c>
      <x:c r="O116" s="4" t="str">
        <x:v>https://www.kenresearch.com/industry-reports/malaysia-furniture-market</x:v>
      </x:c>
      <x:c r="P116" s="4" t="str">
        <x:v>X01</x:v>
      </x:c>
      <x:c r="Q116" s="4" t="str">
        <x:v>【示意】含進口、排除出口；模型估計非零售普查；獨立來源1；來源C級</x:v>
      </x:c>
      <x:c r="R116" s="4" t="str">
        <x:v>低</x:v>
      </x:c>
    </x:row>
    <x:row r="117" ht="38" customHeight="1">
      <x:c r="A117" s="4" t="str">
        <x:v>MY</x:v>
      </x:c>
      <x:c r="B117" s="4" t="str">
        <x:v>國內家具最終銷售預測</x:v>
      </x:c>
      <x:c r="C117" s="4" t="n">
        <x:v>2030</x:v>
      </x:c>
      <x:c r="D117" s="17" t="n">
        <x:v>2852</x:v>
      </x:c>
      <x:c r="E117" s="4" t="str">
        <x:v>百萬USD</x:v>
      </x:c>
      <x:c r="F117" s="17" t="n">
        <x:v>1000000</x:v>
      </x:c>
      <x:c r="G117" s="4" t="str">
        <x:v>USD</x:v>
      </x:c>
      <x:c r="H117" s="17" t="n">
        <x:f>D117*F117</x:f>
        <x:v>2852000000</x:v>
      </x:c>
      <x:c r="I117" s="17" t="n">
        <x:f>INDEX($V$6:$V$19,MATCH(G117,$U$6:$U$19,0))</x:f>
        <x:v>1</x:v>
      </x:c>
      <x:c r="J117" s="36" t="n">
        <x:f>IF(I117&lt;=0,"無有效匯率",H117/I117)</x:f>
        <x:v>2852000000</x:v>
      </x:c>
      <x:c r="K117" s="4" t="str">
        <x:v>USD</x:v>
      </x:c>
      <x:c r="L117" s="36" t="n">
        <x:f>IF(OR(NOT(ISNUMBER(J117)),$V$6&lt;=0),"無有效匯率",J117*$V$6)</x:f>
        <x:v>88886287600</x:v>
      </x:c>
      <x:c r="M117" s="4" t="str">
        <x:v>TWD</x:v>
      </x:c>
      <x:c r="N117" s="4" t="str">
        <x:v>MY18</x:v>
      </x:c>
      <x:c r="O117" s="4" t="str">
        <x:v>https://www.kenresearch.com/industry-reports/malaysia-furniture-market</x:v>
      </x:c>
      <x:c r="P117" s="4" t="str">
        <x:v>X01</x:v>
      </x:c>
      <x:c r="Q117" s="4" t="str">
        <x:v>【預測／示意】報告年度表2030模型；非實際；獨立來源1；來源C級</x:v>
      </x:c>
      <x:c r="R117" s="4" t="str">
        <x:v>低</x:v>
      </x:c>
    </x:row>
    <x:row r="118" ht="38" customHeight="1">
      <x:c r="A118" s="4" t="str">
        <x:v>MY</x:v>
      </x:c>
      <x:c r="B118" s="4" t="str">
        <x:v>家具與室內設計混合市場模型</x:v>
      </x:c>
      <x:c r="C118" s="4" t="n">
        <x:v>2025</x:v>
      </x:c>
      <x:c r="D118" s="17" t="n">
        <x:v>2430</x:v>
      </x:c>
      <x:c r="E118" s="4" t="str">
        <x:v>百萬USD</x:v>
      </x:c>
      <x:c r="F118" s="17" t="n">
        <x:v>1000000</x:v>
      </x:c>
      <x:c r="G118" s="4" t="str">
        <x:v>USD</x:v>
      </x:c>
      <x:c r="H118" s="17" t="n">
        <x:f>D118*F118</x:f>
        <x:v>2430000000</x:v>
      </x:c>
      <x:c r="I118" s="17" t="n">
        <x:f>INDEX($V$6:$V$19,MATCH(G118,$U$6:$U$19,0))</x:f>
        <x:v>1</x:v>
      </x:c>
      <x:c r="J118" s="36" t="n">
        <x:f>IF(I118&lt;=0,"無有效匯率",H118/I118)</x:f>
        <x:v>2430000000</x:v>
      </x:c>
      <x:c r="K118" s="4" t="str">
        <x:v>USD</x:v>
      </x:c>
      <x:c r="L118" s="36" t="n">
        <x:f>IF(OR(NOT(ISNUMBER(J118)),$V$6&lt;=0),"無有效匯率",J118*$V$6)</x:f>
        <x:v>75734109000</x:v>
      </x:c>
      <x:c r="M118" s="4" t="str">
        <x:v>TWD</x:v>
      </x:c>
      <x:c r="N118" s="4" t="str">
        <x:v>MY19</x:v>
      </x:c>
      <x:c r="O118" s="4" t="str">
        <x:v>https://www.kenresearch.com/malaysia-furniture-and-interior-design-market</x:v>
      </x:c>
      <x:c r="P118" s="4" t="str">
        <x:v>X01</x:v>
      </x:c>
      <x:c r="Q118" s="4" t="str">
        <x:v>【示意】住宅／商用家具、家飾、設計費，聲稱避免FF&amp;E重複；不可當純設計；獨立來源1；來源C級</x:v>
      </x:c>
      <x:c r="R118" s="4" t="str">
        <x:v>低</x:v>
      </x:c>
    </x:row>
    <x:row r="119" ht="52" customHeight="1">
      <x:c r="A119" s="4" t="str">
        <x:v>MY</x:v>
      </x:c>
      <x:c r="B119" s="4" t="str">
        <x:v>家具與室內設計混合市場預測</x:v>
      </x:c>
      <x:c r="C119" s="4" t="n">
        <x:v>2030</x:v>
      </x:c>
      <x:c r="D119" s="17" t="n">
        <x:v>3456</x:v>
      </x:c>
      <x:c r="E119" s="4" t="str">
        <x:v>百萬USD</x:v>
      </x:c>
      <x:c r="F119" s="17" t="n">
        <x:v>1000000</x:v>
      </x:c>
      <x:c r="G119" s="4" t="str">
        <x:v>USD</x:v>
      </x:c>
      <x:c r="H119" s="17" t="n">
        <x:f>D119*F119</x:f>
        <x:v>3456000000</x:v>
      </x:c>
      <x:c r="I119" s="17" t="n">
        <x:f>INDEX($V$6:$V$19,MATCH(G119,$U$6:$U$19,0))</x:f>
        <x:v>1</x:v>
      </x:c>
      <x:c r="J119" s="36" t="n">
        <x:f>IF(I119&lt;=0,"無有效匯率",H119/I119)</x:f>
        <x:v>3456000000</x:v>
      </x:c>
      <x:c r="K119" s="4" t="str">
        <x:v>USD</x:v>
      </x:c>
      <x:c r="L119" s="36" t="n">
        <x:f>IF(OR(NOT(ISNUMBER(J119)),$V$6&lt;=0),"無有效匯率",J119*$V$6)</x:f>
        <x:v>107710732800</x:v>
      </x:c>
      <x:c r="M119" s="4" t="str">
        <x:v>TWD</x:v>
      </x:c>
      <x:c r="N119" s="4" t="str">
        <x:v>MY19</x:v>
      </x:c>
      <x:c r="O119" s="4" t="str">
        <x:v>https://www.kenresearch.com/malaysia-furniture-and-interior-design-market</x:v>
      </x:c>
      <x:c r="P119" s="4" t="str">
        <x:v>X01</x:v>
      </x:c>
      <x:c r="Q119" s="4" t="str">
        <x:v>【預測／示意】報告年度表2030；首頁另有預測末年誤標，信心低；獨立來源1；來源C級；查核限制：年度表2025 USD2,430m、2030 USD3,456m；範圍混合家具、家飾及設計費；頁首末年另有矛盾。</x:v>
      </x:c>
      <x:c r="R119" s="4" t="str">
        <x:v>低</x:v>
      </x:c>
    </x:row>
    <x:row r="120" ht="38" customHeight="1">
      <x:c r="A120" s="4" t="str">
        <x:v>MY</x:v>
      </x:c>
      <x:c r="B120" s="4" t="str">
        <x:v>吉隆坡商辦裝修成本</x:v>
      </x:c>
      <x:c r="C120" s="4" t="n">
        <x:v>2026</x:v>
      </x:c>
      <x:c r="D120" s="20" t="n">
        <x:v>861.1128333367777</x:v>
      </x:c>
      <x:c r="E120" s="4" t="str">
        <x:v>USD/m²</x:v>
      </x:c>
      <x:c r="F120" s="17" t="n">
        <x:v>1</x:v>
      </x:c>
      <x:c r="G120" s="4" t="str">
        <x:v>USD</x:v>
      </x:c>
      <x:c r="H120" s="20" t="n">
        <x:f>D120*F120</x:f>
        <x:v>861.1128333367777</x:v>
      </x:c>
      <x:c r="I120" s="17" t="n">
        <x:f>INDEX($V$6:$V$19,MATCH(G120,$U$6:$U$19,0))</x:f>
        <x:v>1</x:v>
      </x:c>
      <x:c r="J120" s="36" t="n">
        <x:f>IF(I120&lt;=0,"無有效匯率",H120/I120)</x:f>
        <x:v>861.1128333367777</x:v>
      </x:c>
      <x:c r="K120" s="4" t="str">
        <x:v>USD/m²</x:v>
      </x:c>
      <x:c r="L120" s="36" t="n">
        <x:f>IF(OR(NOT(ISNUMBER(J120)),$V$6&lt;=0),"無有效匯率",J120*$V$6)</x:f>
        <x:v>26837.700897624014</x:v>
      </x:c>
      <x:c r="M120" s="4" t="str">
        <x:v>TWD/m²</x:v>
      </x:c>
      <x:c r="N120" s="4" t="str">
        <x:v>X02</x:v>
      </x:c>
      <x:c r="O120" s="4" t="str">
        <x:v>https://digital.cushmanwakefield.com/fitoutcostguide-03-2026-apac-regional-en-content-pds-office/30-31/</x:v>
      </x:c>
      <x:c r="P120" s="4" t="str">
        <x:v>X01</x:v>
      </x:c>
      <x:c r="Q120" s="4" t="str">
        <x:v>【示意】C&amp;W 2026商辦fit-out，價格基準2025年12月；USD/ft²÷0.09290304，非住宅報價，報告自身匯率；獨立來源1；來源B級</x:v>
      </x:c>
      <x:c r="R120" s="4" t="str">
        <x:v>低</x:v>
      </x:c>
    </x:row>
    <x:row r="121" ht="38" customHeight="1">
      <x:c r="A121" s="4" t="str">
        <x:v>TH</x:v>
      </x:c>
      <x:c r="B121" s="4" t="str">
        <x:v>人均GDP</x:v>
      </x:c>
      <x:c r="C121" s="4" t="n">
        <x:v>2025</x:v>
      </x:c>
      <x:c r="D121" s="21" t="n">
        <x:v>8056.564</x:v>
      </x:c>
      <x:c r="E121" s="4" t="str">
        <x:v>USD/人</x:v>
      </x:c>
      <x:c r="F121" s="17" t="n">
        <x:v>1</x:v>
      </x:c>
      <x:c r="G121" s="4" t="str">
        <x:v>USD</x:v>
      </x:c>
      <x:c r="H121" s="21" t="n">
        <x:f>D121*F121</x:f>
        <x:v>8056.564</x:v>
      </x:c>
      <x:c r="I121" s="17" t="n">
        <x:f>INDEX($V$6:$V$19,MATCH(G121,$U$6:$U$19,0))</x:f>
        <x:v>1</x:v>
      </x:c>
      <x:c r="J121" s="36" t="n">
        <x:f>IF(I121&lt;=0,"無有效匯率",H121/I121)</x:f>
        <x:v>8056.564</x:v>
      </x:c>
      <x:c r="K121" s="4" t="str">
        <x:v>USD/人</x:v>
      </x:c>
      <x:c r="L121" s="36" t="n">
        <x:f>IF(OR(NOT(ISNUMBER(J121)),$V$6&lt;=0),"無有效匯率",J121*$V$6)</x:f>
        <x:v>251093.2905932</x:v>
      </x:c>
      <x:c r="M121" s="4" t="str">
        <x:v>TWD/人</x:v>
      </x:c>
      <x:c r="N121" s="4" t="str">
        <x:v>MTH</x:v>
      </x:c>
      <x:c r="O121" s="4" t="str">
        <x:v>https://data.worldbank.org/country/thailand</x:v>
      </x:c>
      <x:c r="P121" s="4" t="str">
        <x:v>X01</x:v>
      </x:c>
      <x:c r="Q121" s="4" t="str">
        <x:v>【示意】名目、現價美元；WDI 2025歷史數列，可能修訂，非家庭可支配所得；獨立來源1；來源A級</x:v>
      </x:c>
      <x:c r="R121" s="4" t="str">
        <x:v>低</x:v>
      </x:c>
    </x:row>
    <x:row r="122" ht="30" customHeight="1">
      <x:c r="A122" s="4" t="str">
        <x:v>TH</x:v>
      </x:c>
      <x:c r="B122" s="4" t="str">
        <x:v>GDP</x:v>
      </x:c>
      <x:c r="C122" s="4" t="n">
        <x:v>2025</x:v>
      </x:c>
      <x:c r="D122" s="17" t="n">
        <x:v>577010000000</x:v>
      </x:c>
      <x:c r="E122" s="4" t="str">
        <x:v>USD</x:v>
      </x:c>
      <x:c r="F122" s="17" t="n">
        <x:v>1</x:v>
      </x:c>
      <x:c r="G122" s="4" t="str">
        <x:v>USD</x:v>
      </x:c>
      <x:c r="H122" s="17" t="n">
        <x:f>D122*F122</x:f>
        <x:v>577010000000</x:v>
      </x:c>
      <x:c r="I122" s="17" t="n">
        <x:f>INDEX($V$6:$V$19,MATCH(G122,$U$6:$U$19,0))</x:f>
        <x:v>1</x:v>
      </x:c>
      <x:c r="J122" s="36" t="n">
        <x:f>IF(I122&lt;=0,"無有效匯率",H122/I122)</x:f>
        <x:v>577010000000</x:v>
      </x:c>
      <x:c r="K122" s="4" t="str">
        <x:v>USD</x:v>
      </x:c>
      <x:c r="L122" s="36" t="n">
        <x:f>IF(OR(NOT(ISNUMBER(J122)),$V$6&lt;=0),"無有效匯率",J122*$V$6)</x:f>
        <x:v>17983266763000</x:v>
      </x:c>
      <x:c r="M122" s="4" t="str">
        <x:v>TWD</x:v>
      </x:c>
      <x:c r="N122" s="4" t="str">
        <x:v>MTH</x:v>
      </x:c>
      <x:c r="O122" s="4" t="str">
        <x:v>https://data.worldbank.org/country/thailand</x:v>
      </x:c>
      <x:c r="P122" s="4" t="str">
        <x:v>X01</x:v>
      </x:c>
      <x:c r="Q122" s="4" t="str">
        <x:v>【示意】WDI 2025現價；頁面billion/trillion四捨五入值；獨立來源1；來源A級</x:v>
      </x:c>
      <x:c r="R122" s="4" t="str">
        <x:v>低</x:v>
      </x:c>
    </x:row>
    <x:row r="123" ht="30" customHeight="1">
      <x:c r="A123" s="4" t="str">
        <x:v>TH</x:v>
      </x:c>
      <x:c r="B123" s="4" t="str">
        <x:v>HomePro合併銷售收入</x:v>
      </x:c>
      <x:c r="C123" s="4" t="n">
        <x:v>2025</x:v>
      </x:c>
      <x:c r="D123" s="18" t="n">
        <x:v>65955.18</x:v>
      </x:c>
      <x:c r="E123" s="4" t="str">
        <x:v>百萬THB</x:v>
      </x:c>
      <x:c r="F123" s="17" t="n">
        <x:v>1000000</x:v>
      </x:c>
      <x:c r="G123" s="4" t="str">
        <x:v>THB</x:v>
      </x:c>
      <x:c r="H123" s="22" t="n">
        <x:f>D123*F123</x:f>
        <x:v>65955179999.99999</x:v>
      </x:c>
      <x:c r="I123" s="35" t="n">
        <x:f>INDEX($V$6:$V$19,MATCH(G123,$U$6:$U$19,0))</x:f>
        <x:v>32.8619</x:v>
      </x:c>
      <x:c r="J123" s="36" t="n">
        <x:f>IF(I123&lt;=0,"無有效匯率",H123/I123)</x:f>
        <x:v>2007040980.5884626</x:v>
      </x:c>
      <x:c r="K123" s="4" t="str">
        <x:v>USD</x:v>
      </x:c>
      <x:c r="L123" s="36" t="n">
        <x:f>IF(OR(NOT(ISNUMBER(J123)),$V$6&lt;=0),"無有效匯率",J123*$V$6)</x:f>
        <x:v>62552041313.3142</x:v>
      </x:c>
      <x:c r="M123" s="4" t="str">
        <x:v>TWD</x:v>
      </x:c>
      <x:c r="N123" s="4" t="str">
        <x:v>TH01</x:v>
      </x:c>
      <x:c r="O123" s="4" t="str">
        <x:v>https://hmpro.listedcompany.com/financial_highlights.html</x:v>
      </x:c>
      <x:c r="P123" s="4" t="str">
        <x:v>X01</x:v>
      </x:c>
      <x:c r="Q123" s="4" t="str">
        <x:v>【示意】Sales income；合併商品銷售，不是施工收入；獨立來源1；來源A級</x:v>
      </x:c>
      <x:c r="R123" s="4" t="str">
        <x:v>低</x:v>
      </x:c>
    </x:row>
    <x:row r="124" ht="30" customHeight="1">
      <x:c r="A124" s="4" t="str">
        <x:v>TH</x:v>
      </x:c>
      <x:c r="B124" s="4" t="str">
        <x:v>HomePro合併總收入</x:v>
      </x:c>
      <x:c r="C124" s="4" t="n">
        <x:v>2025</x:v>
      </x:c>
      <x:c r="D124" s="18" t="n">
        <x:v>70569.77</x:v>
      </x:c>
      <x:c r="E124" s="4" t="str">
        <x:v>百萬THB</x:v>
      </x:c>
      <x:c r="F124" s="17" t="n">
        <x:v>1000000</x:v>
      </x:c>
      <x:c r="G124" s="4" t="str">
        <x:v>THB</x:v>
      </x:c>
      <x:c r="H124" s="17" t="n">
        <x:f>D124*F124</x:f>
        <x:v>70569770000</x:v>
      </x:c>
      <x:c r="I124" s="35" t="n">
        <x:f>INDEX($V$6:$V$19,MATCH(G124,$U$6:$U$19,0))</x:f>
        <x:v>32.8619</x:v>
      </x:c>
      <x:c r="J124" s="36" t="n">
        <x:f>IF(I124&lt;=0,"無有效匯率",H124/I124)</x:f>
        <x:v>2147464693.1552954</x:v>
      </x:c>
      <x:c r="K124" s="4" t="str">
        <x:v>USD</x:v>
      </x:c>
      <x:c r="L124" s="36" t="n">
        <x:f>IF(OR(NOT(ISNUMBER(J124)),$V$6&lt;=0),"無有效匯率",J124*$V$6)</x:f>
        <x:v>66928528866.28588</x:v>
      </x:c>
      <x:c r="M124" s="4" t="str">
        <x:v>TWD</x:v>
      </x:c>
      <x:c r="N124" s="4" t="str">
        <x:v>TH01</x:v>
      </x:c>
      <x:c r="O124" s="4" t="str">
        <x:v>https://hmpro.listedcompany.com/financial_highlights.html</x:v>
      </x:c>
      <x:c r="P124" s="4" t="str">
        <x:v>X01</x:v>
      </x:c>
      <x:c r="Q124" s="4" t="str">
        <x:v>【示意】Total revenues；含零售等跨業務，不等於泰國翻修市場；獨立來源1；來源A級</x:v>
      </x:c>
      <x:c r="R124" s="4" t="str">
        <x:v>低</x:v>
      </x:c>
    </x:row>
    <x:row r="125" ht="30" customHeight="1">
      <x:c r="A125" s="4" t="str">
        <x:v>TH</x:v>
      </x:c>
      <x:c r="B125" s="4" t="str">
        <x:v>HomePro合併淨利</x:v>
      </x:c>
      <x:c r="C125" s="4" t="n">
        <x:v>2025</x:v>
      </x:c>
      <x:c r="D125" s="18" t="n">
        <x:v>6011.39</x:v>
      </x:c>
      <x:c r="E125" s="4" t="str">
        <x:v>百萬THB</x:v>
      </x:c>
      <x:c r="F125" s="17" t="n">
        <x:v>1000000</x:v>
      </x:c>
      <x:c r="G125" s="4" t="str">
        <x:v>THB</x:v>
      </x:c>
      <x:c r="H125" s="17" t="n">
        <x:f>D125*F125</x:f>
        <x:v>6011390000</x:v>
      </x:c>
      <x:c r="I125" s="35" t="n">
        <x:f>INDEX($V$6:$V$19,MATCH(G125,$U$6:$U$19,0))</x:f>
        <x:v>32.8619</x:v>
      </x:c>
      <x:c r="J125" s="36" t="n">
        <x:f>IF(I125&lt;=0,"無有效匯率",H125/I125)</x:f>
        <x:v>182928862.9081094</x:v>
      </x:c>
      <x:c r="K125" s="4" t="str">
        <x:v>USD</x:v>
      </x:c>
      <x:c r="L125" s="36" t="n">
        <x:f>IF(OR(NOT(ISNUMBER(J125)),$V$6&lt;=0),"無有效匯率",J125*$V$6)</x:f>
        <x:v>5701215820.05301</x:v>
      </x:c>
      <x:c r="M125" s="4" t="str">
        <x:v>TWD</x:v>
      </x:c>
      <x:c r="N125" s="4" t="str">
        <x:v>TH01</x:v>
      </x:c>
      <x:c r="O125" s="4" t="str">
        <x:v>https://hmpro.listedcompany.com/financial_highlights.html</x:v>
      </x:c>
      <x:c r="P125" s="4" t="str">
        <x:v>X01</x:v>
      </x:c>
      <x:c r="Q125" s="4" t="str">
        <x:v>【示意】公司整體，不是施工案淨利；獨立來源1；來源A級</x:v>
      </x:c>
      <x:c r="R125" s="4" t="str">
        <x:v>低</x:v>
      </x:c>
    </x:row>
    <x:row r="126" ht="38" customHeight="1">
      <x:c r="A126" s="4" t="str">
        <x:v>TH</x:v>
      </x:c>
      <x:c r="B126" s="4" t="str">
        <x:v>Index Living Mall銷售收入</x:v>
      </x:c>
      <x:c r="C126" s="4" t="n">
        <x:v>2025</x:v>
      </x:c>
      <x:c r="D126" s="19" t="n">
        <x:v>9053.7</x:v>
      </x:c>
      <x:c r="E126" s="4" t="str">
        <x:v>百萬THB</x:v>
      </x:c>
      <x:c r="F126" s="17" t="n">
        <x:v>1000000</x:v>
      </x:c>
      <x:c r="G126" s="4" t="str">
        <x:v>THB</x:v>
      </x:c>
      <x:c r="H126" s="17" t="n">
        <x:f>D126*F126</x:f>
        <x:v>9053700000</x:v>
      </x:c>
      <x:c r="I126" s="35" t="n">
        <x:f>INDEX($V$6:$V$19,MATCH(G126,$U$6:$U$19,0))</x:f>
        <x:v>32.8619</x:v>
      </x:c>
      <x:c r="J126" s="36" t="n">
        <x:f>IF(I126&lt;=0,"無有效匯率",H126/I126)</x:f>
        <x:v>275507502.6094048</x:v>
      </x:c>
      <x:c r="K126" s="4" t="str">
        <x:v>USD</x:v>
      </x:c>
      <x:c r="L126" s="36" t="n">
        <x:f>IF(OR(NOT(ISNUMBER(J126)),$V$6&lt;=0),"無有效匯率",J126*$V$6)</x:f>
        <x:v>8586549478.575493</x:v>
      </x:c>
      <x:c r="M126" s="4" t="str">
        <x:v>TWD</x:v>
      </x:c>
      <x:c r="N126" s="4" t="str">
        <x:v>TH02</x:v>
      </x:c>
      <x:c r="O126" s="4" t="str">
        <x:v>https://investor.indexlivingmall.com/th/financial-info/financial-highlights</x:v>
      </x:c>
      <x:c r="P126" s="4" t="str">
        <x:v>X01</x:v>
      </x:c>
      <x:c r="Q126" s="4" t="str">
        <x:v>【示意】產品銷售；佛曆2568；獨立來源1；來源A級</x:v>
      </x:c>
      <x:c r="R126" s="4" t="str">
        <x:v>低</x:v>
      </x:c>
    </x:row>
    <x:row r="127" ht="38" customHeight="1">
      <x:c r="A127" s="4" t="str">
        <x:v>TH</x:v>
      </x:c>
      <x:c r="B127" s="4" t="str">
        <x:v>Index Living Mall租賃及服務收入</x:v>
      </x:c>
      <x:c r="C127" s="4" t="n">
        <x:v>2025</x:v>
      </x:c>
      <x:c r="D127" s="19" t="n">
        <x:v>803.5</x:v>
      </x:c>
      <x:c r="E127" s="4" t="str">
        <x:v>百萬THB</x:v>
      </x:c>
      <x:c r="F127" s="17" t="n">
        <x:v>1000000</x:v>
      </x:c>
      <x:c r="G127" s="4" t="str">
        <x:v>THB</x:v>
      </x:c>
      <x:c r="H127" s="17" t="n">
        <x:f>D127*F127</x:f>
        <x:v>803500000</x:v>
      </x:c>
      <x:c r="I127" s="35" t="n">
        <x:f>INDEX($V$6:$V$19,MATCH(G127,$U$6:$U$19,0))</x:f>
        <x:v>32.8619</x:v>
      </x:c>
      <x:c r="J127" s="36" t="n">
        <x:f>IF(I127&lt;=0,"無有效匯率",H127/I127)</x:f>
        <x:v>24450807.77435267</x:v>
      </x:c>
      <x:c r="K127" s="4" t="str">
        <x:v>USD</x:v>
      </x:c>
      <x:c r="L127" s="36" t="n">
        <x:f>IF(OR(NOT(ISNUMBER(J127)),$V$6&lt;=0),"無有效匯率",J127*$V$6)</x:f>
        <x:v>762041210.3378077</x:v>
      </x:c>
      <x:c r="M127" s="4" t="str">
        <x:v>TWD</x:v>
      </x:c>
      <x:c r="N127" s="4" t="str">
        <x:v>TH02</x:v>
      </x:c>
      <x:c r="O127" s="4" t="str">
        <x:v>https://investor.indexlivingmall.com/th/financial-info/financial-highlights</x:v>
      </x:c>
      <x:c r="P127" s="4" t="str">
        <x:v>X01</x:v>
      </x:c>
      <x:c r="Q127" s="4" t="str">
        <x:v>【示意】租賃及服務；非純設計服務；獨立來源1；來源A級</x:v>
      </x:c>
      <x:c r="R127" s="4" t="str">
        <x:v>低</x:v>
      </x:c>
    </x:row>
    <x:row r="128" ht="38" customHeight="1">
      <x:c r="A128" s="4" t="str">
        <x:v>TH</x:v>
      </x:c>
      <x:c r="B128" s="4" t="str">
        <x:v>Index Living Mall營運收入</x:v>
      </x:c>
      <x:c r="C128" s="4" t="n">
        <x:v>2025</x:v>
      </x:c>
      <x:c r="D128" s="19" t="n">
        <x:v>9857.2</x:v>
      </x:c>
      <x:c r="E128" s="4" t="str">
        <x:v>百萬THB</x:v>
      </x:c>
      <x:c r="F128" s="17" t="n">
        <x:v>1000000</x:v>
      </x:c>
      <x:c r="G128" s="4" t="str">
        <x:v>THB</x:v>
      </x:c>
      <x:c r="H128" s="17" t="n">
        <x:f>D128*F128</x:f>
        <x:v>9857200000</x:v>
      </x:c>
      <x:c r="I128" s="35" t="n">
        <x:f>INDEX($V$6:$V$19,MATCH(G128,$U$6:$U$19,0))</x:f>
        <x:v>32.8619</x:v>
      </x:c>
      <x:c r="J128" s="36" t="n">
        <x:f>IF(I128&lt;=0,"無有效匯率",H128/I128)</x:f>
        <x:v>299958310.3837575</x:v>
      </x:c>
      <x:c r="K128" s="4" t="str">
        <x:v>USD</x:v>
      </x:c>
      <x:c r="L128" s="36" t="n">
        <x:f>IF(OR(NOT(ISNUMBER(J128)),$V$6&lt;=0),"無有效匯率",J128*$V$6)</x:f>
        <x:v>9348590688.9133</x:v>
      </x:c>
      <x:c r="M128" s="4" t="str">
        <x:v>TWD</x:v>
      </x:c>
      <x:c r="N128" s="4" t="str">
        <x:v>TH02</x:v>
      </x:c>
      <x:c r="O128" s="4" t="str">
        <x:v>https://investor.indexlivingmall.com/th/financial-info/financial-highlights</x:v>
      </x:c>
      <x:c r="P128" s="4" t="str">
        <x:v>X01</x:v>
      </x:c>
      <x:c r="Q128" s="4" t="str">
        <x:v>【示意】銷售+租賃服務，未含其他收入144.0；獨立來源1；來源A級</x:v>
      </x:c>
      <x:c r="R128" s="4" t="str">
        <x:v>低</x:v>
      </x:c>
    </x:row>
    <x:row r="129" ht="38" customHeight="1">
      <x:c r="A129" s="4" t="str">
        <x:v>TH</x:v>
      </x:c>
      <x:c r="B129" s="4" t="str">
        <x:v>Index Living Mall總收入</x:v>
      </x:c>
      <x:c r="C129" s="4" t="n">
        <x:v>2025</x:v>
      </x:c>
      <x:c r="D129" s="19" t="n">
        <x:v>10001.2</x:v>
      </x:c>
      <x:c r="E129" s="4" t="str">
        <x:v>百萬THB</x:v>
      </x:c>
      <x:c r="F129" s="17" t="n">
        <x:v>1000000</x:v>
      </x:c>
      <x:c r="G129" s="4" t="str">
        <x:v>THB</x:v>
      </x:c>
      <x:c r="H129" s="17" t="n">
        <x:f>D129*F129</x:f>
        <x:v>10001200000</x:v>
      </x:c>
      <x:c r="I129" s="35" t="n">
        <x:f>INDEX($V$6:$V$19,MATCH(G129,$U$6:$U$19,0))</x:f>
        <x:v>32.8619</x:v>
      </x:c>
      <x:c r="J129" s="36" t="n">
        <x:f>IF(I129&lt;=0,"無有效匯率",H129/I129)</x:f>
        <x:v>304340284.6457448</x:v>
      </x:c>
      <x:c r="K129" s="4" t="str">
        <x:v>USD</x:v>
      </x:c>
      <x:c r="L129" s="36" t="n">
        <x:f>IF(OR(NOT(ISNUMBER(J129)),$V$6&lt;=0),"無有效匯率",J129*$V$6)</x:f>
        <x:v>9485160613.354675</x:v>
      </x:c>
      <x:c r="M129" s="4" t="str">
        <x:v>TWD</x:v>
      </x:c>
      <x:c r="N129" s="4" t="str">
        <x:v>TH02</x:v>
      </x:c>
      <x:c r="O129" s="4" t="str">
        <x:v>https://investor.indexlivingmall.com/th/financial-info/financial-highlights</x:v>
      </x:c>
      <x:c r="P129" s="4" t="str">
        <x:v>X01</x:v>
      </x:c>
      <x:c r="Q129" s="4" t="str">
        <x:v>【示意】含其他收入；不同於營運收入9857.2；獨立來源1；來源A級</x:v>
      </x:c>
      <x:c r="R129" s="4" t="str">
        <x:v>低</x:v>
      </x:c>
    </x:row>
    <x:row r="130" ht="38" customHeight="1">
      <x:c r="A130" s="4" t="str">
        <x:v>TH</x:v>
      </x:c>
      <x:c r="B130" s="4" t="str">
        <x:v>Index Living Mall母公司股東淨利</x:v>
      </x:c>
      <x:c r="C130" s="4" t="n">
        <x:v>2025</x:v>
      </x:c>
      <x:c r="D130" s="19" t="n">
        <x:v>753.2</x:v>
      </x:c>
      <x:c r="E130" s="4" t="str">
        <x:v>百萬THB</x:v>
      </x:c>
      <x:c r="F130" s="17" t="n">
        <x:v>1000000</x:v>
      </x:c>
      <x:c r="G130" s="4" t="str">
        <x:v>THB</x:v>
      </x:c>
      <x:c r="H130" s="17" t="n">
        <x:f>D130*F130</x:f>
        <x:v>753200000</x:v>
      </x:c>
      <x:c r="I130" s="35" t="n">
        <x:f>INDEX($V$6:$V$19,MATCH(G130,$U$6:$U$19,0))</x:f>
        <x:v>32.8619</x:v>
      </x:c>
      <x:c r="J130" s="36" t="n">
        <x:f>IF(I130&lt;=0,"無有效匯率",H130/I130)</x:f>
        <x:v>22920159.820339058</x:v>
      </x:c>
      <x:c r="K130" s="4" t="str">
        <x:v>USD</x:v>
      </x:c>
      <x:c r="L130" s="36" t="n">
        <x:f>IF(OR(NOT(ISNUMBER(J130)),$V$6&lt;=0),"無有效匯率",J130*$V$6)</x:f>
        <x:v>714336577.0086331</x:v>
      </x:c>
      <x:c r="M130" s="4" t="str">
        <x:v>TWD</x:v>
      </x:c>
      <x:c r="N130" s="4" t="str">
        <x:v>TH02</x:v>
      </x:c>
      <x:c r="O130" s="4" t="str">
        <x:v>https://investor.indexlivingmall.com/th/financial-info/financial-highlights</x:v>
      </x:c>
      <x:c r="P130" s="4" t="str">
        <x:v>X01</x:v>
      </x:c>
      <x:c r="Q130" s="4" t="str">
        <x:v>【示意】profit attributable to parent；獨立來源1；來源A級</x:v>
      </x:c>
      <x:c r="R130" s="4" t="str">
        <x:v>低</x:v>
      </x:c>
    </x:row>
    <x:row r="131" ht="38" customHeight="1">
      <x:c r="A131" s="4" t="str">
        <x:v>TH</x:v>
      </x:c>
      <x:c r="B131" s="4" t="str">
        <x:v>住宅移轉金額</x:v>
      </x:c>
      <x:c r="C131" s="4" t="n">
        <x:v>2025</x:v>
      </x:c>
      <x:c r="D131" s="17" t="n">
        <x:v>864913</x:v>
      </x:c>
      <x:c r="E131" s="4" t="str">
        <x:v>百萬THB</x:v>
      </x:c>
      <x:c r="F131" s="17" t="n">
        <x:v>1000000</x:v>
      </x:c>
      <x:c r="G131" s="4" t="str">
        <x:v>THB</x:v>
      </x:c>
      <x:c r="H131" s="17" t="n">
        <x:f>D131*F131</x:f>
        <x:v>864913000000</x:v>
      </x:c>
      <x:c r="I131" s="35" t="n">
        <x:f>INDEX($V$6:$V$19,MATCH(G131,$U$6:$U$19,0))</x:f>
        <x:v>32.8619</x:v>
      </x:c>
      <x:c r="J131" s="36" t="n">
        <x:f>IF(I131&lt;=0,"無有效匯率",H131/I131)</x:f>
        <x:v>26319628505.95979</x:v>
      </x:c>
      <x:c r="K131" s="4" t="str">
        <x:v>USD</x:v>
      </x:c>
      <x:c r="L131" s="36" t="n">
        <x:f>IF(OR(NOT(ISNUMBER(J131)),$V$6&lt;=0),"無有效匯率",J131*$V$6)</x:f>
        <x:v>820285437905.2946</x:v>
      </x:c>
      <x:c r="M131" s="4" t="str">
        <x:v>TWD</x:v>
      </x:c>
      <x:c r="N131" s="4" t="str">
        <x:v>TH04</x:v>
      </x:c>
      <x:c r="O131" s="4" t="str">
        <x:v>https://ns2.reic.or.th/Upload/REIC-PressRelease-260225_52843_1772017693_79203.pdf</x:v>
      </x:c>
      <x:c r="P131" s="4" t="str">
        <x:v>X01</x:v>
      </x:c>
      <x:c r="Q131" s="4" t="str">
        <x:v>【示意】不動產交易價款，不是裝修支出；獨立來源1；來源A級</x:v>
      </x:c>
      <x:c r="R131" s="4" t="str">
        <x:v>低</x:v>
      </x:c>
    </x:row>
    <x:row r="132" ht="38" customHeight="1">
      <x:c r="A132" s="4" t="str">
        <x:v>TH</x:v>
      </x:c>
      <x:c r="B132" s="4" t="str">
        <x:v>外國買方公寓移轉金額</x:v>
      </x:c>
      <x:c r="C132" s="4" t="n">
        <x:v>2025</x:v>
      </x:c>
      <x:c r="D132" s="17" t="n">
        <x:v>60921</x:v>
      </x:c>
      <x:c r="E132" s="4" t="str">
        <x:v>百萬THB</x:v>
      </x:c>
      <x:c r="F132" s="17" t="n">
        <x:v>1000000</x:v>
      </x:c>
      <x:c r="G132" s="4" t="str">
        <x:v>THB</x:v>
      </x:c>
      <x:c r="H132" s="17" t="n">
        <x:f>D132*F132</x:f>
        <x:v>60921000000</x:v>
      </x:c>
      <x:c r="I132" s="35" t="n">
        <x:f>INDEX($V$6:$V$19,MATCH(G132,$U$6:$U$19,0))</x:f>
        <x:v>32.8619</x:v>
      </x:c>
      <x:c r="J132" s="36" t="n">
        <x:f>IF(I132&lt;=0,"無有效匯率",H132/I132)</x:f>
        <x:v>1853848986.2119963</x:v>
      </x:c>
      <x:c r="K132" s="4" t="str">
        <x:v>USD</x:v>
      </x:c>
      <x:c r="L132" s="36" t="n">
        <x:f>IF(OR(NOT(ISNUMBER(J132)),$V$6&lt;=0),"無有效匯率",J132*$V$6)</x:f>
        <x:v>57777613658.97894</x:v>
      </x:c>
      <x:c r="M132" s="4" t="str">
        <x:v>TWD</x:v>
      </x:c>
      <x:c r="N132" s="4" t="str">
        <x:v>TH04</x:v>
      </x:c>
      <x:c r="O132" s="4" t="str">
        <x:v>https://ns2.reic.or.th/Upload/REIC-PressRelease-260225_52843_1772017693_79203.pdf</x:v>
      </x:c>
      <x:c r="P132" s="4" t="str">
        <x:v>X01</x:v>
      </x:c>
      <x:c r="Q132" s="4" t="str">
        <x:v>【示意】外國買方condominium交易金額；獨立來源1；來源A級</x:v>
      </x:c>
      <x:c r="R132" s="4" t="str">
        <x:v>低</x:v>
      </x:c>
    </x:row>
    <x:row r="133" ht="38" customHeight="1">
      <x:c r="A133" s="4" t="str">
        <x:v>TH</x:v>
      </x:c>
      <x:c r="B133" s="4" t="str">
        <x:v>建築及相關顧問活動營收</x:v>
      </x:c>
      <x:c r="C133" s="4" t="n">
        <x:v>2025</x:v>
      </x:c>
      <x:c r="D133" s="17" t="n">
        <x:v>33400</x:v>
      </x:c>
      <x:c r="E133" s="4" t="str">
        <x:v>百萬THB</x:v>
      </x:c>
      <x:c r="F133" s="17" t="n">
        <x:v>1000000</x:v>
      </x:c>
      <x:c r="G133" s="4" t="str">
        <x:v>THB</x:v>
      </x:c>
      <x:c r="H133" s="17" t="n">
        <x:f>D133*F133</x:f>
        <x:v>33400000000</x:v>
      </x:c>
      <x:c r="I133" s="35" t="n">
        <x:f>INDEX($V$6:$V$19,MATCH(G133,$U$6:$U$19,0))</x:f>
        <x:v>32.8619</x:v>
      </x:c>
      <x:c r="J133" s="36" t="n">
        <x:f>IF(I133&lt;=0,"無有效匯率",H133/I133)</x:f>
        <x:v>1016374585.7664956</x:v>
      </x:c>
      <x:c r="K133" s="4" t="str">
        <x:v>USD</x:v>
      </x:c>
      <x:c r="L133" s="36" t="n">
        <x:f>IF(OR(NOT(ISNUMBER(J133)),$V$6&lt;=0),"無有效匯率",J133*$V$6)</x:f>
        <x:v>31676635252.374332</x:v>
      </x:c>
      <x:c r="M133" s="4" t="str">
        <x:v>TWD</x:v>
      </x:c>
      <x:c r="N133" s="4" t="str">
        <x:v>TH07</x:v>
      </x:c>
      <x:c r="O133" s="4" t="str">
        <x:v>https://www.dtn.go.th/th/file/get/file/1.20260925e1a479df9a0c4538f665e3ee334f9acc163253.pdf</x:v>
      </x:c>
      <x:c r="P133" s="4" t="str">
        <x:v>X01</x:v>
      </x:c>
      <x:c r="Q133" s="4" t="str">
        <x:v>【示意】DTN引DBD；Architectural and related consultancy，含建築非純室內設計；獨立來源1；來源A級</x:v>
      </x:c>
      <x:c r="R133" s="4" t="str">
        <x:v>低</x:v>
      </x:c>
    </x:row>
    <x:row r="134" ht="30" customHeight="1">
      <x:c r="A134" s="4" t="str">
        <x:v>TH</x:v>
      </x:c>
      <x:c r="B134" s="4" t="str">
        <x:v>HomePro浴室勘查牌價</x:v>
      </x:c>
      <x:c r="C134" s="4" t="str">
        <x:v>2026查閱</x:v>
      </x:c>
      <x:c r="D134" s="17" t="n">
        <x:v>1000</x:v>
      </x:c>
      <x:c r="E134" s="4" t="str">
        <x:v>THB/次</x:v>
      </x:c>
      <x:c r="F134" s="17" t="n">
        <x:v>1</x:v>
      </x:c>
      <x:c r="G134" s="4" t="str">
        <x:v>THB</x:v>
      </x:c>
      <x:c r="H134" s="17" t="n">
        <x:f>D134*F134</x:f>
        <x:v>1000</x:v>
      </x:c>
      <x:c r="I134" s="35" t="n">
        <x:f>INDEX($V$6:$V$19,MATCH(G134,$U$6:$U$19,0))</x:f>
        <x:v>32.8619</x:v>
      </x:c>
      <x:c r="J134" s="36" t="n">
        <x:f>IF(I134&lt;=0,"無有效匯率",H134/I134)</x:f>
        <x:v>30.430376819356155</x:v>
      </x:c>
      <x:c r="K134" s="4" t="str">
        <x:v>USD/次</x:v>
      </x:c>
      <x:c r="L134" s="36" t="n">
        <x:f>IF(OR(NOT(ISNUMBER(J134)),$V$6&lt;=0),"無有效匯率",J134*$V$6)</x:f>
        <x:v>948.4022530650998</x:v>
      </x:c>
      <x:c r="M134" s="4" t="str">
        <x:v>TWD/次</x:v>
      </x:c>
      <x:c r="N134" s="4" t="str">
        <x:v>TH12</x:v>
      </x:c>
      <x:c r="O134" s="4" t="str">
        <x:v>https://shop4you.homepro.co.th/S032/web/302/7000933</x:v>
      </x:c>
      <x:c r="P134" s="4" t="str">
        <x:v>X01</x:v>
      </x:c>
      <x:c r="Q134" s="4" t="str">
        <x:v>【示意】只勘查，促銷499；不是浴室施工總价；獨立來源1；來源C級</x:v>
      </x:c>
      <x:c r="R134" s="4" t="str">
        <x:v>低</x:v>
      </x:c>
    </x:row>
    <x:row r="135" ht="30" customHeight="1">
      <x:c r="A135" s="4" t="str">
        <x:v>TH</x:v>
      </x:c>
      <x:c r="B135" s="4" t="str">
        <x:v>HomePro浴室勘查促銷價</x:v>
      </x:c>
      <x:c r="C135" s="4" t="str">
        <x:v>2026查閱</x:v>
      </x:c>
      <x:c r="D135" s="17" t="n">
        <x:v>499</x:v>
      </x:c>
      <x:c r="E135" s="4" t="str">
        <x:v>THB/次</x:v>
      </x:c>
      <x:c r="F135" s="17" t="n">
        <x:v>1</x:v>
      </x:c>
      <x:c r="G135" s="4" t="str">
        <x:v>THB</x:v>
      </x:c>
      <x:c r="H135" s="17" t="n">
        <x:f>D135*F135</x:f>
        <x:v>499</x:v>
      </x:c>
      <x:c r="I135" s="35" t="n">
        <x:f>INDEX($V$6:$V$19,MATCH(G135,$U$6:$U$19,0))</x:f>
        <x:v>32.8619</x:v>
      </x:c>
      <x:c r="J135" s="36" t="n">
        <x:f>IF(I135&lt;=0,"無有效匯率",H135/I135)</x:f>
        <x:v>15.184758032858722</x:v>
      </x:c>
      <x:c r="K135" s="4" t="str">
        <x:v>USD/次</x:v>
      </x:c>
      <x:c r="L135" s="36" t="n">
        <x:f>IF(OR(NOT(ISNUMBER(J135)),$V$6&lt;=0),"無有效匯率",J135*$V$6)</x:f>
        <x:v>473.25272427948477</x:v>
      </x:c>
      <x:c r="M135" s="4" t="str">
        <x:v>TWD/次</x:v>
      </x:c>
      <x:c r="N135" s="4" t="str">
        <x:v>TH12</x:v>
      </x:c>
      <x:c r="O135" s="4" t="str">
        <x:v>https://shop4you.homepro.co.th/S032/web/302/7000933</x:v>
      </x:c>
      <x:c r="P135" s="4" t="str">
        <x:v>X01</x:v>
      </x:c>
      <x:c r="Q135" s="4" t="str">
        <x:v>【示意】動態商家價格，可隨活動調整；獨立來源1；來源C級</x:v>
      </x:c>
      <x:c r="R135" s="4" t="str">
        <x:v>低</x:v>
      </x:c>
    </x:row>
    <x:row r="136" ht="38" customHeight="1">
      <x:c r="A136" s="4" t="str">
        <x:v>TH</x:v>
      </x:c>
      <x:c r="B136" s="4" t="str">
        <x:v>SCG HOME SPC小案不足面積附加價</x:v>
      </x:c>
      <x:c r="C136" s="4" t="str">
        <x:v>2026查閱</x:v>
      </x:c>
      <x:c r="D136" s="17" t="n">
        <x:v>200</x:v>
      </x:c>
      <x:c r="E136" s="4" t="str">
        <x:v>THB/m²</x:v>
      </x:c>
      <x:c r="F136" s="17" t="n">
        <x:v>1</x:v>
      </x:c>
      <x:c r="G136" s="4" t="str">
        <x:v>THB</x:v>
      </x:c>
      <x:c r="H136" s="17" t="n">
        <x:f>D136*F136</x:f>
        <x:v>200</x:v>
      </x:c>
      <x:c r="I136" s="35" t="n">
        <x:f>INDEX($V$6:$V$19,MATCH(G136,$U$6:$U$19,0))</x:f>
        <x:v>32.8619</x:v>
      </x:c>
      <x:c r="J136" s="36" t="n">
        <x:f>IF(I136&lt;=0,"無有效匯率",H136/I136)</x:f>
        <x:v>6.086075363871231</x:v>
      </x:c>
      <x:c r="K136" s="4" t="str">
        <x:v>USD/m²</x:v>
      </x:c>
      <x:c r="L136" s="36" t="n">
        <x:f>IF(OR(NOT(ISNUMBER(J136)),$V$6&lt;=0),"無有效匯率",J136*$V$6)</x:f>
        <x:v>189.68045061301996</x:v>
      </x:c>
      <x:c r="M136" s="4" t="str">
        <x:v>TWD/m²</x:v>
      </x:c>
      <x:c r="N136" s="4" t="str">
        <x:v>TH13</x:v>
      </x:c>
      <x:c r="O136" s="4" t="str">
        <x:v>https://www.scghome.com/homesolution/flooring/indoor-flooring-spc-laminate/spc-flooring-unix</x:v>
      </x:c>
      <x:c r="P136" s="4" t="str">
        <x:v>X01</x:v>
      </x:c>
      <x:c r="Q136" s="4" t="str">
        <x:v>【示意】不足最低面積的差額計價；不含基礎材料安裝價；獨立來源1；來源C級</x:v>
      </x:c>
      <x:c r="R136" s="4" t="str">
        <x:v>低</x:v>
      </x:c>
    </x:row>
    <x:row r="137" ht="38" customHeight="1">
      <x:c r="A137" s="4" t="str">
        <x:v>TH</x:v>
      </x:c>
      <x:c r="B137" s="4" t="str">
        <x:v>SCG HOME未備妥工地額外回訪費</x:v>
      </x:c>
      <x:c r="C137" s="4" t="str">
        <x:v>2026查閱</x:v>
      </x:c>
      <x:c r="D137" s="17" t="n">
        <x:v>2000</x:v>
      </x:c>
      <x:c r="E137" s="4" t="str">
        <x:v>THB/次</x:v>
      </x:c>
      <x:c r="F137" s="17" t="n">
        <x:v>1</x:v>
      </x:c>
      <x:c r="G137" s="4" t="str">
        <x:v>THB</x:v>
      </x:c>
      <x:c r="H137" s="17" t="n">
        <x:f>D137*F137</x:f>
        <x:v>2000</x:v>
      </x:c>
      <x:c r="I137" s="35" t="n">
        <x:f>INDEX($V$6:$V$19,MATCH(G137,$U$6:$U$19,0))</x:f>
        <x:v>32.8619</x:v>
      </x:c>
      <x:c r="J137" s="36" t="n">
        <x:f>IF(I137&lt;=0,"無有效匯率",H137/I137)</x:f>
        <x:v>60.86075363871231</x:v>
      </x:c>
      <x:c r="K137" s="4" t="str">
        <x:v>USD/次</x:v>
      </x:c>
      <x:c r="L137" s="36" t="n">
        <x:f>IF(OR(NOT(ISNUMBER(J137)),$V$6&lt;=0),"無有效匯率",J137*$V$6)</x:f>
        <x:v>1896.8045061301996</x:v>
      </x:c>
      <x:c r="M137" s="4" t="str">
        <x:v>TWD/次</x:v>
      </x:c>
      <x:c r="N137" s="4" t="str">
        <x:v>TH13</x:v>
      </x:c>
      <x:c r="O137" s="4" t="str">
        <x:v>https://www.scghome.com/homesolution/flooring/indoor-flooring-spc-laminate/spc-flooring-unix</x:v>
      </x:c>
      <x:c r="P137" s="4" t="str">
        <x:v>X01</x:v>
      </x:c>
      <x:c r="Q137" s="4" t="str">
        <x:v>【示意】個別方案，不含找平、垃圾等；獨立來源1；來源C級</x:v>
      </x:c>
      <x:c r="R137" s="4" t="str">
        <x:v>低</x:v>
      </x:c>
    </x:row>
    <x:row r="138" ht="52" customHeight="1">
      <x:c r="A138" s="4" t="str">
        <x:v>TH</x:v>
      </x:c>
      <x:c r="B138" s="4" t="str">
        <x:v>Home improvement零售市場估计</x:v>
      </x:c>
      <x:c r="C138" s="4" t="n">
        <x:v>2024</x:v>
      </x:c>
      <x:c r="D138" s="19" t="n">
        <x:v>182.6</x:v>
      </x:c>
      <x:c r="E138" s="4" t="str">
        <x:v>十億THB</x:v>
      </x:c>
      <x:c r="F138" s="17" t="n">
        <x:v>1000000000</x:v>
      </x:c>
      <x:c r="G138" s="4" t="str">
        <x:v>THB</x:v>
      </x:c>
      <x:c r="H138" s="17" t="n">
        <x:f>D138*F138</x:f>
        <x:v>182600000000</x:v>
      </x:c>
      <x:c r="I138" s="35" t="n">
        <x:f>INDEX($V$6:$V$19,MATCH(G138,$U$6:$U$19,0))</x:f>
        <x:v>32.8619</x:v>
      </x:c>
      <x:c r="J138" s="36" t="n">
        <x:f>IF(I138&lt;=0,"無有效匯率",H138/I138)</x:f>
        <x:v>5556586807.214434</x:v>
      </x:c>
      <x:c r="K138" s="4" t="str">
        <x:v>USD</x:v>
      </x:c>
      <x:c r="L138" s="36" t="n">
        <x:f>IF(OR(NOT(ISNUMBER(J138)),$V$6&lt;=0),"無有效匯率",J138*$V$6)</x:f>
        <x:v>173178251409.6872</x:v>
      </x:c>
      <x:c r="M138" s="4" t="str">
        <x:v>TWD</x:v>
      </x:c>
      <x:c r="N138" s="4" t="str">
        <x:v>TH14</x:v>
      </x:c>
      <x:c r="O138" s="4" t="str">
        <x:v>https://investor.mrdiy.co.th/en/updates/ir-press-release/145/mr-diy-holding-thailand-raises-up-to-thb56-billion-usd173-million-largest-ipo-by-market-capitalisation-on-set-in-the-last-3-years</x:v>
      </x:c>
      <x:c r="P138" s="4" t="str">
        <x:v>X01</x:v>
      </x:c>
      <x:c r="Q138" s="4" t="str">
        <x:v>【示意】MRDIY投資人公告所引產業口徑，含家用品等；非純翻修工程；獨立來源1；來源C級</x:v>
      </x:c>
      <x:c r="R138" s="4" t="str">
        <x:v>低</x:v>
      </x:c>
    </x:row>
    <x:row r="139" ht="52" customHeight="1">
      <x:c r="A139" s="4" t="str">
        <x:v>TH</x:v>
      </x:c>
      <x:c r="B139" s="4" t="str">
        <x:v>Home improvement零售市場預測</x:v>
      </x:c>
      <x:c r="C139" s="4" t="n">
        <x:v>2029</x:v>
      </x:c>
      <x:c r="D139" s="19" t="n">
        <x:v>237.8</x:v>
      </x:c>
      <x:c r="E139" s="4" t="str">
        <x:v>十億THB</x:v>
      </x:c>
      <x:c r="F139" s="17" t="n">
        <x:v>1000000000</x:v>
      </x:c>
      <x:c r="G139" s="4" t="str">
        <x:v>THB</x:v>
      </x:c>
      <x:c r="H139" s="17" t="n">
        <x:f>D139*F139</x:f>
        <x:v>237800000000</x:v>
      </x:c>
      <x:c r="I139" s="35" t="n">
        <x:f>INDEX($V$6:$V$19,MATCH(G139,$U$6:$U$19,0))</x:f>
        <x:v>32.8619</x:v>
      </x:c>
      <x:c r="J139" s="36" t="n">
        <x:f>IF(I139&lt;=0,"無有效匯率",H139/I139)</x:f>
        <x:v>7236343607.642894</x:v>
      </x:c>
      <x:c r="K139" s="4" t="str">
        <x:v>USD</x:v>
      </x:c>
      <x:c r="L139" s="36" t="n">
        <x:f>IF(OR(NOT(ISNUMBER(J139)),$V$6&lt;=0),"無有效匯率",J139*$V$6)</x:f>
        <x:v>225530055778.8807</x:v>
      </x:c>
      <x:c r="M139" s="4" t="str">
        <x:v>TWD</x:v>
      </x:c>
      <x:c r="N139" s="4" t="str">
        <x:v>TH14</x:v>
      </x:c>
      <x:c r="O139" s="4" t="str">
        <x:v>https://investor.mrdiy.co.th/en/updates/ir-press-release/145/mr-diy-holding-thailand-raises-up-to-thb56-billion-usd173-million-largest-ipo-by-market-capitalisation-on-set-in-the-last-3-years</x:v>
      </x:c>
      <x:c r="P139" s="4" t="str">
        <x:v>X01</x:v>
      </x:c>
      <x:c r="Q139" s="4" t="str">
        <x:v>【預測／示意】公告預測，非實際，非2030外推；獨立來源1；來源C級</x:v>
      </x:c>
      <x:c r="R139" s="4" t="str">
        <x:v>低</x:v>
      </x:c>
    </x:row>
    <x:row r="140" ht="52" customHeight="1">
      <x:c r="A140" s="4" t="str">
        <x:v>TH</x:v>
      </x:c>
      <x:c r="B140" s="4" t="str">
        <x:v>MRDIY Thailand營收</x:v>
      </x:c>
      <x:c r="C140" s="4" t="n">
        <x:v>2024</x:v>
      </x:c>
      <x:c r="D140" s="19" t="n">
        <x:v>16.2</x:v>
      </x:c>
      <x:c r="E140" s="4" t="str">
        <x:v>十億THB</x:v>
      </x:c>
      <x:c r="F140" s="17" t="n">
        <x:v>1000000000</x:v>
      </x:c>
      <x:c r="G140" s="4" t="str">
        <x:v>THB</x:v>
      </x:c>
      <x:c r="H140" s="17" t="n">
        <x:f>D140*F140</x:f>
        <x:v>16200000000</x:v>
      </x:c>
      <x:c r="I140" s="35" t="n">
        <x:f>INDEX($V$6:$V$19,MATCH(G140,$U$6:$U$19,0))</x:f>
        <x:v>32.8619</x:v>
      </x:c>
      <x:c r="J140" s="36" t="n">
        <x:f>IF(I140&lt;=0,"無有效匯率",H140/I140)</x:f>
        <x:v>492972104.4735697</x:v>
      </x:c>
      <x:c r="K140" s="4" t="str">
        <x:v>USD</x:v>
      </x:c>
      <x:c r="L140" s="36" t="n">
        <x:f>IF(OR(NOT(ISNUMBER(J140)),$V$6&lt;=0),"無有效匯率",J140*$V$6)</x:f>
        <x:v>15364116499.654615</x:v>
      </x:c>
      <x:c r="M140" s="4" t="str">
        <x:v>TWD</x:v>
      </x:c>
      <x:c r="N140" s="4" t="str">
        <x:v>TH14</x:v>
      </x:c>
      <x:c r="O140" s="4" t="str">
        <x:v>https://investor.mrdiy.co.th/en/updates/ir-press-release/145/mr-diy-holding-thailand-raises-up-to-thb56-billion-usd173-million-largest-ipo-by-market-capitalisation-on-set-in-the-last-3-years</x:v>
      </x:c>
      <x:c r="P140" s="4" t="str">
        <x:v>X01</x:v>
      </x:c>
      <x:c r="Q140" s="4" t="str">
        <x:v>【示意】Issuer公告約數；零售，不是裝修；獨立來源1；來源C級</x:v>
      </x:c>
      <x:c r="R140" s="4" t="str">
        <x:v>低</x:v>
      </x:c>
    </x:row>
    <x:row r="141" ht="52" customHeight="1">
      <x:c r="A141" s="4" t="str">
        <x:v>TH</x:v>
      </x:c>
      <x:c r="B141" s="4" t="str">
        <x:v>MRDIY Thailand淨利</x:v>
      </x:c>
      <x:c r="C141" s="4" t="n">
        <x:v>2024</x:v>
      </x:c>
      <x:c r="D141" s="19" t="n">
        <x:v>1.7</x:v>
      </x:c>
      <x:c r="E141" s="4" t="str">
        <x:v>十億THB</x:v>
      </x:c>
      <x:c r="F141" s="17" t="n">
        <x:v>1000000000</x:v>
      </x:c>
      <x:c r="G141" s="4" t="str">
        <x:v>THB</x:v>
      </x:c>
      <x:c r="H141" s="17" t="n">
        <x:f>D141*F141</x:f>
        <x:v>1700000000</x:v>
      </x:c>
      <x:c r="I141" s="35" t="n">
        <x:f>INDEX($V$6:$V$19,MATCH(G141,$U$6:$U$19,0))</x:f>
        <x:v>32.8619</x:v>
      </x:c>
      <x:c r="J141" s="36" t="n">
        <x:f>IF(I141&lt;=0,"無有效匯率",H141/I141)</x:f>
        <x:v>51731640.59290546</x:v>
      </x:c>
      <x:c r="K141" s="4" t="str">
        <x:v>USD</x:v>
      </x:c>
      <x:c r="L141" s="36" t="n">
        <x:f>IF(OR(NOT(ISNUMBER(J141)),$V$6&lt;=0),"無有效匯率",J141*$V$6)</x:f>
        <x:v>1612283830.2106695</x:v>
      </x:c>
      <x:c r="M141" s="4" t="str">
        <x:v>TWD</x:v>
      </x:c>
      <x:c r="N141" s="4" t="str">
        <x:v>TH14</x:v>
      </x:c>
      <x:c r="O141" s="4" t="str">
        <x:v>https://investor.mrdiy.co.th/en/updates/ir-press-release/145/mr-diy-holding-thailand-raises-up-to-thb56-billion-usd173-million-largest-ipo-by-market-capitalisation-on-set-in-the-last-3-years</x:v>
      </x:c>
      <x:c r="P141" s="4" t="str">
        <x:v>X01</x:v>
      </x:c>
      <x:c r="Q141" s="4" t="str">
        <x:v>【示意】Issuer公告約數；獨立來源1；來源C級</x:v>
      </x:c>
      <x:c r="R141" s="4" t="str">
        <x:v>低</x:v>
      </x:c>
    </x:row>
    <x:row r="142" ht="30" customHeight="1">
      <x:c r="A142" s="4" t="str">
        <x:v>TH</x:v>
      </x:c>
      <x:c r="B142" s="4" t="str">
        <x:v>Home decor商品市場估计</x:v>
      </x:c>
      <x:c r="C142" s="4" t="n">
        <x:v>2025</x:v>
      </x:c>
      <x:c r="D142" s="19" t="n">
        <x:v>5086.7</x:v>
      </x:c>
      <x:c r="E142" s="4" t="str">
        <x:v>百萬USD</x:v>
      </x:c>
      <x:c r="F142" s="17" t="n">
        <x:v>1000000</x:v>
      </x:c>
      <x:c r="G142" s="4" t="str">
        <x:v>USD</x:v>
      </x:c>
      <x:c r="H142" s="17" t="n">
        <x:f>D142*F142</x:f>
        <x:v>5086700000</x:v>
      </x:c>
      <x:c r="I142" s="17" t="n">
        <x:f>INDEX($V$6:$V$19,MATCH(G142,$U$6:$U$19,0))</x:f>
        <x:v>1</x:v>
      </x:c>
      <x:c r="J142" s="36" t="n">
        <x:f>IF(I142&lt;=0,"無有效匯率",H142/I142)</x:f>
        <x:v>5086700000</x:v>
      </x:c>
      <x:c r="K142" s="4" t="str">
        <x:v>USD</x:v>
      </x:c>
      <x:c r="L142" s="36" t="n">
        <x:f>IF(OR(NOT(ISNUMBER(J142)),$V$6&lt;=0),"無有效匯率",J142*$V$6)</x:f>
        <x:v>158533618210</x:v>
      </x:c>
      <x:c r="M142" s="4" t="str">
        <x:v>TWD</x:v>
      </x:c>
      <x:c r="N142" s="4" t="str">
        <x:v>TH20</x:v>
      </x:c>
      <x:c r="O142" s="4" t="str">
        <x:v>https://www.imarcgroup.com/thailand-home-decor-market</x:v>
      </x:c>
      <x:c r="P142" s="4" t="str">
        <x:v>X01</x:v>
      </x:c>
      <x:c r="Q142" s="4" t="str">
        <x:v>【示意】家具、家紡、地板、壁飾、照明等；不等於住宅施工；獨立來源1；來源C級</x:v>
      </x:c>
      <x:c r="R142" s="4" t="str">
        <x:v>低</x:v>
      </x:c>
    </x:row>
    <x:row r="143" ht="30" customHeight="1">
      <x:c r="A143" s="4" t="str">
        <x:v>TH</x:v>
      </x:c>
      <x:c r="B143" s="4" t="str">
        <x:v>Home decor商品市場預測</x:v>
      </x:c>
      <x:c r="C143" s="4" t="n">
        <x:v>2034</x:v>
      </x:c>
      <x:c r="D143" s="19" t="n">
        <x:v>7033.9</x:v>
      </x:c>
      <x:c r="E143" s="4" t="str">
        <x:v>百萬USD</x:v>
      </x:c>
      <x:c r="F143" s="17" t="n">
        <x:v>1000000</x:v>
      </x:c>
      <x:c r="G143" s="4" t="str">
        <x:v>USD</x:v>
      </x:c>
      <x:c r="H143" s="17" t="n">
        <x:f>D143*F143</x:f>
        <x:v>7033900000</x:v>
      </x:c>
      <x:c r="I143" s="17" t="n">
        <x:f>INDEX($V$6:$V$19,MATCH(G143,$U$6:$U$19,0))</x:f>
        <x:v>1</x:v>
      </x:c>
      <x:c r="J143" s="36" t="n">
        <x:f>IF(I143&lt;=0,"無有效匯率",H143/I143)</x:f>
        <x:v>7033900000</x:v>
      </x:c>
      <x:c r="K143" s="4" t="str">
        <x:v>USD</x:v>
      </x:c>
      <x:c r="L143" s="36" t="n">
        <x:f>IF(OR(NOT(ISNUMBER(J143)),$V$6&lt;=0),"無有效匯率",J143*$V$6)</x:f>
        <x:v>219220637570</x:v>
      </x:c>
      <x:c r="M143" s="4" t="str">
        <x:v>TWD</x:v>
      </x:c>
      <x:c r="N143" s="4" t="str">
        <x:v>TH20</x:v>
      </x:c>
      <x:c r="O143" s="4" t="str">
        <x:v>https://www.imarcgroup.com/thailand-home-decor-market</x:v>
      </x:c>
      <x:c r="P143" s="4" t="str">
        <x:v>X01</x:v>
      </x:c>
      <x:c r="Q143" s="4" t="str">
        <x:v>【預測／示意】IMARC2026–34預測；不冒充2030值；獨立來源1；來源C級</x:v>
      </x:c>
      <x:c r="R143" s="4" t="str">
        <x:v>低</x:v>
      </x:c>
    </x:row>
    <x:row r="144" ht="38" customHeight="1">
      <x:c r="A144" s="4" t="str">
        <x:v>TH</x:v>
      </x:c>
      <x:c r="B144" s="4" t="str">
        <x:v>曼谷商辦裝修成本</x:v>
      </x:c>
      <x:c r="C144" s="4" t="n">
        <x:v>2026</x:v>
      </x:c>
      <x:c r="D144" s="20" t="n">
        <x:v>979.5158479205846</x:v>
      </x:c>
      <x:c r="E144" s="4" t="str">
        <x:v>USD/m²</x:v>
      </x:c>
      <x:c r="F144" s="17" t="n">
        <x:v>1</x:v>
      </x:c>
      <x:c r="G144" s="4" t="str">
        <x:v>USD</x:v>
      </x:c>
      <x:c r="H144" s="20" t="n">
        <x:f>D144*F144</x:f>
        <x:v>979.5158479205846</x:v>
      </x:c>
      <x:c r="I144" s="17" t="n">
        <x:f>INDEX($V$6:$V$19,MATCH(G144,$U$6:$U$19,0))</x:f>
        <x:v>1</x:v>
      </x:c>
      <x:c r="J144" s="36" t="n">
        <x:f>IF(I144&lt;=0,"無有效匯率",H144/I144)</x:f>
        <x:v>979.5158479205846</x:v>
      </x:c>
      <x:c r="K144" s="4" t="str">
        <x:v>USD/m²</x:v>
      </x:c>
      <x:c r="L144" s="36" t="n">
        <x:f>IF(OR(NOT(ISNUMBER(J144)),$V$6&lt;=0),"無有效匯率",J144*$V$6)</x:f>
        <x:v>30527.884771047316</x:v>
      </x:c>
      <x:c r="M144" s="4" t="str">
        <x:v>TWD/m²</x:v>
      </x:c>
      <x:c r="N144" s="4" t="str">
        <x:v>X02</x:v>
      </x:c>
      <x:c r="O144" s="4" t="str">
        <x:v>https://digital.cushmanwakefield.com/fitoutcostguide-03-2026-apac-regional-en-content-pds-office/30-31/</x:v>
      </x:c>
      <x:c r="P144" s="4" t="str">
        <x:v>X01</x:v>
      </x:c>
      <x:c r="Q144" s="4" t="str">
        <x:v>【示意】C&amp;W 2026商辦fit-out，價格基準2025年12月；USD/ft²÷0.09290304，非住宅報價，報告自身匯率；獨立來源1；來源B級</x:v>
      </x:c>
      <x:c r="R144" s="4" t="str">
        <x:v>低</x:v>
      </x:c>
    </x:row>
    <x:row r="145" ht="38" customHeight="1">
      <x:c r="A145" s="4" t="str">
        <x:v>VN</x:v>
      </x:c>
      <x:c r="B145" s="4" t="str">
        <x:v>人均GDP</x:v>
      </x:c>
      <x:c r="C145" s="4" t="n">
        <x:v>2025</x:v>
      </x:c>
      <x:c r="D145" s="21" t="n">
        <x:v>5065.991</x:v>
      </x:c>
      <x:c r="E145" s="4" t="str">
        <x:v>USD/人</x:v>
      </x:c>
      <x:c r="F145" s="17" t="n">
        <x:v>1</x:v>
      </x:c>
      <x:c r="G145" s="4" t="str">
        <x:v>USD</x:v>
      </x:c>
      <x:c r="H145" s="21" t="n">
        <x:f>D145*F145</x:f>
        <x:v>5065.991</x:v>
      </x:c>
      <x:c r="I145" s="17" t="n">
        <x:f>INDEX($V$6:$V$19,MATCH(G145,$U$6:$U$19,0))</x:f>
        <x:v>1</x:v>
      </x:c>
      <x:c r="J145" s="36" t="n">
        <x:f>IF(I145&lt;=0,"無有效匯率",H145/I145)</x:f>
        <x:v>5065.991</x:v>
      </x:c>
      <x:c r="K145" s="4" t="str">
        <x:v>USD/人</x:v>
      </x:c>
      <x:c r="L145" s="36" t="n">
        <x:f>IF(OR(NOT(ISNUMBER(J145)),$V$6&lt;=0),"無有效匯率",J145*$V$6)</x:f>
        <x:v>157888.1953033</x:v>
      </x:c>
      <x:c r="M145" s="4" t="str">
        <x:v>TWD/人</x:v>
      </x:c>
      <x:c r="N145" s="4" t="str">
        <x:v>MVN</x:v>
      </x:c>
      <x:c r="O145" s="4" t="str">
        <x:v>https://data.worldbank.org/country/viet-nam</x:v>
      </x:c>
      <x:c r="P145" s="4" t="str">
        <x:v>X01</x:v>
      </x:c>
      <x:c r="Q145" s="4" t="str">
        <x:v>【示意】名目、現價美元；WDI 2025歷史數列，可能修訂，非家庭可支配所得；獨立來源1；來源A級</x:v>
      </x:c>
      <x:c r="R145" s="4" t="str">
        <x:v>低</x:v>
      </x:c>
    </x:row>
    <x:row r="146" ht="30" customHeight="1">
      <x:c r="A146" s="4" t="str">
        <x:v>VN</x:v>
      </x:c>
      <x:c r="B146" s="4" t="str">
        <x:v>GDP</x:v>
      </x:c>
      <x:c r="C146" s="4" t="n">
        <x:v>2025</x:v>
      </x:c>
      <x:c r="D146" s="17" t="n">
        <x:v>514700000000</x:v>
      </x:c>
      <x:c r="E146" s="4" t="str">
        <x:v>USD</x:v>
      </x:c>
      <x:c r="F146" s="17" t="n">
        <x:v>1</x:v>
      </x:c>
      <x:c r="G146" s="4" t="str">
        <x:v>USD</x:v>
      </x:c>
      <x:c r="H146" s="17" t="n">
        <x:f>D146*F146</x:f>
        <x:v>514700000000</x:v>
      </x:c>
      <x:c r="I146" s="17" t="n">
        <x:f>INDEX($V$6:$V$19,MATCH(G146,$U$6:$U$19,0))</x:f>
        <x:v>1</x:v>
      </x:c>
      <x:c r="J146" s="36" t="n">
        <x:f>IF(I146&lt;=0,"無有效匯率",H146/I146)</x:f>
        <x:v>514700000000</x:v>
      </x:c>
      <x:c r="K146" s="4" t="str">
        <x:v>USD</x:v>
      </x:c>
      <x:c r="L146" s="36" t="n">
        <x:f>IF(OR(NOT(ISNUMBER(J146)),$V$6&lt;=0),"無有效匯率",J146*$V$6)</x:f>
        <x:v>16041294610000</x:v>
      </x:c>
      <x:c r="M146" s="4" t="str">
        <x:v>TWD</x:v>
      </x:c>
      <x:c r="N146" s="4" t="str">
        <x:v>MVN</x:v>
      </x:c>
      <x:c r="O146" s="4" t="str">
        <x:v>https://data.worldbank.org/country/viet-nam</x:v>
      </x:c>
      <x:c r="P146" s="4" t="str">
        <x:v>X01</x:v>
      </x:c>
      <x:c r="Q146" s="4" t="str">
        <x:v>【示意】WDI 2025現價；頁面billion/trillion四捨五入值；獨立來源1；來源A級</x:v>
      </x:c>
      <x:c r="R146" s="4" t="str">
        <x:v>低</x:v>
      </x:c>
    </x:row>
    <x:row r="147" ht="38" customHeight="1">
      <x:c r="A147" s="4" t="str">
        <x:v>VN</x:v>
      </x:c>
      <x:c r="B147" s="4" t="str">
        <x:v>名目人均GDP</x:v>
      </x:c>
      <x:c r="C147" s="4" t="n">
        <x:v>2024</x:v>
      </x:c>
      <x:c r="D147" s="17" t="n">
        <x:v>4700</x:v>
      </x:c>
      <x:c r="E147" s="4" t="str">
        <x:v>USD/人</x:v>
      </x:c>
      <x:c r="F147" s="17" t="n">
        <x:v>1</x:v>
      </x:c>
      <x:c r="G147" s="4" t="str">
        <x:v>USD</x:v>
      </x:c>
      <x:c r="H147" s="17" t="n">
        <x:f>D147*F147</x:f>
        <x:v>4700</x:v>
      </x:c>
      <x:c r="I147" s="17" t="n">
        <x:f>INDEX($V$6:$V$19,MATCH(G147,$U$6:$U$19,0))</x:f>
        <x:v>1</x:v>
      </x:c>
      <x:c r="J147" s="36" t="n">
        <x:f>IF(I147&lt;=0,"無有效匯率",H147/I147)</x:f>
        <x:v>4700</x:v>
      </x:c>
      <x:c r="K147" s="4" t="str">
        <x:v>USD/人</x:v>
      </x:c>
      <x:c r="L147" s="36" t="n">
        <x:f>IF(OR(NOT(ISNUMBER(J147)),$V$6&lt;=0),"無有效匯率",J147*$V$6)</x:f>
        <x:v>146481.61</x:v>
      </x:c>
      <x:c r="M147" s="4" t="str">
        <x:v>TWD/人</x:v>
      </x:c>
      <x:c r="N147" s="4" t="str">
        <x:v>VN01</x:v>
      </x:c>
      <x:c r="O147" s="4" t="str">
        <x:v>https://www.nso.gov.vn/du-lieu-va-so-lieu-thong-ke/2025/01/thong-cao-bao-chi-tinh-hinh-kinh-te-xa-hoi-quy-iv-va-nam-2024/</x:v>
      </x:c>
      <x:c r="P147" s="4" t="str">
        <x:v>X01</x:v>
      </x:c>
      <x:c r="Q147" s="4" t="str">
        <x:v>【示意】官方年度初估，非家庭可支配所得；獨立來源1；來源A級</x:v>
      </x:c>
      <x:c r="R147" s="4" t="str">
        <x:v>低</x:v>
      </x:c>
    </x:row>
    <x:row r="148" ht="38" customHeight="1">
      <x:c r="A148" s="4" t="str">
        <x:v>VN</x:v>
      </x:c>
      <x:c r="B148" s="4" t="str">
        <x:v>名目人均GDP原幣</x:v>
      </x:c>
      <x:c r="C148" s="4" t="n">
        <x:v>2024</x:v>
      </x:c>
      <x:c r="D148" s="17" t="n">
        <x:v>114000000</x:v>
      </x:c>
      <x:c r="E148" s="4" t="str">
        <x:v>VND/人</x:v>
      </x:c>
      <x:c r="F148" s="17" t="n">
        <x:v>1</x:v>
      </x:c>
      <x:c r="G148" s="4" t="str">
        <x:v>VND</x:v>
      </x:c>
      <x:c r="H148" s="17" t="n">
        <x:f>D148*F148</x:f>
        <x:v>114000000</x:v>
      </x:c>
      <x:c r="I148" s="18" t="n">
        <x:f>INDEX($V$6:$V$19,MATCH(G148,$U$6:$U$19,0))</x:f>
        <x:v>24976.91</x:v>
      </x:c>
      <x:c r="J148" s="36" t="n">
        <x:f>IF(I148&lt;=0,"無有效匯率",H148/I148)</x:f>
        <x:v>4564.215509444523</x:v>
      </x:c>
      <x:c r="K148" s="4" t="str">
        <x:v>USD/人</x:v>
      </x:c>
      <x:c r="L148" s="36" t="n">
        <x:f>IF(OR(NOT(ISNUMBER(J148)),$V$6&lt;=0),"無有效匯率",J148*$V$6)</x:f>
        <x:v>142249.70983200084</x:v>
      </x:c>
      <x:c r="M148" s="4" t="str">
        <x:v>TWD/人</x:v>
      </x:c>
      <x:c r="N148" s="4" t="str">
        <x:v>VN01</x:v>
      </x:c>
      <x:c r="O148" s="4" t="str">
        <x:v>https://www.nso.gov.vn/du-lieu-va-so-lieu-thong-ke/2025/01/thong-cao-bao-chi-tinh-hinh-kinh-te-xa-hoi-quy-iv-va-nam-2024/</x:v>
      </x:c>
      <x:c r="P148" s="4" t="str">
        <x:v>X10</x:v>
      </x:c>
      <x:c r="Q148" s="4" t="str">
        <x:v>【示意】官方年度初估；獨立來源1；來源A級</x:v>
      </x:c>
      <x:c r="R148" s="4" t="str">
        <x:v>低</x:v>
      </x:c>
    </x:row>
    <x:row r="149" ht="38" customHeight="1">
      <x:c r="A149" s="4" t="str">
        <x:v>VN</x:v>
      </x:c>
      <x:c r="B149" s="4" t="str">
        <x:v>勞工平均月收入</x:v>
      </x:c>
      <x:c r="C149" s="4" t="n">
        <x:v>2024</x:v>
      </x:c>
      <x:c r="D149" s="17" t="n">
        <x:v>7700000</x:v>
      </x:c>
      <x:c r="E149" s="4" t="str">
        <x:v>VND/月</x:v>
      </x:c>
      <x:c r="F149" s="17" t="n">
        <x:v>1</x:v>
      </x:c>
      <x:c r="G149" s="4" t="str">
        <x:v>VND</x:v>
      </x:c>
      <x:c r="H149" s="17" t="n">
        <x:f>D149*F149</x:f>
        <x:v>7700000</x:v>
      </x:c>
      <x:c r="I149" s="18" t="n">
        <x:f>INDEX($V$6:$V$19,MATCH(G149,$U$6:$U$19,0))</x:f>
        <x:v>24976.91</x:v>
      </x:c>
      <x:c r="J149" s="36" t="n">
        <x:f>IF(I149&lt;=0,"無有效匯率",H149/I149)</x:f>
        <x:v>308.2847317782704</x:v>
      </x:c>
      <x:c r="K149" s="4" t="str">
        <x:v>USD/月</x:v>
      </x:c>
      <x:c r="L149" s="36" t="n">
        <x:f>IF(OR(NOT(ISNUMBER(J149)),$V$6&lt;=0),"無有效匯率",J149*$V$6)</x:f>
        <x:v>9608.094436021109</x:v>
      </x:c>
      <x:c r="M149" s="4" t="str">
        <x:v>TWD/月</x:v>
      </x:c>
      <x:c r="N149" s="4" t="str">
        <x:v>VN01</x:v>
      </x:c>
      <x:c r="O149" s="4" t="str">
        <x:v>https://www.nso.gov.vn/du-lieu-va-so-lieu-thong-ke/2025/01/thong-cao-bao-chi-tinh-hinh-kinh-te-xa-hoi-quy-iv-va-nam-2024/</x:v>
      </x:c>
      <x:c r="P149" s="4" t="str">
        <x:v>X10</x:v>
      </x:c>
      <x:c r="Q149" s="4" t="str">
        <x:v>【示意】全產業勞工；非室內設計師；獨立來源1；來源A級</x:v>
      </x:c>
      <x:c r="R149" s="4" t="str">
        <x:v>低</x:v>
      </x:c>
    </x:row>
    <x:row r="150" ht="38" customHeight="1">
      <x:c r="A150" s="4" t="str">
        <x:v>VN</x:v>
      </x:c>
      <x:c r="B150" s="4" t="str">
        <x:v>都市勞工平均月收入</x:v>
      </x:c>
      <x:c r="C150" s="4" t="n">
        <x:v>2024</x:v>
      </x:c>
      <x:c r="D150" s="17" t="n">
        <x:v>9300000</x:v>
      </x:c>
      <x:c r="E150" s="4" t="str">
        <x:v>VND/月</x:v>
      </x:c>
      <x:c r="F150" s="17" t="n">
        <x:v>1</x:v>
      </x:c>
      <x:c r="G150" s="4" t="str">
        <x:v>VND</x:v>
      </x:c>
      <x:c r="H150" s="17" t="n">
        <x:f>D150*F150</x:f>
        <x:v>9300000</x:v>
      </x:c>
      <x:c r="I150" s="18" t="n">
        <x:f>INDEX($V$6:$V$19,MATCH(G150,$U$6:$U$19,0))</x:f>
        <x:v>24976.91</x:v>
      </x:c>
      <x:c r="J150" s="36" t="n">
        <x:f>IF(I150&lt;=0,"無有效匯率",H150/I150)</x:f>
        <x:v>372.3438968231058</x:v>
      </x:c>
      <x:c r="K150" s="4" t="str">
        <x:v>USD/月</x:v>
      </x:c>
      <x:c r="L150" s="36" t="n">
        <x:f>IF(OR(NOT(ISNUMBER(J150)),$V$6&lt;=0),"無有效匯率",J150*$V$6)</x:f>
        <x:v>11604.581591557962</x:v>
      </x:c>
      <x:c r="M150" s="4" t="str">
        <x:v>TWD/月</x:v>
      </x:c>
      <x:c r="N150" s="4" t="str">
        <x:v>VN01</x:v>
      </x:c>
      <x:c r="O150" s="4" t="str">
        <x:v>https://www.nso.gov.vn/du-lieu-va-so-lieu-thong-ke/2025/01/thong-cao-bao-chi-tinh-hinh-kinh-te-xa-hoi-quy-iv-va-nam-2024/</x:v>
      </x:c>
      <x:c r="P150" s="4" t="str">
        <x:v>X10</x:v>
      </x:c>
      <x:c r="Q150" s="4" t="str">
        <x:v>【示意】全產業都市勞工；非監工；獨立來源1；來源A級</x:v>
      </x:c>
      <x:c r="R150" s="4" t="str">
        <x:v>低</x:v>
      </x:c>
    </x:row>
    <x:row r="151" ht="38" customHeight="1">
      <x:c r="A151" s="4" t="str">
        <x:v>VN</x:v>
      </x:c>
      <x:c r="B151" s="4" t="str">
        <x:v>單一業者基本設計費</x:v>
      </x:c>
      <x:c r="C151" s="4" t="n">
        <x:v>2026</x:v>
      </x:c>
      <x:c r="D151" s="17" t="n">
        <x:v>220000</x:v>
      </x:c>
      <x:c r="E151" s="4" t="str">
        <x:v>VND/m²</x:v>
      </x:c>
      <x:c r="F151" s="17" t="n">
        <x:v>1</x:v>
      </x:c>
      <x:c r="G151" s="4" t="str">
        <x:v>VND</x:v>
      </x:c>
      <x:c r="H151" s="17" t="n">
        <x:f>D151*F151</x:f>
        <x:v>220000</x:v>
      </x:c>
      <x:c r="I151" s="18" t="n">
        <x:f>INDEX($V$6:$V$19,MATCH(G151,$U$6:$U$19,0))</x:f>
        <x:v>24976.91</x:v>
      </x:c>
      <x:c r="J151" s="36" t="n">
        <x:f>IF(I151&lt;=0,"無有效匯率",H151/I151)</x:f>
        <x:v>8.808135193664869</x:v>
      </x:c>
      <x:c r="K151" s="4" t="str">
        <x:v>USD/m²</x:v>
      </x:c>
      <x:c r="L151" s="36" t="n">
        <x:f>IF(OR(NOT(ISNUMBER(J151)),$V$6&lt;=0),"無有效匯率",J151*$V$6)</x:f>
        <x:v>274.5169838863174</x:v>
      </x:c>
      <x:c r="M151" s="4" t="str">
        <x:v>TWD/m²</x:v>
      </x:c>
      <x:c r="N151" s="4" t="str">
        <x:v>VN05</x:v>
      </x:c>
      <x:c r="O151" s="4" t="str">
        <x:v>https://doctornoithat.com/bao-gia-thiet-ke-noi-that/</x:v>
      </x:c>
      <x:c r="P151" s="4" t="str">
        <x:v>X10</x:v>
      </x:c>
      <x:c r="Q151" s="4" t="str">
        <x:v>【示意】2026年8月Doctor Nội Thất未稅設計報價，非施工、非全國均價；獨立來源1；來源C級</x:v>
      </x:c>
      <x:c r="R151" s="4" t="str">
        <x:v>低</x:v>
      </x:c>
    </x:row>
    <x:row r="152" ht="30" customHeight="1">
      <x:c r="A152" s="4" t="str">
        <x:v>VN</x:v>
      </x:c>
      <x:c r="B152" s="4" t="str">
        <x:v>單一業者進階設計費</x:v>
      </x:c>
      <x:c r="C152" s="4" t="n">
        <x:v>2026</x:v>
      </x:c>
      <x:c r="D152" s="17" t="n">
        <x:v>290000</x:v>
      </x:c>
      <x:c r="E152" s="4" t="str">
        <x:v>VND/m²</x:v>
      </x:c>
      <x:c r="F152" s="17" t="n">
        <x:v>1</x:v>
      </x:c>
      <x:c r="G152" s="4" t="str">
        <x:v>VND</x:v>
      </x:c>
      <x:c r="H152" s="17" t="n">
        <x:f>D152*F152</x:f>
        <x:v>290000</x:v>
      </x:c>
      <x:c r="I152" s="18" t="n">
        <x:f>INDEX($V$6:$V$19,MATCH(G152,$U$6:$U$19,0))</x:f>
        <x:v>24976.91</x:v>
      </x:c>
      <x:c r="J152" s="36" t="n">
        <x:f>IF(I152&lt;=0,"無有效匯率",H152/I152)</x:f>
        <x:v>11.610723664376419</x:v>
      </x:c>
      <x:c r="K152" s="4" t="str">
        <x:v>USD/m²</x:v>
      </x:c>
      <x:c r="L152" s="36" t="n">
        <x:f>IF(OR(NOT(ISNUMBER(J152)),$V$6&lt;=0),"無有效匯率",J152*$V$6)</x:f>
        <x:v>361.8632969410548</x:v>
      </x:c>
      <x:c r="M152" s="4" t="str">
        <x:v>TWD/m²</x:v>
      </x:c>
      <x:c r="N152" s="4" t="str">
        <x:v>VN05</x:v>
      </x:c>
      <x:c r="O152" s="4" t="str">
        <x:v>https://doctornoithat.com/bao-gia-thiet-ke-noi-that/</x:v>
      </x:c>
      <x:c r="P152" s="4" t="str">
        <x:v>X10</x:v>
      </x:c>
      <x:c r="Q152" s="4" t="str">
        <x:v>【示意】促銷價；未稅；非全國中位數；獨立來源1；來源C級</x:v>
      </x:c>
      <x:c r="R152" s="4" t="str">
        <x:v>低</x:v>
      </x:c>
    </x:row>
    <x:row r="153" ht="30" customHeight="1">
      <x:c r="A153" s="4" t="str">
        <x:v>VN</x:v>
      </x:c>
      <x:c r="B153" s="4" t="str">
        <x:v>單一業者高階設計費</x:v>
      </x:c>
      <x:c r="C153" s="4" t="n">
        <x:v>2026</x:v>
      </x:c>
      <x:c r="D153" s="17" t="n">
        <x:v>400000</x:v>
      </x:c>
      <x:c r="E153" s="4" t="str">
        <x:v>VND/m²</x:v>
      </x:c>
      <x:c r="F153" s="17" t="n">
        <x:v>1</x:v>
      </x:c>
      <x:c r="G153" s="4" t="str">
        <x:v>VND</x:v>
      </x:c>
      <x:c r="H153" s="17" t="n">
        <x:f>D153*F153</x:f>
        <x:v>400000</x:v>
      </x:c>
      <x:c r="I153" s="18" t="n">
        <x:f>INDEX($V$6:$V$19,MATCH(G153,$U$6:$U$19,0))</x:f>
        <x:v>24976.91</x:v>
      </x:c>
      <x:c r="J153" s="36" t="n">
        <x:f>IF(I153&lt;=0,"無有效匯率",H153/I153)</x:f>
        <x:v>16.014791261208853</x:v>
      </x:c>
      <x:c r="K153" s="4" t="str">
        <x:v>USD/m²</x:v>
      </x:c>
      <x:c r="L153" s="36" t="n">
        <x:f>IF(OR(NOT(ISNUMBER(J153)),$V$6&lt;=0),"無有效匯率",J153*$V$6)</x:f>
        <x:v>499.12178888421346</x:v>
      </x:c>
      <x:c r="M153" s="4" t="str">
        <x:v>TWD/m²</x:v>
      </x:c>
      <x:c r="N153" s="4" t="str">
        <x:v>VN05</x:v>
      </x:c>
      <x:c r="O153" s="4" t="str">
        <x:v>https://doctornoithat.com/bao-gia-thiet-ke-noi-that/</x:v>
      </x:c>
      <x:c r="P153" s="4" t="str">
        <x:v>X10</x:v>
      </x:c>
      <x:c r="Q153" s="4" t="str">
        <x:v>【示意】未稅單一業者設計費；獨立來源1；來源C級</x:v>
      </x:c>
      <x:c r="R153" s="4" t="str">
        <x:v>低</x:v>
      </x:c>
    </x:row>
    <x:row r="154" ht="30" customHeight="1">
      <x:c r="A154" s="4" t="str">
        <x:v>VN</x:v>
      </x:c>
      <x:c r="B154" s="4" t="str">
        <x:v>單一業者特別設計費</x:v>
      </x:c>
      <x:c r="C154" s="4" t="n">
        <x:v>2026</x:v>
      </x:c>
      <x:c r="D154" s="17" t="n">
        <x:v>1100000</x:v>
      </x:c>
      <x:c r="E154" s="4" t="str">
        <x:v>VND/m²</x:v>
      </x:c>
      <x:c r="F154" s="17" t="n">
        <x:v>1</x:v>
      </x:c>
      <x:c r="G154" s="4" t="str">
        <x:v>VND</x:v>
      </x:c>
      <x:c r="H154" s="17" t="n">
        <x:f>D154*F154</x:f>
        <x:v>1100000</x:v>
      </x:c>
      <x:c r="I154" s="18" t="n">
        <x:f>INDEX($V$6:$V$19,MATCH(G154,$U$6:$U$19,0))</x:f>
        <x:v>24976.91</x:v>
      </x:c>
      <x:c r="J154" s="36" t="n">
        <x:f>IF(I154&lt;=0,"無有效匯率",H154/I154)</x:f>
        <x:v>44.040675968324344</x:v>
      </x:c>
      <x:c r="K154" s="4" t="str">
        <x:v>USD/m²</x:v>
      </x:c>
      <x:c r="L154" s="36" t="n">
        <x:f>IF(OR(NOT(ISNUMBER(J154)),$V$6&lt;=0),"無有效匯率",J154*$V$6)</x:f>
        <x:v>1372.584919431587</x:v>
      </x:c>
      <x:c r="M154" s="4" t="str">
        <x:v>TWD/m²</x:v>
      </x:c>
      <x:c r="N154" s="4" t="str">
        <x:v>VN05</x:v>
      </x:c>
      <x:c r="O154" s="4" t="str">
        <x:v>https://doctornoithat.com/bao-gia-thiet-ke-noi-that/</x:v>
      </x:c>
      <x:c r="P154" s="4" t="str">
        <x:v>X10</x:v>
      </x:c>
      <x:c r="Q154" s="4" t="str">
        <x:v>【示意】未稅；不代表市場頂級上限；獨立來源1；來源C級</x:v>
      </x:c>
      <x:c r="R154" s="4" t="str">
        <x:v>低</x:v>
      </x:c>
    </x:row>
    <x:row r="155" ht="38" customHeight="1">
      <x:c r="A155" s="4" t="str">
        <x:v>VN</x:v>
      </x:c>
      <x:c r="B155" s="4" t="str">
        <x:v>An Cuong合併營收</x:v>
      </x:c>
      <x:c r="C155" s="4" t="n">
        <x:v>2025</x:v>
      </x:c>
      <x:c r="D155" s="19" t="n">
        <x:v>4608.7</x:v>
      </x:c>
      <x:c r="E155" s="4" t="str">
        <x:v>十億VND</x:v>
      </x:c>
      <x:c r="F155" s="17" t="n">
        <x:v>1000000000</x:v>
      </x:c>
      <x:c r="G155" s="4" t="str">
        <x:v>VND</x:v>
      </x:c>
      <x:c r="H155" s="17" t="n">
        <x:f>D155*F155</x:f>
        <x:v>4608700000000</x:v>
      </x:c>
      <x:c r="I155" s="18" t="n">
        <x:f>INDEX($V$6:$V$19,MATCH(G155,$U$6:$U$19,0))</x:f>
        <x:v>24976.91</x:v>
      </x:c>
      <x:c r="J155" s="36" t="n">
        <x:f>IF(I155&lt;=0,"無有效匯率",H155/I155)</x:f>
        <x:v>184518421.2138331</x:v>
      </x:c>
      <x:c r="K155" s="4" t="str">
        <x:v>USD</x:v>
      </x:c>
      <x:c r="L155" s="36" t="n">
        <x:f>IF(OR(NOT(ISNUMBER(J155)),$V$6&lt;=0),"無有效匯率",J155*$V$6)</x:f>
        <x:v>5750756471.076686</x:v>
      </x:c>
      <x:c r="M155" s="4" t="str">
        <x:v>TWD</x:v>
      </x:c>
      <x:c r="N155" s="4" t="str">
        <x:v>VN07</x:v>
      </x:c>
      <x:c r="O155" s="4" t="str">
        <x:v>https://ancuong.com/pictures/files/pdf/acg-2026/ACG%202026%200805%20-%20Nghi%20quyet%20DHDCD%20thuong%20nien%202026%20%5BVN-EN%5D.pdf</x:v>
      </x:c>
      <x:c r="P155" s="4" t="str">
        <x:v>X10</x:v>
      </x:c>
      <x:c r="Q155" s="4" t="str">
        <x:v>【示意】材料與木作企業總合併營收，非純設計收入；獨立來源1；來源A級</x:v>
      </x:c>
      <x:c r="R155" s="4" t="str">
        <x:v>低</x:v>
      </x:c>
    </x:row>
    <x:row r="156" ht="38" customHeight="1">
      <x:c r="A156" s="4" t="str">
        <x:v>VN</x:v>
      </x:c>
      <x:c r="B156" s="4" t="str">
        <x:v>An Cuong合併稅後淨利</x:v>
      </x:c>
      <x:c r="C156" s="4" t="n">
        <x:v>2025</x:v>
      </x:c>
      <x:c r="D156" s="19" t="n">
        <x:v>503.7</x:v>
      </x:c>
      <x:c r="E156" s="4" t="str">
        <x:v>十億VND</x:v>
      </x:c>
      <x:c r="F156" s="17" t="n">
        <x:v>1000000000</x:v>
      </x:c>
      <x:c r="G156" s="4" t="str">
        <x:v>VND</x:v>
      </x:c>
      <x:c r="H156" s="17" t="n">
        <x:f>D156*F156</x:f>
        <x:v>503700000000</x:v>
      </x:c>
      <x:c r="I156" s="18" t="n">
        <x:f>INDEX($V$6:$V$19,MATCH(G156,$U$6:$U$19,0))</x:f>
        <x:v>24976.91</x:v>
      </x:c>
      <x:c r="J156" s="36" t="n">
        <x:f>IF(I156&lt;=0,"無有效匯率",H156/I156)</x:f>
        <x:v>20166625.895677246</x:v>
      </x:c>
      <x:c r="K156" s="4" t="str">
        <x:v>USD</x:v>
      </x:c>
      <x:c r="L156" s="36" t="n">
        <x:f>IF(OR(NOT(ISNUMBER(J156)),$V$6&lt;=0),"無有效匯率",J156*$V$6)</x:f>
        <x:v>628519112.6524458</x:v>
      </x:c>
      <x:c r="M156" s="4" t="str">
        <x:v>TWD</x:v>
      </x:c>
      <x:c r="N156" s="4" t="str">
        <x:v>VN07</x:v>
      </x:c>
      <x:c r="O156" s="4" t="str">
        <x:v>https://ancuong.com/pictures/files/pdf/acg-2026/ACG%202026%200805%20-%20Nghi%20quyet%20DHDCD%20thuong%20nien%202026%20%5BVN-EN%5D.pdf</x:v>
      </x:c>
      <x:c r="P156" s="4" t="str">
        <x:v>X10</x:v>
      </x:c>
      <x:c r="Q156" s="4" t="str">
        <x:v>【示意】企業合併稅後淨利；獨立來源1；來源A級</x:v>
      </x:c>
      <x:c r="R156" s="4" t="str">
        <x:v>低</x:v>
      </x:c>
    </x:row>
    <x:row r="157" ht="38" customHeight="1">
      <x:c r="A157" s="4" t="str">
        <x:v>VN</x:v>
      </x:c>
      <x:c r="B157" s="4" t="str">
        <x:v>Home furniture市場估算</x:v>
      </x:c>
      <x:c r="C157" s="4" t="n">
        <x:v>2025</x:v>
      </x:c>
      <x:c r="D157" s="19" t="n">
        <x:v>474.3</x:v>
      </x:c>
      <x:c r="E157" s="4" t="str">
        <x:v>百萬USD</x:v>
      </x:c>
      <x:c r="F157" s="17" t="n">
        <x:v>1000000</x:v>
      </x:c>
      <x:c r="G157" s="4" t="str">
        <x:v>USD</x:v>
      </x:c>
      <x:c r="H157" s="17" t="n">
        <x:f>D157*F157</x:f>
        <x:v>474300000</x:v>
      </x:c>
      <x:c r="I157" s="17" t="n">
        <x:f>INDEX($V$6:$V$19,MATCH(G157,$U$6:$U$19,0))</x:f>
        <x:v>1</x:v>
      </x:c>
      <x:c r="J157" s="36" t="n">
        <x:f>IF(I157&lt;=0,"無有效匯率",H157/I157)</x:f>
        <x:v>474300000</x:v>
      </x:c>
      <x:c r="K157" s="4" t="str">
        <x:v>USD</x:v>
      </x:c>
      <x:c r="L157" s="36" t="n">
        <x:f>IF(OR(NOT(ISNUMBER(J157)),$V$6&lt;=0),"無有效匯率",J157*$V$6)</x:f>
        <x:v>14782176090</x:v>
      </x:c>
      <x:c r="M157" s="4" t="str">
        <x:v>TWD</x:v>
      </x:c>
      <x:c r="N157" s="4" t="str">
        <x:v>VN12</x:v>
      </x:c>
      <x:c r="O157" s="4" t="str">
        <x:v>https://www.mordorintelligence.com/industry-reports/vietnam-home-furniture-market</x:v>
      </x:c>
      <x:c r="P157" s="4" t="str">
        <x:v>X01</x:v>
      </x:c>
      <x:c r="Q157" s="4" t="str">
        <x:v>【示意】住宅家具市調口徑，非裝修；獨立來源1；來源C級</x:v>
      </x:c>
      <x:c r="R157" s="4" t="str">
        <x:v>低</x:v>
      </x:c>
    </x:row>
    <x:row r="158" ht="38" customHeight="1">
      <x:c r="A158" s="4" t="str">
        <x:v>VN</x:v>
      </x:c>
      <x:c r="B158" s="4" t="str">
        <x:v>胡志明市商辦裝修成本</x:v>
      </x:c>
      <x:c r="C158" s="4" t="n">
        <x:v>2026</x:v>
      </x:c>
      <x:c r="D158" s="20" t="n">
        <x:v>656.5985354192931</x:v>
      </x:c>
      <x:c r="E158" s="4" t="str">
        <x:v>USD/m²</x:v>
      </x:c>
      <x:c r="F158" s="17" t="n">
        <x:v>1</x:v>
      </x:c>
      <x:c r="G158" s="4" t="str">
        <x:v>USD</x:v>
      </x:c>
      <x:c r="H158" s="20" t="n">
        <x:f>D158*F158</x:f>
        <x:v>656.5985354192931</x:v>
      </x:c>
      <x:c r="I158" s="17" t="n">
        <x:f>INDEX($V$6:$V$19,MATCH(G158,$U$6:$U$19,0))</x:f>
        <x:v>1</x:v>
      </x:c>
      <x:c r="J158" s="36" t="n">
        <x:f>IF(I158&lt;=0,"無有效匯率",H158/I158)</x:f>
        <x:v>656.5985354192931</x:v>
      </x:c>
      <x:c r="K158" s="4" t="str">
        <x:v>USD/m²</x:v>
      </x:c>
      <x:c r="L158" s="36" t="n">
        <x:f>IF(OR(NOT(ISNUMBER(J158)),$V$6&lt;=0),"無有效匯率",J158*$V$6)</x:f>
        <x:v>20463.746934438313</x:v>
      </x:c>
      <x:c r="M158" s="4" t="str">
        <x:v>TWD/m²</x:v>
      </x:c>
      <x:c r="N158" s="4" t="str">
        <x:v>X02</x:v>
      </x:c>
      <x:c r="O158" s="4" t="str">
        <x:v>https://digital.cushmanwakefield.com/fitoutcostguide-03-2026-apac-regional-en-content-pds-office/30-31/</x:v>
      </x:c>
      <x:c r="P158" s="4" t="str">
        <x:v>X01</x:v>
      </x:c>
      <x:c r="Q158" s="4" t="str">
        <x:v>【示意】C&amp;W 2026商辦fit-out，價格基準2025年12月；USD/ft²÷0.09290304，非住宅報價，報告自身匯率；獨立來源1；來源B級</x:v>
      </x:c>
      <x:c r="R158" s="4" t="str">
        <x:v>低</x:v>
      </x:c>
    </x:row>
    <x:row r="159" ht="38" customHeight="1">
      <x:c r="A159" s="4" t="str">
        <x:v>ID</x:v>
      </x:c>
      <x:c r="B159" s="4" t="str">
        <x:v>名目人均GDP</x:v>
      </x:c>
      <x:c r="C159" s="4" t="n">
        <x:v>2024</x:v>
      </x:c>
      <x:c r="D159" s="19" t="n">
        <x:v>4960.3</x:v>
      </x:c>
      <x:c r="E159" s="4" t="str">
        <x:v>USD/人</x:v>
      </x:c>
      <x:c r="F159" s="17" t="n">
        <x:v>1</x:v>
      </x:c>
      <x:c r="G159" s="4" t="str">
        <x:v>USD</x:v>
      </x:c>
      <x:c r="H159" s="19" t="n">
        <x:f>D159*F159</x:f>
        <x:v>4960.3</x:v>
      </x:c>
      <x:c r="I159" s="17" t="n">
        <x:f>INDEX($V$6:$V$19,MATCH(G159,$U$6:$U$19,0))</x:f>
        <x:v>1</x:v>
      </x:c>
      <x:c r="J159" s="36" t="n">
        <x:f>IF(I159&lt;=0,"無有效匯率",H159/I159)</x:f>
        <x:v>4960.3</x:v>
      </x:c>
      <x:c r="K159" s="4" t="str">
        <x:v>USD/人</x:v>
      </x:c>
      <x:c r="L159" s="36" t="n">
        <x:f>IF(OR(NOT(ISNUMBER(J159)),$V$6&lt;=0),"無有效匯率",J159*$V$6)</x:f>
        <x:v>154594.19789</x:v>
      </x:c>
      <x:c r="M159" s="4" t="str">
        <x:v>TWD/人</x:v>
      </x:c>
      <x:c r="N159" s="4" t="str">
        <x:v>ID01</x:v>
      </x:c>
      <x:c r="O159" s="4" t="str">
        <x:v>https://www.bps.go.id/id/pressrelease/2025/02/05/2408/economic-growth.html</x:v>
      </x:c>
      <x:c r="P159" s="4" t="str">
        <x:v>X01</x:v>
      </x:c>
      <x:c r="Q159" s="4" t="str">
        <x:v>【示意】官方當期美元；獨立來源1；來源A級</x:v>
      </x:c>
      <x:c r="R159" s="4" t="str">
        <x:v>低</x:v>
      </x:c>
    </x:row>
    <x:row r="160" ht="38" customHeight="1">
      <x:c r="A160" s="4" t="str">
        <x:v>ID</x:v>
      </x:c>
      <x:c r="B160" s="4" t="str">
        <x:v>名目人均GDP原幣</x:v>
      </x:c>
      <x:c r="C160" s="4" t="n">
        <x:v>2024</x:v>
      </x:c>
      <x:c r="D160" s="17" t="n">
        <x:v>78600000</x:v>
      </x:c>
      <x:c r="E160" s="4" t="str">
        <x:v>IDR/人</x:v>
      </x:c>
      <x:c r="F160" s="17" t="n">
        <x:v>1</x:v>
      </x:c>
      <x:c r="G160" s="4" t="str">
        <x:v>IDR</x:v>
      </x:c>
      <x:c r="H160" s="17" t="n">
        <x:f>D160*F160</x:f>
        <x:v>78600000</x:v>
      </x:c>
      <x:c r="I160" s="17" t="n">
        <x:f>INDEX($V$6:$V$19,MATCH(G160,$U$6:$U$19,0))</x:f>
        <x:v>16782</x:v>
      </x:c>
      <x:c r="J160" s="36" t="n">
        <x:f>IF(I160&lt;=0,"無有效匯率",H160/I160)</x:f>
        <x:v>4683.589560243117</x:v>
      </x:c>
      <x:c r="K160" s="4" t="str">
        <x:v>USD/人</x:v>
      </x:c>
      <x:c r="L160" s="36" t="n">
        <x:f>IF(OR(NOT(ISNUMBER(J160)),$V$6&lt;=0),"無有效匯率",J160*$V$6)</x:f>
        <x:v>145970.15731140506</x:v>
      </x:c>
      <x:c r="M160" s="4" t="str">
        <x:v>TWD/人</x:v>
      </x:c>
      <x:c r="N160" s="4" t="str">
        <x:v>ID01</x:v>
      </x:c>
      <x:c r="O160" s="4" t="str">
        <x:v>https://www.bps.go.id/id/pressrelease/2025/02/05/2408/economic-growth.html</x:v>
      </x:c>
      <x:c r="P160" s="4" t="str">
        <x:v>X09</x:v>
      </x:c>
      <x:c r="Q160" s="4" t="str">
        <x:v>【示意】官方當期價格；獨立來源1；來源A級</x:v>
      </x:c>
      <x:c r="R160" s="4" t="str">
        <x:v>低</x:v>
      </x:c>
    </x:row>
    <x:row r="161" ht="38" customHeight="1">
      <x:c r="A161" s="4" t="str">
        <x:v>ID</x:v>
      </x:c>
      <x:c r="B161" s="4" t="str">
        <x:v>Dekoruma收購對價</x:v>
      </x:c>
      <x:c r="C161" s="4" t="n">
        <x:v>2024</x:v>
      </x:c>
      <x:c r="D161" s="17" t="n">
        <x:v>1169704</x:v>
      </x:c>
      <x:c r="E161" s="4" t="str">
        <x:v>百萬IDR</x:v>
      </x:c>
      <x:c r="F161" s="17" t="n">
        <x:v>1000000</x:v>
      </x:c>
      <x:c r="G161" s="4" t="str">
        <x:v>IDR</x:v>
      </x:c>
      <x:c r="H161" s="17" t="n">
        <x:f>D161*F161</x:f>
        <x:v>1169704000000</x:v>
      </x:c>
      <x:c r="I161" s="17" t="n">
        <x:f>INDEX($V$6:$V$19,MATCH(G161,$U$6:$U$19,0))</x:f>
        <x:v>16782</x:v>
      </x:c>
      <x:c r="J161" s="36" t="n">
        <x:f>IF(I161&lt;=0,"無有效匯率",H161/I161)</x:f>
        <x:v>69699916.57728519</x:v>
      </x:c>
      <x:c r="K161" s="4" t="str">
        <x:v>USD</x:v>
      </x:c>
      <x:c r="L161" s="36" t="n">
        <x:f>IF(OR(NOT(ISNUMBER(J161)),$V$6&lt;=0),"無有效匯率",J161*$V$6)</x:f>
        <x:v>2172288510.022643</x:v>
      </x:c>
      <x:c r="M161" s="4" t="str">
        <x:v>TWD</x:v>
      </x:c>
      <x:c r="N161" s="4" t="str">
        <x:v>ID05</x:v>
      </x:c>
      <x:c r="O161" s="4" t="str">
        <x:v>https://asset-about.blibli.com/2025/04/Laporan-Tahunan-2024-PT-Global-Digital-Niaga-Tbk-.pdf</x:v>
      </x:c>
      <x:c r="P161" s="4" t="str">
        <x:v>X09</x:v>
      </x:c>
      <x:c r="Q161" s="4" t="str">
        <x:v>【示意】2024年報財報註1c purchase consideration；非扣現金後金額；獨立來源1；來源A級</x:v>
      </x:c>
      <x:c r="R161" s="4" t="str">
        <x:v>低</x:v>
      </x:c>
    </x:row>
    <x:row r="162" ht="38" customHeight="1">
      <x:c r="A162" s="4" t="str">
        <x:v>ID</x:v>
      </x:c>
      <x:c r="B162" s="4" t="str">
        <x:v>Blibli集團合併營收</x:v>
      </x:c>
      <x:c r="C162" s="4" t="n">
        <x:v>2024</x:v>
      </x:c>
      <x:c r="D162" s="17" t="n">
        <x:v>16715576</x:v>
      </x:c>
      <x:c r="E162" s="4" t="str">
        <x:v>百萬IDR</x:v>
      </x:c>
      <x:c r="F162" s="17" t="n">
        <x:v>1000000</x:v>
      </x:c>
      <x:c r="G162" s="4" t="str">
        <x:v>IDR</x:v>
      </x:c>
      <x:c r="H162" s="17" t="n">
        <x:f>D162*F162</x:f>
        <x:v>16715576000000</x:v>
      </x:c>
      <x:c r="I162" s="17" t="n">
        <x:f>INDEX($V$6:$V$19,MATCH(G162,$U$6:$U$19,0))</x:f>
        <x:v>16782</x:v>
      </x:c>
      <x:c r="J162" s="36" t="n">
        <x:f>IF(I162&lt;=0,"無有效匯率",H162/I162)</x:f>
        <x:v>996041949.7080204</x:v>
      </x:c>
      <x:c r="K162" s="4" t="str">
        <x:v>USD</x:v>
      </x:c>
      <x:c r="L162" s="36" t="n">
        <x:f>IF(OR(NOT(ISNUMBER(J162)),$V$6&lt;=0),"無有效匯率",J162*$V$6)</x:f>
        <x:v>31042942217.185078</x:v>
      </x:c>
      <x:c r="M162" s="4" t="str">
        <x:v>TWD</x:v>
      </x:c>
      <x:c r="N162" s="4" t="str">
        <x:v>ID05</x:v>
      </x:c>
      <x:c r="O162" s="4" t="str">
        <x:v>https://asset-about.blibli.com/2025/04/Laporan-Tahunan-2024-PT-Global-Digital-Niaga-Tbk-.pdf</x:v>
      </x:c>
      <x:c r="P162" s="4" t="str">
        <x:v>X09</x:v>
      </x:c>
      <x:c r="Q162" s="4" t="str">
        <x:v>【示意】全電商旅遊超市等合併範圍，不是Dekoruma或装修收入；獨立來源1；來源A級</x:v>
      </x:c>
      <x:c r="R162" s="4" t="str">
        <x:v>低</x:v>
      </x:c>
    </x:row>
    <x:row r="163" ht="38" customHeight="1">
      <x:c r="A163" s="4" t="str">
        <x:v>ID</x:v>
      </x:c>
      <x:c r="B163" s="4" t="str">
        <x:v>家具市場估算</x:v>
      </x:c>
      <x:c r="C163" s="4" t="n">
        <x:v>2025</x:v>
      </x:c>
      <x:c r="D163" s="18" t="n">
        <x:v>8.24</x:v>
      </x:c>
      <x:c r="E163" s="4" t="str">
        <x:v>十億USD</x:v>
      </x:c>
      <x:c r="F163" s="17" t="n">
        <x:v>1000000000</x:v>
      </x:c>
      <x:c r="G163" s="4" t="str">
        <x:v>USD</x:v>
      </x:c>
      <x:c r="H163" s="17" t="n">
        <x:f>D163*F163</x:f>
        <x:v>8240000000</x:v>
      </x:c>
      <x:c r="I163" s="17" t="n">
        <x:f>INDEX($V$6:$V$19,MATCH(G163,$U$6:$U$19,0))</x:f>
        <x:v>1</x:v>
      </x:c>
      <x:c r="J163" s="36" t="n">
        <x:f>IF(I163&lt;=0,"無有效匯率",H163/I163)</x:f>
        <x:v>8240000000</x:v>
      </x:c>
      <x:c r="K163" s="4" t="str">
        <x:v>USD</x:v>
      </x:c>
      <x:c r="L163" s="36" t="n">
        <x:f>IF(OR(NOT(ISNUMBER(J163)),$V$6&lt;=0),"無有效匯率",J163*$V$6)</x:f>
        <x:v>256810312000</x:v>
      </x:c>
      <x:c r="M163" s="4" t="str">
        <x:v>TWD</x:v>
      </x:c>
      <x:c r="N163" s="4" t="str">
        <x:v>ID10</x:v>
      </x:c>
      <x:c r="O163" s="4" t="str">
        <x:v>https://www.mordorintelligence.com/industry-reports/indonesia-furniture-market</x:v>
      </x:c>
      <x:c r="P163" s="4" t="str">
        <x:v>X01</x:v>
      </x:c>
      <x:c r="Q163" s="4" t="str">
        <x:v>【預測／示意】含住宅、辦公、飯店等可移動家具；非裝修市場；獨立來源1；來源C級</x:v>
      </x:c>
      <x:c r="R163" s="4" t="str">
        <x:v>低</x:v>
      </x:c>
    </x:row>
    <x:row r="164" ht="38" customHeight="1">
      <x:c r="A164" s="4" t="str">
        <x:v>ID</x:v>
      </x:c>
      <x:c r="B164" s="4" t="str">
        <x:v>家具市場預測</x:v>
      </x:c>
      <x:c r="C164" s="4" t="n">
        <x:v>2030</x:v>
      </x:c>
      <x:c r="D164" s="18" t="n">
        <x:v>11.08</x:v>
      </x:c>
      <x:c r="E164" s="4" t="str">
        <x:v>十億USD</x:v>
      </x:c>
      <x:c r="F164" s="17" t="n">
        <x:v>1000000000</x:v>
      </x:c>
      <x:c r="G164" s="4" t="str">
        <x:v>USD</x:v>
      </x:c>
      <x:c r="H164" s="17" t="n">
        <x:f>D164*F164</x:f>
        <x:v>11080000000</x:v>
      </x:c>
      <x:c r="I164" s="17" t="n">
        <x:f>INDEX($V$6:$V$19,MATCH(G164,$U$6:$U$19,0))</x:f>
        <x:v>1</x:v>
      </x:c>
      <x:c r="J164" s="36" t="n">
        <x:f>IF(I164&lt;=0,"無有效匯率",H164/I164)</x:f>
        <x:v>11080000000</x:v>
      </x:c>
      <x:c r="K164" s="4" t="str">
        <x:v>USD</x:v>
      </x:c>
      <x:c r="L164" s="36" t="n">
        <x:f>IF(OR(NOT(ISNUMBER(J164)),$V$6&lt;=0),"無有效匯率",J164*$V$6)</x:f>
        <x:v>345322604000</x:v>
      </x:c>
      <x:c r="M164" s="4" t="str">
        <x:v>TWD</x:v>
      </x:c>
      <x:c r="N164" s="4" t="str">
        <x:v>ID10</x:v>
      </x:c>
      <x:c r="O164" s="4" t="str">
        <x:v>https://www.mordorintelligence.com/industry-reports/indonesia-furniture-market</x:v>
      </x:c>
      <x:c r="P164" s="4" t="str">
        <x:v>X01</x:v>
      </x:c>
      <x:c r="Q164" s="4" t="str">
        <x:v>【預測／示意】第三方模型預測，不是官方預測；獨立來源1；來源C級</x:v>
      </x:c>
      <x:c r="R164" s="4" t="str">
        <x:v>低</x:v>
      </x:c>
    </x:row>
    <x:row r="165" ht="52" customHeight="1">
      <x:c r="A165" s="4" t="str">
        <x:v>ID</x:v>
      </x:c>
      <x:c r="B165" s="4" t="str">
        <x:v>全產業受僱者平均月薪</x:v>
      </x:c>
      <x:c r="C165" s="4" t="n">
        <x:v>2025</x:v>
      </x:c>
      <x:c r="D165" s="17" t="n">
        <x:v>3330000</x:v>
      </x:c>
      <x:c r="E165" s="4" t="str">
        <x:v>IDR/月</x:v>
      </x:c>
      <x:c r="F165" s="17" t="n">
        <x:v>1</x:v>
      </x:c>
      <x:c r="G165" s="4" t="str">
        <x:v>IDR</x:v>
      </x:c>
      <x:c r="H165" s="17" t="n">
        <x:f>D165*F165</x:f>
        <x:v>3330000</x:v>
      </x:c>
      <x:c r="I165" s="17" t="n">
        <x:f>INDEX($V$6:$V$19,MATCH(G165,$U$6:$U$19,0))</x:f>
        <x:v>16782</x:v>
      </x:c>
      <x:c r="J165" s="36" t="n">
        <x:f>IF(I165&lt;=0,"無有效匯率",H165/I165)</x:f>
        <x:v>198.42688594923132</x:v>
      </x:c>
      <x:c r="K165" s="4" t="str">
        <x:v>USD/月</x:v>
      </x:c>
      <x:c r="L165" s="36" t="n">
        <x:f>IF(OR(NOT(ISNUMBER(J165)),$V$6&lt;=0),"無有效匯率",J165*$V$6)</x:f>
        <x:v>6184.231855559528</x:v>
      </x:c>
      <x:c r="M165" s="4" t="str">
        <x:v>TWD/月</x:v>
      </x:c>
      <x:c r="N165" s="4" t="str">
        <x:v>ID14</x:v>
      </x:c>
      <x:c r="O165" s="4" t="str">
        <x:v>https://www.bps.go.id/assets/pressrelease/2025/11/05/2479/tingkat-pengangguran-terbuka--tpt--sebesar-4-85-persen--rata-rata-upah-buruh-sebesar-3-33-juta-rupiah-.html</x:v>
      </x:c>
      <x:c r="P165" s="4" t="str">
        <x:v>X09</x:v>
      </x:c>
      <x:c r="Q165" s="4" t="str">
        <x:v>【示意】8月；非室內設計師或監工；獨立來源1；來源A級</x:v>
      </x:c>
      <x:c r="R165" s="4" t="str">
        <x:v>低</x:v>
      </x:c>
    </x:row>
    <x:row r="166" ht="38" customHeight="1">
      <x:c r="A166" s="4" t="str">
        <x:v>ID</x:v>
      </x:c>
      <x:c r="B166" s="4" t="str">
        <x:v>人均GDP</x:v>
      </x:c>
      <x:c r="C166" s="4" t="n">
        <x:v>2025</x:v>
      </x:c>
      <x:c r="D166" s="21" t="n">
        <x:v>5059.626</x:v>
      </x:c>
      <x:c r="E166" s="4" t="str">
        <x:v>USD/人</x:v>
      </x:c>
      <x:c r="F166" s="17" t="n">
        <x:v>1</x:v>
      </x:c>
      <x:c r="G166" s="4" t="str">
        <x:v>USD</x:v>
      </x:c>
      <x:c r="H166" s="21" t="n">
        <x:f>D166*F166</x:f>
        <x:v>5059.626</x:v>
      </x:c>
      <x:c r="I166" s="17" t="n">
        <x:f>INDEX($V$6:$V$19,MATCH(G166,$U$6:$U$19,0))</x:f>
        <x:v>1</x:v>
      </x:c>
      <x:c r="J166" s="36" t="n">
        <x:f>IF(I166&lt;=0,"無有效匯率",H166/I166)</x:f>
        <x:v>5059.626</x:v>
      </x:c>
      <x:c r="K166" s="4" t="str">
        <x:v>USD/人</x:v>
      </x:c>
      <x:c r="L166" s="36" t="n">
        <x:f>IF(OR(NOT(ISNUMBER(J166)),$V$6&lt;=0),"無有效匯率",J166*$V$6)</x:f>
        <x:v>157689.8218038</x:v>
      </x:c>
      <x:c r="M166" s="4" t="str">
        <x:v>TWD/人</x:v>
      </x:c>
      <x:c r="N166" s="4" t="str">
        <x:v>MID</x:v>
      </x:c>
      <x:c r="O166" s="4" t="str">
        <x:v>https://data.worldbank.org/country/indonesia</x:v>
      </x:c>
      <x:c r="P166" s="4" t="str">
        <x:v>X01</x:v>
      </x:c>
      <x:c r="Q166" s="4" t="str">
        <x:v>【示意】名目、現價美元；WDI 2025歷史數列，可能修訂，非家庭可支配所得；獨立來源1；來源A級</x:v>
      </x:c>
      <x:c r="R166" s="4" t="str">
        <x:v>低</x:v>
      </x:c>
    </x:row>
    <x:row r="167" ht="30" customHeight="1">
      <x:c r="A167" s="4" t="str">
        <x:v>ID</x:v>
      </x:c>
      <x:c r="B167" s="4" t="str">
        <x:v>GDP</x:v>
      </x:c>
      <x:c r="C167" s="4" t="n">
        <x:v>2025</x:v>
      </x:c>
      <x:c r="D167" s="17" t="n">
        <x:v>1450000000000</x:v>
      </x:c>
      <x:c r="E167" s="4" t="str">
        <x:v>USD</x:v>
      </x:c>
      <x:c r="F167" s="17" t="n">
        <x:v>1</x:v>
      </x:c>
      <x:c r="G167" s="4" t="str">
        <x:v>USD</x:v>
      </x:c>
      <x:c r="H167" s="17" t="n">
        <x:f>D167*F167</x:f>
        <x:v>1450000000000</x:v>
      </x:c>
      <x:c r="I167" s="17" t="n">
        <x:f>INDEX($V$6:$V$19,MATCH(G167,$U$6:$U$19,0))</x:f>
        <x:v>1</x:v>
      </x:c>
      <x:c r="J167" s="36" t="n">
        <x:f>IF(I167&lt;=0,"無有效匯率",H167/I167)</x:f>
        <x:v>1450000000000</x:v>
      </x:c>
      <x:c r="K167" s="4" t="str">
        <x:v>USD</x:v>
      </x:c>
      <x:c r="L167" s="36" t="n">
        <x:f>IF(OR(NOT(ISNUMBER(J167)),$V$6&lt;=0),"無有效匯率",J167*$V$6)</x:f>
        <x:v>45191135000000</x:v>
      </x:c>
      <x:c r="M167" s="4" t="str">
        <x:v>TWD</x:v>
      </x:c>
      <x:c r="N167" s="4" t="str">
        <x:v>MID</x:v>
      </x:c>
      <x:c r="O167" s="4" t="str">
        <x:v>https://data.worldbank.org/country/indonesia</x:v>
      </x:c>
      <x:c r="P167" s="4" t="str">
        <x:v>X01</x:v>
      </x:c>
      <x:c r="Q167" s="4" t="str">
        <x:v>【示意】WDI 2025現價；頁面billion/trillion四捨五入值；獨立來源1；來源A級</x:v>
      </x:c>
      <x:c r="R167" s="4" t="str">
        <x:v>低</x:v>
      </x:c>
    </x:row>
    <x:row r="168" ht="38" customHeight="1">
      <x:c r="A168" s="4" t="str">
        <x:v>ID</x:v>
      </x:c>
      <x:c r="B168" s="4" t="str">
        <x:v>雅加達商辦裝修成本</x:v>
      </x:c>
      <x:c r="C168" s="4" t="n">
        <x:v>2026</x:v>
      </x:c>
      <x:c r="D168" s="20" t="n">
        <x:v>624.3068041691638</x:v>
      </x:c>
      <x:c r="E168" s="4" t="str">
        <x:v>USD/m²</x:v>
      </x:c>
      <x:c r="F168" s="17" t="n">
        <x:v>1</x:v>
      </x:c>
      <x:c r="G168" s="4" t="str">
        <x:v>USD</x:v>
      </x:c>
      <x:c r="H168" s="20" t="n">
        <x:f>D168*F168</x:f>
        <x:v>624.3068041691638</x:v>
      </x:c>
      <x:c r="I168" s="17" t="n">
        <x:f>INDEX($V$6:$V$19,MATCH(G168,$U$6:$U$19,0))</x:f>
        <x:v>1</x:v>
      </x:c>
      <x:c r="J168" s="36" t="n">
        <x:f>IF(I168&lt;=0,"無有效匯率",H168/I168)</x:f>
        <x:v>624.3068041691638</x:v>
      </x:c>
      <x:c r="K168" s="4" t="str">
        <x:v>USD/m²</x:v>
      </x:c>
      <x:c r="L168" s="36" t="n">
        <x:f>IF(OR(NOT(ISNUMBER(J168)),$V$6&lt;=0),"無有效匯率",J168*$V$6)</x:f>
        <x:v>19457.33315077741</x:v>
      </x:c>
      <x:c r="M168" s="4" t="str">
        <x:v>TWD/m²</x:v>
      </x:c>
      <x:c r="N168" s="4" t="str">
        <x:v>X02</x:v>
      </x:c>
      <x:c r="O168" s="4" t="str">
        <x:v>https://digital.cushmanwakefield.com/fitoutcostguide-03-2026-apac-regional-en-content-pds-office/30-31/</x:v>
      </x:c>
      <x:c r="P168" s="4" t="str">
        <x:v>X01</x:v>
      </x:c>
      <x:c r="Q168" s="4" t="str">
        <x:v>【示意】C&amp;W 2026商辦fit-out，價格基準2025年12月；USD/ft²÷0.09290304，非住宅報價，報告自身匯率；獨立來源1；來源B級</x:v>
      </x:c>
      <x:c r="R168" s="4" t="str">
        <x:v>低</x:v>
      </x:c>
    </x:row>
    <x:row r="169" ht="38" customHeight="1">
      <x:c r="A169" s="4" t="str">
        <x:v>PH</x:v>
      </x:c>
      <x:c r="B169" s="4" t="str">
        <x:v>人均GDP</x:v>
      </x:c>
      <x:c r="C169" s="4" t="n">
        <x:v>2025</x:v>
      </x:c>
      <x:c r="D169" s="21" t="n">
        <x:v>4170.723</x:v>
      </x:c>
      <x:c r="E169" s="4" t="str">
        <x:v>USD/人</x:v>
      </x:c>
      <x:c r="F169" s="17" t="n">
        <x:v>1</x:v>
      </x:c>
      <x:c r="G169" s="4" t="str">
        <x:v>USD</x:v>
      </x:c>
      <x:c r="H169" s="21" t="n">
        <x:f>D169*F169</x:f>
        <x:v>4170.723</x:v>
      </x:c>
      <x:c r="I169" s="17" t="n">
        <x:f>INDEX($V$6:$V$19,MATCH(G169,$U$6:$U$19,0))</x:f>
        <x:v>1</x:v>
      </x:c>
      <x:c r="J169" s="36" t="n">
        <x:f>IF(I169&lt;=0,"無有效匯率",H169/I169)</x:f>
        <x:v>4170.723</x:v>
      </x:c>
      <x:c r="K169" s="4" t="str">
        <x:v>USD/人</x:v>
      </x:c>
      <x:c r="L169" s="36" t="n">
        <x:f>IF(OR(NOT(ISNUMBER(J169)),$V$6&lt;=0),"無有效匯率",J169*$V$6)</x:f>
        <x:v>129986.0042349</x:v>
      </x:c>
      <x:c r="M169" s="4" t="str">
        <x:v>TWD/人</x:v>
      </x:c>
      <x:c r="N169" s="4" t="str">
        <x:v>MPH</x:v>
      </x:c>
      <x:c r="O169" s="4" t="str">
        <x:v>https://data.worldbank.org/country/philippines</x:v>
      </x:c>
      <x:c r="P169" s="4" t="str">
        <x:v>X01</x:v>
      </x:c>
      <x:c r="Q169" s="4" t="str">
        <x:v>【示意】名目、現價美元；WDI 2025歷史數列，可能修訂，非家庭可支配所得；獨立來源1；來源A級</x:v>
      </x:c>
      <x:c r="R169" s="4" t="str">
        <x:v>低</x:v>
      </x:c>
    </x:row>
    <x:row r="170" ht="30" customHeight="1">
      <x:c r="A170" s="4" t="str">
        <x:v>PH</x:v>
      </x:c>
      <x:c r="B170" s="4" t="str">
        <x:v>GDP</x:v>
      </x:c>
      <x:c r="C170" s="4" t="n">
        <x:v>2025</x:v>
      </x:c>
      <x:c r="D170" s="17" t="n">
        <x:v>487090000000</x:v>
      </x:c>
      <x:c r="E170" s="4" t="str">
        <x:v>USD</x:v>
      </x:c>
      <x:c r="F170" s="17" t="n">
        <x:v>1</x:v>
      </x:c>
      <x:c r="G170" s="4" t="str">
        <x:v>USD</x:v>
      </x:c>
      <x:c r="H170" s="17" t="n">
        <x:f>D170*F170</x:f>
        <x:v>487090000000</x:v>
      </x:c>
      <x:c r="I170" s="17" t="n">
        <x:f>INDEX($V$6:$V$19,MATCH(G170,$U$6:$U$19,0))</x:f>
        <x:v>1</x:v>
      </x:c>
      <x:c r="J170" s="36" t="n">
        <x:f>IF(I170&lt;=0,"無有效匯率",H170/I170)</x:f>
        <x:v>487090000000</x:v>
      </x:c>
      <x:c r="K170" s="4" t="str">
        <x:v>USD</x:v>
      </x:c>
      <x:c r="L170" s="36" t="n">
        <x:f>IF(OR(NOT(ISNUMBER(J170)),$V$6&lt;=0),"無有效匯率",J170*$V$6)</x:f>
        <x:v>15180793067000</x:v>
      </x:c>
      <x:c r="M170" s="4" t="str">
        <x:v>TWD</x:v>
      </x:c>
      <x:c r="N170" s="4" t="str">
        <x:v>MPH</x:v>
      </x:c>
      <x:c r="O170" s="4" t="str">
        <x:v>https://data.worldbank.org/country/philippines</x:v>
      </x:c>
      <x:c r="P170" s="4" t="str">
        <x:v>X01</x:v>
      </x:c>
      <x:c r="Q170" s="4" t="str">
        <x:v>【示意】WDI 2025現價；頁面billion/trillion四捨五入值；獨立來源1；來源A級</x:v>
      </x:c>
      <x:c r="R170" s="4" t="str">
        <x:v>低</x:v>
      </x:c>
    </x:row>
    <x:row r="171" ht="30" customHeight="1">
      <x:c r="A171" s="4" t="str">
        <x:v>PH</x:v>
      </x:c>
      <x:c r="B171" s="4" t="str">
        <x:v>住宅核准建築申報價值</x:v>
      </x:c>
      <x:c r="C171" s="4" t="n">
        <x:v>2024</x:v>
      </x:c>
      <x:c r="D171" s="18" t="n">
        <x:v>248.65</x:v>
      </x:c>
      <x:c r="E171" s="4" t="str">
        <x:v>PHP billion</x:v>
      </x:c>
      <x:c r="F171" s="17" t="n">
        <x:v>1000000000</x:v>
      </x:c>
      <x:c r="G171" s="4" t="str">
        <x:v>PHP</x:v>
      </x:c>
      <x:c r="H171" s="17" t="n">
        <x:f>D171*F171</x:f>
        <x:v>248650000000</x:v>
      </x:c>
      <x:c r="I171" s="35" t="n">
        <x:f>INDEX($V$6:$V$19,MATCH(G171,$U$6:$U$19,0))</x:f>
        <x:v>57.5051</x:v>
      </x:c>
      <x:c r="J171" s="36" t="n">
        <x:f>IF(I171&lt;=0,"無有效匯率",H171/I171)</x:f>
        <x:v>4323964309.252571</x:v>
      </x:c>
      <x:c r="K171" s="4" t="str">
        <x:v>USD</x:v>
      </x:c>
      <x:c r="L171" s="36" t="n">
        <x:f>IF(OR(NOT(ISNUMBER(J171)),$V$6&lt;=0),"無有效匯率",J171*$V$6)</x:f>
        <x:v>134761968851.4584</x:v>
      </x:c>
      <x:c r="M171" s="4" t="str">
        <x:v>TWD</x:v>
      </x:c>
      <x:c r="N171" s="4" t="str">
        <x:v>PH01</x:v>
      </x:c>
      <x:c r="O171" s="4" t="str">
        <x:v>https://psa.gov.ph/statistics/construction/pcs/node/1684076766</x:v>
      </x:c>
      <x:c r="P171" s="4" t="str">
        <x:v>X08</x:v>
      </x:c>
      <x:c r="Q171" s="4" t="str">
        <x:v>【示意】含建築結構之住宅建照申報價值，排除於裝修市場規模比較；獨立來源1；來源A級</x:v>
      </x:c>
      <x:c r="R171" s="4" t="str">
        <x:v>低</x:v>
      </x:c>
    </x:row>
    <x:row r="172" ht="38" customHeight="1">
      <x:c r="A172" s="4" t="str">
        <x:v>PH</x:v>
      </x:c>
      <x:c r="B172" s="4" t="str">
        <x:v>改建及修繕建照申報價值</x:v>
      </x:c>
      <x:c r="C172" s="4" t="n">
        <x:v>2024</x:v>
      </x:c>
      <x:c r="D172" s="18" t="n">
        <x:v>43.05</x:v>
      </x:c>
      <x:c r="E172" s="4" t="str">
        <x:v>PHP billion</x:v>
      </x:c>
      <x:c r="F172" s="17" t="n">
        <x:v>1000000000</x:v>
      </x:c>
      <x:c r="G172" s="4" t="str">
        <x:v>PHP</x:v>
      </x:c>
      <x:c r="H172" s="17" t="n">
        <x:f>D172*F172</x:f>
        <x:v>43050000000</x:v>
      </x:c>
      <x:c r="I172" s="35" t="n">
        <x:f>INDEX($V$6:$V$19,MATCH(G172,$U$6:$U$19,0))</x:f>
        <x:v>57.5051</x:v>
      </x:c>
      <x:c r="J172" s="36" t="n">
        <x:f>IF(I172&lt;=0,"無有效匯率",H172/I172)</x:f>
        <x:v>748629252.0141692</x:v>
      </x:c>
      <x:c r="K172" s="4" t="str">
        <x:v>USD</x:v>
      </x:c>
      <x:c r="L172" s="36" t="n">
        <x:f>IF(OR(NOT(ISNUMBER(J172)),$V$6&lt;=0),"無有效匯率",J172*$V$6)</x:f>
        <x:v>23332003857.049202</x:v>
      </x:c>
      <x:c r="M172" s="4" t="str">
        <x:v>TWD</x:v>
      </x:c>
      <x:c r="N172" s="4" t="str">
        <x:v>PH01</x:v>
      </x:c>
      <x:c r="O172" s="4" t="str">
        <x:v>https://psa.gov.ph/statistics/construction/pcs/node/1684076766</x:v>
      </x:c>
      <x:c r="P172" s="4" t="str">
        <x:v>X08</x:v>
      </x:c>
      <x:c r="Q172" s="4" t="str">
        <x:v>【示意】alteration and repair；住宅與非住宅混合；不含無申報工程；獨立來源1；來源A級</x:v>
      </x:c>
      <x:c r="R172" s="4" t="str">
        <x:v>低</x:v>
      </x:c>
    </x:row>
    <x:row r="173" ht="38" customHeight="1">
      <x:c r="A173" s="4" t="str">
        <x:v>PH</x:v>
      </x:c>
      <x:c r="B173" s="4" t="str">
        <x:v>Wilcon gross revenue</x:v>
      </x:c>
      <x:c r="C173" s="4" t="n">
        <x:v>2024</x:v>
      </x:c>
      <x:c r="D173" s="23" t="n">
        <x:v>34.620976305</x:v>
      </x:c>
      <x:c r="E173" s="4" t="str">
        <x:v>PHP billion</x:v>
      </x:c>
      <x:c r="F173" s="17" t="n">
        <x:v>1000000000</x:v>
      </x:c>
      <x:c r="G173" s="4" t="str">
        <x:v>PHP</x:v>
      </x:c>
      <x:c r="H173" s="17" t="n">
        <x:f>D173*F173</x:f>
        <x:v>34620976305</x:v>
      </x:c>
      <x:c r="I173" s="35" t="n">
        <x:f>INDEX($V$6:$V$19,MATCH(G173,$U$6:$U$19,0))</x:f>
        <x:v>57.5051</x:v>
      </x:c>
      <x:c r="J173" s="36" t="n">
        <x:f>IF(I173&lt;=0,"無有效匯率",H173/I173)</x:f>
        <x:v>602050536.4741563</x:v>
      </x:c>
      <x:c r="K173" s="4" t="str">
        <x:v>USD</x:v>
      </x:c>
      <x:c r="L173" s="36" t="n">
        <x:f>IF(OR(NOT(ISNUMBER(J173)),$V$6&lt;=0),"無有效匯率",J173*$V$6)</x:f>
        <x:v>18763687634.914497</x:v>
      </x:c>
      <x:c r="M173" s="4" t="str">
        <x:v>TWD</x:v>
      </x:c>
      <x:c r="N173" s="4" t="str">
        <x:v>PH02</x:v>
      </x:c>
      <x:c r="O173" s="4" t="str">
        <x:v>https://edge.pse.com.ph/downloadHtml.do?file_id=1709278</x:v>
      </x:c>
      <x:c r="P173" s="4" t="str">
        <x:v>X08</x:v>
      </x:c>
      <x:c r="Q173" s="4" t="str">
        <x:v>【示意】PSE annual summary gross revenue，非net sales亦非裝修市場；獨立來源1；來源A級</x:v>
      </x:c>
      <x:c r="R173" s="4" t="str">
        <x:v>低</x:v>
      </x:c>
    </x:row>
    <x:row r="174" ht="30" customHeight="1">
      <x:c r="A174" s="4" t="str">
        <x:v>PH</x:v>
      </x:c>
      <x:c r="B174" s="4" t="str">
        <x:v>Wilcon稅後淨利</x:v>
      </x:c>
      <x:c r="C174" s="4" t="n">
        <x:v>2024</x:v>
      </x:c>
      <x:c r="D174" s="23" t="n">
        <x:v>2.528431482</x:v>
      </x:c>
      <x:c r="E174" s="4" t="str">
        <x:v>PHP billion</x:v>
      </x:c>
      <x:c r="F174" s="17" t="n">
        <x:v>1000000000</x:v>
      </x:c>
      <x:c r="G174" s="4" t="str">
        <x:v>PHP</x:v>
      </x:c>
      <x:c r="H174" s="17" t="n">
        <x:f>D174*F174</x:f>
        <x:v>2528431482</x:v>
      </x:c>
      <x:c r="I174" s="35" t="n">
        <x:f>INDEX($V$6:$V$19,MATCH(G174,$U$6:$U$19,0))</x:f>
        <x:v>57.5051</x:v>
      </x:c>
      <x:c r="J174" s="36" t="n">
        <x:f>IF(I174&lt;=0,"無有效匯率",H174/I174)</x:f>
        <x:v>43968821.58278135</x:v>
      </x:c>
      <x:c r="K174" s="4" t="str">
        <x:v>USD</x:v>
      </x:c>
      <x:c r="L174" s="36" t="n">
        <x:f>IF(OR(NOT(ISNUMBER(J174)),$V$6&lt;=0),"無有效匯率",J174*$V$6)</x:f>
        <x:v>1370345484.0954385</x:v>
      </x:c>
      <x:c r="M174" s="4" t="str">
        <x:v>TWD</x:v>
      </x:c>
      <x:c r="N174" s="4" t="str">
        <x:v>PH02</x:v>
      </x:c>
      <x:c r="O174" s="4" t="str">
        <x:v>https://edge.pse.com.ph/downloadHtml.do?file_id=1709278</x:v>
      </x:c>
      <x:c r="P174" s="4" t="str">
        <x:v>X08</x:v>
      </x:c>
      <x:c r="Q174" s="4" t="str">
        <x:v>【示意】公司全年稅後淨利；獨立來源1；來源A級</x:v>
      </x:c>
      <x:c r="R174" s="4" t="str">
        <x:v>低</x:v>
      </x:c>
    </x:row>
    <x:row r="175" ht="38" customHeight="1">
      <x:c r="A175" s="4" t="str">
        <x:v>PH</x:v>
      </x:c>
      <x:c r="B175" s="4" t="str">
        <x:v>Wilcon淨銷售額</x:v>
      </x:c>
      <x:c r="C175" s="4" t="str">
        <x:v>2024H1</x:v>
      </x:c>
      <x:c r="D175" s="21" t="n">
        <x:v>17.184</x:v>
      </x:c>
      <x:c r="E175" s="4" t="str">
        <x:v>PHP billion</x:v>
      </x:c>
      <x:c r="F175" s="17" t="n">
        <x:v>1000000000</x:v>
      </x:c>
      <x:c r="G175" s="4" t="str">
        <x:v>PHP</x:v>
      </x:c>
      <x:c r="H175" s="17" t="n">
        <x:f>D175*F175</x:f>
        <x:v>17184000000</x:v>
      </x:c>
      <x:c r="I175" s="35" t="n">
        <x:f>INDEX($V$6:$V$19,MATCH(G175,$U$6:$U$19,0))</x:f>
        <x:v>57.5051</x:v>
      </x:c>
      <x:c r="J175" s="36" t="n">
        <x:f>IF(I175&lt;=0,"無有效匯率",H175/I175)</x:f>
        <x:v>298825669.3754119</x:v>
      </x:c>
      <x:c r="K175" s="4" t="str">
        <x:v>USD</x:v>
      </x:c>
      <x:c r="L175" s="36" t="n">
        <x:f>IF(OR(NOT(ISNUMBER(J175)),$V$6&lt;=0),"無有效匯率",J175*$V$6)</x:f>
        <x:v>9313290459.4549</x:v>
      </x:c>
      <x:c r="M175" s="4" t="str">
        <x:v>TWD</x:v>
      </x:c>
      <x:c r="N175" s="4" t="str">
        <x:v>PH03</x:v>
      </x:c>
      <x:c r="O175" s="4" t="str">
        <x:v>https://investor.wilcon.com.ph/wp-content/uploads/2024/08/WLCON-17Q-Q2-2024-FS.pdf</x:v>
      </x:c>
      <x:c r="P175" s="4" t="str">
        <x:v>X08</x:v>
      </x:c>
      <x:c r="Q175" s="4" t="str">
        <x:v>【示意】公司上半年net sales；獨立來源1；來源A級</x:v>
      </x:c>
      <x:c r="R175" s="4" t="str">
        <x:v>低</x:v>
      </x:c>
    </x:row>
    <x:row r="176" ht="30" customHeight="1">
      <x:c r="A176" s="4" t="str">
        <x:v>PH</x:v>
      </x:c>
      <x:c r="B176" s="4" t="str">
        <x:v>外資零售最低實收資本</x:v>
      </x:c>
      <x:c r="C176" s="4" t="str">
        <x:v>2021法／2026核閱</x:v>
      </x:c>
      <x:c r="D176" s="17" t="n">
        <x:v>25</x:v>
      </x:c>
      <x:c r="E176" s="4" t="str">
        <x:v>PHP million</x:v>
      </x:c>
      <x:c r="F176" s="17" t="n">
        <x:v>1000000</x:v>
      </x:c>
      <x:c r="G176" s="4" t="str">
        <x:v>PHP</x:v>
      </x:c>
      <x:c r="H176" s="17" t="n">
        <x:f>D176*F176</x:f>
        <x:v>25000000</x:v>
      </x:c>
      <x:c r="I176" s="35" t="n">
        <x:f>INDEX($V$6:$V$19,MATCH(G176,$U$6:$U$19,0))</x:f>
        <x:v>57.5051</x:v>
      </x:c>
      <x:c r="J176" s="36" t="n">
        <x:f>IF(I176&lt;=0,"無有效匯率",H176/I176)</x:f>
        <x:v>434744.04878871614</x:v>
      </x:c>
      <x:c r="K176" s="4" t="str">
        <x:v>USD</x:v>
      </x:c>
      <x:c r="L176" s="36" t="n">
        <x:f>IF(OR(NOT(ISNUMBER(J176)),$V$6&lt;=0),"無有效匯率",J176*$V$6)</x:f>
        <x:v>13549363.447763763</x:v>
      </x:c>
      <x:c r="M176" s="4" t="str">
        <x:v>TWD</x:v>
      </x:c>
      <x:c r="N176" s="4" t="str">
        <x:v>PH10</x:v>
      </x:c>
      <x:c r="O176" s="4" t="str">
        <x:v>https://www.lawphil.net/statutes/repacts/ra2021/ra_11595_2021.html</x:v>
      </x:c>
      <x:c r="P176" s="4" t="str">
        <x:v>X08</x:v>
      </x:c>
      <x:c r="Q176" s="4" t="str">
        <x:v>【示意】另需互惠；多店投資門檻適用條件另見法條；獨立來源1；來源A級</x:v>
      </x:c>
      <x:c r="R176" s="4" t="str">
        <x:v>低</x:v>
      </x:c>
    </x:row>
    <x:row r="177" ht="30" customHeight="1">
      <x:c r="A177" s="4" t="str">
        <x:v>PH</x:v>
      </x:c>
      <x:c r="B177" s="4" t="str">
        <x:v>外資多店每店最低投資</x:v>
      </x:c>
      <x:c r="C177" s="4" t="str">
        <x:v>2021法／2026核閱</x:v>
      </x:c>
      <x:c r="D177" s="17" t="n">
        <x:v>10</x:v>
      </x:c>
      <x:c r="E177" s="4" t="str">
        <x:v>PHP million</x:v>
      </x:c>
      <x:c r="F177" s="17" t="n">
        <x:v>1000000</x:v>
      </x:c>
      <x:c r="G177" s="4" t="str">
        <x:v>PHP</x:v>
      </x:c>
      <x:c r="H177" s="17" t="n">
        <x:f>D177*F177</x:f>
        <x:v>10000000</x:v>
      </x:c>
      <x:c r="I177" s="35" t="n">
        <x:f>INDEX($V$6:$V$19,MATCH(G177,$U$6:$U$19,0))</x:f>
        <x:v>57.5051</x:v>
      </x:c>
      <x:c r="J177" s="36" t="n">
        <x:f>IF(I177&lt;=0,"無有效匯率",H177/I177)</x:f>
        <x:v>173897.61951548647</x:v>
      </x:c>
      <x:c r="K177" s="4" t="str">
        <x:v>USD</x:v>
      </x:c>
      <x:c r="L177" s="36" t="n">
        <x:f>IF(OR(NOT(ISNUMBER(J177)),$V$6&lt;=0),"無有效匯率",J177*$V$6)</x:f>
        <x:v>5419745.3791055055</x:v>
      </x:c>
      <x:c r="M177" s="4" t="str">
        <x:v>TWD</x:v>
      </x:c>
      <x:c r="N177" s="4" t="str">
        <x:v>PH10</x:v>
      </x:c>
      <x:c r="O177" s="4" t="str">
        <x:v>https://www.lawphil.net/statutes/repacts/ra2021/ra_11595_2021.html</x:v>
      </x:c>
      <x:c r="P177" s="4" t="str">
        <x:v>X08</x:v>
      </x:c>
      <x:c r="Q177" s="4" t="str">
        <x:v>【示意】多於一實體店，既有合法業者有例外；獨立來源1；來源A級</x:v>
      </x:c>
      <x:c r="R177" s="4" t="str">
        <x:v>低</x:v>
      </x:c>
    </x:row>
    <x:row r="178" ht="52" customHeight="1">
      <x:c r="A178" s="4" t="str">
        <x:v>PH</x:v>
      </x:c>
      <x:c r="B178" s="4" t="str">
        <x:v>家具與室內設計廣義市場</x:v>
      </x:c>
      <x:c r="C178" s="4" t="str">
        <x:v>2024基期／2025發布</x:v>
      </x:c>
      <x:c r="D178" s="19" t="n">
        <x:v>4.1</x:v>
      </x:c>
      <x:c r="E178" s="4" t="str">
        <x:v>USD billion</x:v>
      </x:c>
      <x:c r="F178" s="17" t="n">
        <x:v>1000000000</x:v>
      </x:c>
      <x:c r="G178" s="4" t="str">
        <x:v>USD</x:v>
      </x:c>
      <x:c r="H178" s="34" t="n">
        <x:f>D178*F178</x:f>
        <x:v>4099999999.9999995</x:v>
      </x:c>
      <x:c r="I178" s="17" t="n">
        <x:f>INDEX($V$6:$V$19,MATCH(G178,$U$6:$U$19,0))</x:f>
        <x:v>1</x:v>
      </x:c>
      <x:c r="J178" s="36" t="n">
        <x:f>IF(I178&lt;=0,"無有效匯率",H178/I178)</x:f>
        <x:v>4099999999.9999995</x:v>
      </x:c>
      <x:c r="K178" s="4" t="str">
        <x:v>USD</x:v>
      </x:c>
      <x:c r="L178" s="36" t="n">
        <x:f>IF(OR(NOT(ISNUMBER(J178)),$V$6&lt;=0),"無有效匯率",J178*$V$6)</x:f>
        <x:v>127781829999.99998</x:v>
      </x:c>
      <x:c r="M178" s="4" t="str">
        <x:v>TWD</x:v>
      </x:c>
      <x:c r="N178" s="4" t="str">
        <x:v>PH11</x:v>
      </x:c>
      <x:c r="O178" s="4" t="str">
        <x:v>https://www.kenresearch.com/philippines-furniture-and-interior-design-market</x:v>
      </x:c>
      <x:c r="P178" s="4" t="str">
        <x:v>X01</x:v>
      </x:c>
      <x:c r="Q178" s="4" t="str">
        <x:v>【示意】Ken Research 家具與室內設計混合市場，涵蓋住宅及商用家具；銷售頁 Base Year2024，非純住宅翻修。；獨立來源1；來源C級；查核限制：頁面 L227 Base Year2024，L229 USD4.1bn；發布 October2025，家具與設計混合。</x:v>
      </x:c>
      <x:c r="R178" s="4" t="str">
        <x:v>低</x:v>
      </x:c>
    </x:row>
    <x:row r="179" ht="38" customHeight="1">
      <x:c r="A179" s="4" t="str">
        <x:v>PH</x:v>
      </x:c>
      <x:c r="B179" s="4" t="str">
        <x:v>人均名目GDP</x:v>
      </x:c>
      <x:c r="C179" s="4" t="n">
        <x:v>2024</x:v>
      </x:c>
      <x:c r="D179" s="19" t="n">
        <x:v>3983.1</x:v>
      </x:c>
      <x:c r="E179" s="4" t="str">
        <x:v>USD/人</x:v>
      </x:c>
      <x:c r="F179" s="17" t="n">
        <x:v>1</x:v>
      </x:c>
      <x:c r="G179" s="4" t="str">
        <x:v>USD</x:v>
      </x:c>
      <x:c r="H179" s="19" t="n">
        <x:f>D179*F179</x:f>
        <x:v>3983.1</x:v>
      </x:c>
      <x:c r="I179" s="17" t="n">
        <x:f>INDEX($V$6:$V$19,MATCH(G179,$U$6:$U$19,0))</x:f>
        <x:v>1</x:v>
      </x:c>
      <x:c r="J179" s="36" t="n">
        <x:f>IF(I179&lt;=0,"無有效匯率",H179/I179)</x:f>
        <x:v>3983.1</x:v>
      </x:c>
      <x:c r="K179" s="4" t="str">
        <x:v>USD/人</x:v>
      </x:c>
      <x:c r="L179" s="36" t="n">
        <x:f>IF(OR(NOT(ISNUMBER(J179)),$V$6&lt;=0),"無有效匯率",J179*$V$6)</x:f>
        <x:v>124138.48952999999</x:v>
      </x:c>
      <x:c r="M179" s="4" t="str">
        <x:v>TWD/人</x:v>
      </x:c>
      <x:c r="N179" s="4" t="str">
        <x:v>PH12</x:v>
      </x:c>
      <x:c r="O179" s="4" t="str">
        <x:v>https://thedocs.worldbank.org/en/doc/b991970a7f5096ab093720e27d5f0b68-0500012021/related/data-phl.pdf</x:v>
      </x:c>
      <x:c r="P179" s="4" t="str">
        <x:v>X01</x:v>
      </x:c>
      <x:c r="Q179" s="4" t="str">
        <x:v>【示意】世界銀行目前開啟表之2024欄；網頁搜尋快取3984.8與現行表不同，採實際開啟值；獨立來源1；來源A級</x:v>
      </x:c>
      <x:c r="R179" s="4" t="str">
        <x:v>低</x:v>
      </x:c>
    </x:row>
    <x:row r="180" ht="38" customHeight="1">
      <x:c r="A180" s="4" t="str">
        <x:v>PH</x:v>
      </x:c>
      <x:c r="B180" s="4" t="str">
        <x:v>馬尼拉商辦裝修成本</x:v>
      </x:c>
      <x:c r="C180" s="4" t="n">
        <x:v>2026</x:v>
      </x:c>
      <x:c r="D180" s="20" t="n">
        <x:v>1130.2105937545207</x:v>
      </x:c>
      <x:c r="E180" s="4" t="str">
        <x:v>USD/m²</x:v>
      </x:c>
      <x:c r="F180" s="17" t="n">
        <x:v>1</x:v>
      </x:c>
      <x:c r="G180" s="4" t="str">
        <x:v>USD</x:v>
      </x:c>
      <x:c r="H180" s="20" t="n">
        <x:f>D180*F180</x:f>
        <x:v>1130.2105937545207</x:v>
      </x:c>
      <x:c r="I180" s="17" t="n">
        <x:f>INDEX($V$6:$V$19,MATCH(G180,$U$6:$U$19,0))</x:f>
        <x:v>1</x:v>
      </x:c>
      <x:c r="J180" s="36" t="n">
        <x:f>IF(I180&lt;=0,"無有效匯率",H180/I180)</x:f>
        <x:v>1130.2105937545207</x:v>
      </x:c>
      <x:c r="K180" s="4" t="str">
        <x:v>USD/m²</x:v>
      </x:c>
      <x:c r="L180" s="36" t="n">
        <x:f>IF(OR(NOT(ISNUMBER(J180)),$V$6&lt;=0),"無有效匯率",J180*$V$6)</x:f>
        <x:v>35224.482428131516</x:v>
      </x:c>
      <x:c r="M180" s="4" t="str">
        <x:v>TWD/m²</x:v>
      </x:c>
      <x:c r="N180" s="4" t="str">
        <x:v>X02</x:v>
      </x:c>
      <x:c r="O180" s="4" t="str">
        <x:v>https://digital.cushmanwakefield.com/fitoutcostguide-03-2026-apac-regional-en-content-pds-office/30-31/</x:v>
      </x:c>
      <x:c r="P180" s="4" t="str">
        <x:v>X01</x:v>
      </x:c>
      <x:c r="Q180" s="4" t="str">
        <x:v>【示意】C&amp;W 2026商辦fit-out，價格基準2025年12月；USD/ft²÷0.09290304，非住宅報價，報告自身匯率；獨立來源1；來源B級</x:v>
      </x:c>
      <x:c r="R180" s="4" t="str">
        <x:v>低</x:v>
      </x:c>
    </x:row>
    <x:row r="181" ht="38" customHeight="1">
      <x:c r="A181" s="4" t="str">
        <x:v>IN</x:v>
      </x:c>
      <x:c r="B181" s="4" t="str">
        <x:v>室內設計服務合約市場</x:v>
      </x:c>
      <x:c r="C181" s="4" t="n">
        <x:v>2025</x:v>
      </x:c>
      <x:c r="D181" s="18" t="n">
        <x:v>31.43</x:v>
      </x:c>
      <x:c r="E181" s="4" t="str">
        <x:v>USD billion</x:v>
      </x:c>
      <x:c r="F181" s="17" t="n">
        <x:v>1000000000</x:v>
      </x:c>
      <x:c r="G181" s="4" t="str">
        <x:v>USD</x:v>
      </x:c>
      <x:c r="H181" s="17" t="n">
        <x:f>D181*F181</x:f>
        <x:v>31430000000</x:v>
      </x:c>
      <x:c r="I181" s="17" t="n">
        <x:f>INDEX($V$6:$V$19,MATCH(G181,$U$6:$U$19,0))</x:f>
        <x:v>1</x:v>
      </x:c>
      <x:c r="J181" s="36" t="n">
        <x:f>IF(I181&lt;=0,"無有效匯率",H181/I181)</x:f>
        <x:v>31430000000</x:v>
      </x:c>
      <x:c r="K181" s="4" t="str">
        <x:v>USD</x:v>
      </x:c>
      <x:c r="L181" s="36" t="n">
        <x:f>IF(OR(NOT(ISNUMBER(J181)),$V$6&lt;=0),"無有效匯率",J181*$V$6)</x:f>
        <x:v>979556809000</x:v>
      </x:c>
      <x:c r="M181" s="4" t="str">
        <x:v>TWD</x:v>
      </x:c>
      <x:c r="N181" s="4" t="str">
        <x:v>IN01</x:v>
      </x:c>
      <x:c r="O181" s="4" t="str">
        <x:v>https://www.mordorintelligence.com/industry-reports/india-interior-design-market</x:v>
      </x:c>
      <x:c r="P181" s="4" t="str">
        <x:v>X01</x:v>
      </x:c>
      <x:c r="Q181" s="4" t="str">
        <x:v>【示意】市調估計：住宅商用、新建翻修；含服務合約附隨供應，排除獨立家具建材交易；獨立來源1；來源C級</x:v>
      </x:c>
      <x:c r="R181" s="4" t="str">
        <x:v>低</x:v>
      </x:c>
    </x:row>
    <x:row r="182" ht="38" customHeight="1">
      <x:c r="A182" s="4" t="str">
        <x:v>IN</x:v>
      </x:c>
      <x:c r="B182" s="4" t="str">
        <x:v>室內設計服務合約市場預測</x:v>
      </x:c>
      <x:c r="C182" s="4" t="n">
        <x:v>2026</x:v>
      </x:c>
      <x:c r="D182" s="18" t="n">
        <x:v>35.48</x:v>
      </x:c>
      <x:c r="E182" s="4" t="str">
        <x:v>USD billion</x:v>
      </x:c>
      <x:c r="F182" s="17" t="n">
        <x:v>1000000000</x:v>
      </x:c>
      <x:c r="G182" s="4" t="str">
        <x:v>USD</x:v>
      </x:c>
      <x:c r="H182" s="17" t="n">
        <x:f>D182*F182</x:f>
        <x:v>35480000000</x:v>
      </x:c>
      <x:c r="I182" s="17" t="n">
        <x:f>INDEX($V$6:$V$19,MATCH(G182,$U$6:$U$19,0))</x:f>
        <x:v>1</x:v>
      </x:c>
      <x:c r="J182" s="36" t="n">
        <x:f>IF(I182&lt;=0,"無有效匯率",H182/I182)</x:f>
        <x:v>35480000000</x:v>
      </x:c>
      <x:c r="K182" s="4" t="str">
        <x:v>USD</x:v>
      </x:c>
      <x:c r="L182" s="36" t="n">
        <x:f>IF(OR(NOT(ISNUMBER(J182)),$V$6&lt;=0),"無有效匯率",J182*$V$6)</x:f>
        <x:v>1105780324000</x:v>
      </x:c>
      <x:c r="M182" s="4" t="str">
        <x:v>TWD</x:v>
      </x:c>
      <x:c r="N182" s="4" t="str">
        <x:v>IN01</x:v>
      </x:c>
      <x:c r="O182" s="4" t="str">
        <x:v>https://www.mordorintelligence.com/industry-reports/india-interior-design-market</x:v>
      </x:c>
      <x:c r="P182" s="4" t="str">
        <x:v>X01</x:v>
      </x:c>
      <x:c r="Q182" s="4" t="str">
        <x:v>【預測／示意】市調模型預測，非2026官方實績；獨立來源1；來源C級</x:v>
      </x:c>
      <x:c r="R182" s="4" t="str">
        <x:v>低</x:v>
      </x:c>
    </x:row>
    <x:row r="183" ht="38" customHeight="1">
      <x:c r="A183" s="4" t="str">
        <x:v>IN</x:v>
      </x:c>
      <x:c r="B183" s="4" t="str">
        <x:v>Home Interiors市場估計</x:v>
      </x:c>
      <x:c r="C183" s="4" t="n">
        <x:v>2024</x:v>
      </x:c>
      <x:c r="D183" s="18" t="n">
        <x:v>1.27</x:v>
      </x:c>
      <x:c r="E183" s="4" t="str">
        <x:v>INR trillion</x:v>
      </x:c>
      <x:c r="F183" s="17" t="n">
        <x:v>1000000000000</x:v>
      </x:c>
      <x:c r="G183" s="4" t="str">
        <x:v>INR</x:v>
      </x:c>
      <x:c r="H183" s="17" t="n">
        <x:f>D183*F183</x:f>
        <x:v>1270000000000</x:v>
      </x:c>
      <x:c r="I183" s="35" t="n">
        <x:f>INDEX($V$6:$V$19,MATCH(G183,$U$6:$U$19,0))</x:f>
        <x:v>87.1468</x:v>
      </x:c>
      <x:c r="J183" s="36" t="n">
        <x:f>IF(I183&lt;=0,"無有效匯率",H183/I183)</x:f>
        <x:v>14573111118.251043</x:v>
      </x:c>
      <x:c r="K183" s="4" t="str">
        <x:v>USD</x:v>
      </x:c>
      <x:c r="L183" s="36" t="n">
        <x:f>IF(OR(NOT(ISNUMBER(J183)),$V$6&lt;=0),"無有效匯率",J183*$V$6)</x:f>
        <x:v>454189953044.7475</x:v>
      </x:c>
      <x:c r="M183" s="4" t="str">
        <x:v>TWD</x:v>
      </x:c>
      <x:c r="N183" s="4" t="str">
        <x:v>IN02</x:v>
      </x:c>
      <x:c r="O183" s="4" t="str">
        <x:v>https://property.magicbricks.com/microsite/research-insights/src/pdf/sample/Interiors-Sample-Report.pdf</x:v>
      </x:c>
      <x:c r="P183" s="4" t="str">
        <x:v>X01</x:v>
      </x:c>
      <x:c r="Q183" s="4" t="str">
        <x:v>【示意】原文1.27 lakh crore；住宅內裝家具模組範圍，非純住宅翻修；獨立來源1；來源C級</x:v>
      </x:c>
      <x:c r="R183" s="4" t="str">
        <x:v>低</x:v>
      </x:c>
    </x:row>
    <x:row r="184" ht="38" customHeight="1">
      <x:c r="A184" s="4" t="str">
        <x:v>IN</x:v>
      </x:c>
      <x:c r="B184" s="4" t="str">
        <x:v>Home Interiors市場2030預測</x:v>
      </x:c>
      <x:c r="C184" s="4" t="n">
        <x:v>2030</x:v>
      </x:c>
      <x:c r="D184" s="18" t="n">
        <x:v>2.75</x:v>
      </x:c>
      <x:c r="E184" s="4" t="str">
        <x:v>INR trillion</x:v>
      </x:c>
      <x:c r="F184" s="17" t="n">
        <x:v>1000000000000</x:v>
      </x:c>
      <x:c r="G184" s="4" t="str">
        <x:v>INR</x:v>
      </x:c>
      <x:c r="H184" s="17" t="n">
        <x:f>D184*F184</x:f>
        <x:v>2750000000000</x:v>
      </x:c>
      <x:c r="I184" s="35" t="n">
        <x:f>INDEX($V$6:$V$19,MATCH(G184,$U$6:$U$19,0))</x:f>
        <x:v>87.1468</x:v>
      </x:c>
      <x:c r="J184" s="36" t="n">
        <x:f>IF(I184&lt;=0,"無有效匯率",H184/I184)</x:f>
        <x:v>31555949271.80344</x:v>
      </x:c>
      <x:c r="K184" s="4" t="str">
        <x:v>USD</x:v>
      </x:c>
      <x:c r="L184" s="36" t="n">
        <x:f>IF(OR(NOT(ISNUMBER(J184)),$V$6&lt;=0),"無有效匯率",J184*$V$6)</x:f>
        <x:v>983482181789.8075</x:v>
      </x:c>
      <x:c r="M184" s="4" t="str">
        <x:v>TWD</x:v>
      </x:c>
      <x:c r="N184" s="4" t="str">
        <x:v>IN02</x:v>
      </x:c>
      <x:c r="O184" s="4" t="str">
        <x:v>https://property.magicbricks.com/microsite/research-insights/src/pdf/sample/Interiors-Sample-Report.pdf</x:v>
      </x:c>
      <x:c r="P184" s="4" t="str">
        <x:v>X01</x:v>
      </x:c>
      <x:c r="Q184" s="4" t="str">
        <x:v>【預測／示意】平台研究預測，非官方；獨立來源1；來源C級</x:v>
      </x:c>
      <x:c r="R184" s="4" t="str">
        <x:v>低</x:v>
      </x:c>
    </x:row>
    <x:row r="185" ht="38" customHeight="1">
      <x:c r="A185" s="4" t="str">
        <x:v>IN</x:v>
      </x:c>
      <x:c r="B185" s="4" t="str">
        <x:v>二線城市Home Interiors市場</x:v>
      </x:c>
      <x:c r="C185" s="4" t="n">
        <x:v>2024</x:v>
      </x:c>
      <x:c r="D185" s="18" t="n">
        <x:v>230.74</x:v>
      </x:c>
      <x:c r="E185" s="4" t="str">
        <x:v>INR billion</x:v>
      </x:c>
      <x:c r="F185" s="17" t="n">
        <x:v>1000000000</x:v>
      </x:c>
      <x:c r="G185" s="4" t="str">
        <x:v>INR</x:v>
      </x:c>
      <x:c r="H185" s="17" t="n">
        <x:f>D185*F185</x:f>
        <x:v>230740000000</x:v>
      </x:c>
      <x:c r="I185" s="35" t="n">
        <x:f>INDEX($V$6:$V$19,MATCH(G185,$U$6:$U$19,0))</x:f>
        <x:v>87.1468</x:v>
      </x:c>
      <x:c r="J185" s="36" t="n">
        <x:f>IF(I185&lt;=0,"無有效匯率",H185/I185)</x:f>
        <x:v>2647716267.263973</x:v>
      </x:c>
      <x:c r="K185" s="4" t="str">
        <x:v>USD</x:v>
      </x:c>
      <x:c r="L185" s="36" t="n">
        <x:f>IF(OR(NOT(ISNUMBER(J185)),$V$6&lt;=0),"無有效匯率",J185*$V$6)</x:f>
        <x:v>82519519500.42917</x:v>
      </x:c>
      <x:c r="M185" s="4" t="str">
        <x:v>TWD</x:v>
      </x:c>
      <x:c r="N185" s="4" t="str">
        <x:v>IN02</x:v>
      </x:c>
      <x:c r="O185" s="4" t="str">
        <x:v>https://property.magicbricks.com/microsite/research-insights/src/pdf/sample/Interiors-Sample-Report.pdf</x:v>
      </x:c>
      <x:c r="P185" s="4" t="str">
        <x:v>X01</x:v>
      </x:c>
      <x:c r="Q185" s="4" t="str">
        <x:v>【示意】原文23074 crore；獨立來源1；來源C級</x:v>
      </x:c>
      <x:c r="R185" s="4" t="str">
        <x:v>低</x:v>
      </x:c>
    </x:row>
    <x:row r="186" ht="38" customHeight="1">
      <x:c r="A186" s="4" t="str">
        <x:v>IN</x:v>
      </x:c>
      <x:c r="B186" s="4" t="str">
        <x:v>二線城市Home Interiors市場2030預測</x:v>
      </x:c>
      <x:c r="C186" s="4" t="n">
        <x:v>2030</x:v>
      </x:c>
      <x:c r="D186" s="17" t="n">
        <x:v>725</x:v>
      </x:c>
      <x:c r="E186" s="4" t="str">
        <x:v>INR billion</x:v>
      </x:c>
      <x:c r="F186" s="17" t="n">
        <x:v>1000000000</x:v>
      </x:c>
      <x:c r="G186" s="4" t="str">
        <x:v>INR</x:v>
      </x:c>
      <x:c r="H186" s="17" t="n">
        <x:f>D186*F186</x:f>
        <x:v>725000000000</x:v>
      </x:c>
      <x:c r="I186" s="35" t="n">
        <x:f>INDEX($V$6:$V$19,MATCH(G186,$U$6:$U$19,0))</x:f>
        <x:v>87.1468</x:v>
      </x:c>
      <x:c r="J186" s="36" t="n">
        <x:f>IF(I186&lt;=0,"無有效匯率",H186/I186)</x:f>
        <x:v>8319295717.111816</x:v>
      </x:c>
      <x:c r="K186" s="4" t="str">
        <x:v>USD</x:v>
      </x:c>
      <x:c r="L186" s="36" t="n">
        <x:f>IF(OR(NOT(ISNUMBER(J186)),$V$6&lt;=0),"無有效匯率",J186*$V$6)</x:f>
        <x:v>259281666108.22202</x:v>
      </x:c>
      <x:c r="M186" s="4" t="str">
        <x:v>TWD</x:v>
      </x:c>
      <x:c r="N186" s="4" t="str">
        <x:v>IN02</x:v>
      </x:c>
      <x:c r="O186" s="4" t="str">
        <x:v>https://property.magicbricks.com/microsite/research-insights/src/pdf/sample/Interiors-Sample-Report.pdf</x:v>
      </x:c>
      <x:c r="P186" s="4" t="str">
        <x:v>X01</x:v>
      </x:c>
      <x:c r="Q186" s="4" t="str">
        <x:v>【預測／示意】原文72500 crore；獨立來源1；來源C級</x:v>
      </x:c>
      <x:c r="R186" s="4" t="str">
        <x:v>低</x:v>
      </x:c>
    </x:row>
    <x:row r="187" ht="52" customHeight="1">
      <x:c r="A187" s="4" t="str">
        <x:v>IN</x:v>
      </x:c>
      <x:c r="B187" s="4" t="str">
        <x:v>二線城市平均內装花費</x:v>
      </x:c>
      <x:c r="C187" s="4" t="str">
        <x:v>2025發布／觀察期未明</x:v>
      </x:c>
      <x:c r="D187" s="17" t="n">
        <x:v>390000</x:v>
      </x:c>
      <x:c r="E187" s="4" t="str">
        <x:v>INR/案</x:v>
      </x:c>
      <x:c r="F187" s="17" t="n">
        <x:v>1</x:v>
      </x:c>
      <x:c r="G187" s="4" t="str">
        <x:v>INR</x:v>
      </x:c>
      <x:c r="H187" s="17" t="n">
        <x:f>D187*F187</x:f>
        <x:v>390000</x:v>
      </x:c>
      <x:c r="I187" s="35" t="n">
        <x:f>INDEX($V$6:$V$19,MATCH(G187,$U$6:$U$19,0))</x:f>
        <x:v>87.1468</x:v>
      </x:c>
      <x:c r="J187" s="36" t="n">
        <x:f>IF(I187&lt;=0,"無有效匯率",H187/I187)</x:f>
        <x:v>4475.207351273943</x:v>
      </x:c>
      <x:c r="K187" s="4" t="str">
        <x:v>USD/案</x:v>
      </x:c>
      <x:c r="L187" s="36" t="n">
        <x:f>IF(OR(NOT(ISNUMBER(J187)),$V$6&lt;=0),"無有效匯率",J187*$V$6)</x:f>
        <x:v>139475.65487200907</x:v>
      </x:c>
      <x:c r="M187" s="4" t="str">
        <x:v>TWD/案</x:v>
      </x:c>
      <x:c r="N187" s="4" t="str">
        <x:v>IN02</x:v>
      </x:c>
      <x:c r="O187" s="4" t="str">
        <x:v>https://property.magicbricks.com/microsite/research-insights/src/pdf/sample/Interiors-Sample-Report.pdf</x:v>
      </x:c>
      <x:c r="P187" s="4" t="str">
        <x:v>X01</x:v>
      </x:c>
      <x:c r="Q187" s="4" t="str">
        <x:v>【示意】原文3.9 lakh；平台研究樣本；樣本簡報未公開觀察期間。；獨立來源1；來源C級；查核限制：PDF P3：2024總額1.27 lakh crore、2030目標2.75；二線23074／72500 crore，來源中古82%；P4平均3.9 lakh。樣本發表於2025，82%與均價觀察期未註。</x:v>
      </x:c>
      <x:c r="R187" s="4" t="str">
        <x:v>低</x:v>
      </x:c>
    </x:row>
    <x:row r="188" ht="38" customHeight="1">
      <x:c r="A188" s="4" t="str">
        <x:v>IN</x:v>
      </x:c>
      <x:c r="B188" s="4" t="str">
        <x:v>Livspace兩房基本預算</x:v>
      </x:c>
      <x:c r="C188" s="4" t="n">
        <x:v>2026</x:v>
      </x:c>
      <x:c r="D188" s="17" t="n">
        <x:v>1059000</x:v>
      </x:c>
      <x:c r="E188" s="4" t="str">
        <x:v>INR/案</x:v>
      </x:c>
      <x:c r="F188" s="17" t="n">
        <x:v>1</x:v>
      </x:c>
      <x:c r="G188" s="4" t="str">
        <x:v>INR</x:v>
      </x:c>
      <x:c r="H188" s="17" t="n">
        <x:f>D188*F188</x:f>
        <x:v>1059000</x:v>
      </x:c>
      <x:c r="I188" s="35" t="n">
        <x:f>INDEX($V$6:$V$19,MATCH(G188,$U$6:$U$19,0))</x:f>
        <x:v>87.1468</x:v>
      </x:c>
      <x:c r="J188" s="36" t="n">
        <x:f>IF(I188&lt;=0,"無有效匯率",H188/I188)</x:f>
        <x:v>12151.909192305397</x:v>
      </x:c>
      <x:c r="K188" s="4" t="str">
        <x:v>USD/案</x:v>
      </x:c>
      <x:c r="L188" s="36" t="n">
        <x:f>IF(OR(NOT(ISNUMBER(J188)),$V$6&lt;=0),"無有效匯率",J188*$V$6)</x:f>
        <x:v>378730.0474601477</x:v>
      </x:c>
      <x:c r="M188" s="4" t="str">
        <x:v>TWD/案</x:v>
      </x:c>
      <x:c r="N188" s="4" t="str">
        <x:v>IN04</x:v>
      </x:c>
      <x:c r="O188" s="4" t="str">
        <x:v>https://www.livspace.com/in/magazine/how-much-does-an-interior-designer-charge</x:v>
      </x:c>
      <x:c r="P188" s="4" t="str">
        <x:v>X01</x:v>
      </x:c>
      <x:c r="Q188" s="4" t="str">
        <x:v>【示意】2BHK Essentials廠商示意，面積未一致，非全國均價；獨立來源1；來源C級</x:v>
      </x:c>
      <x:c r="R188" s="4" t="str">
        <x:v>低</x:v>
      </x:c>
    </x:row>
    <x:row r="189" ht="38" customHeight="1">
      <x:c r="A189" s="4" t="str">
        <x:v>IN</x:v>
      </x:c>
      <x:c r="B189" s="4" t="str">
        <x:v>Livspace兩房中階預算</x:v>
      </x:c>
      <x:c r="C189" s="4" t="n">
        <x:v>2026</x:v>
      </x:c>
      <x:c r="D189" s="17" t="n">
        <x:v>1368000</x:v>
      </x:c>
      <x:c r="E189" s="4" t="str">
        <x:v>INR/案</x:v>
      </x:c>
      <x:c r="F189" s="17" t="n">
        <x:v>1</x:v>
      </x:c>
      <x:c r="G189" s="4" t="str">
        <x:v>INR</x:v>
      </x:c>
      <x:c r="H189" s="17" t="n">
        <x:f>D189*F189</x:f>
        <x:v>1368000</x:v>
      </x:c>
      <x:c r="I189" s="35" t="n">
        <x:f>INDEX($V$6:$V$19,MATCH(G189,$U$6:$U$19,0))</x:f>
        <x:v>87.1468</x:v>
      </x:c>
      <x:c r="J189" s="36" t="n">
        <x:f>IF(I189&lt;=0,"無有效匯率",H189/I189)</x:f>
        <x:v>15697.650401391675</x:v>
      </x:c>
      <x:c r="K189" s="4" t="str">
        <x:v>USD/案</x:v>
      </x:c>
      <x:c r="L189" s="36" t="n">
        <x:f>IF(OR(NOT(ISNUMBER(J189)),$V$6&lt;=0),"無有效匯率",J189*$V$6)</x:f>
        <x:v>489237.68170489336</x:v>
      </x:c>
      <x:c r="M189" s="4" t="str">
        <x:v>TWD/案</x:v>
      </x:c>
      <x:c r="N189" s="4" t="str">
        <x:v>IN04</x:v>
      </x:c>
      <x:c r="O189" s="4" t="str">
        <x:v>https://www.livspace.com/in/magazine/how-much-does-an-interior-designer-charge</x:v>
      </x:c>
      <x:c r="P189" s="4" t="str">
        <x:v>X01</x:v>
      </x:c>
      <x:c r="Q189" s="4" t="str">
        <x:v>【示意】2BHK Premium廠商示意；獨立來源1；來源C級</x:v>
      </x:c>
      <x:c r="R189" s="4" t="str">
        <x:v>低</x:v>
      </x:c>
    </x:row>
    <x:row r="190" ht="38" customHeight="1">
      <x:c r="A190" s="4" t="str">
        <x:v>IN</x:v>
      </x:c>
      <x:c r="B190" s="4" t="str">
        <x:v>Livspace兩房高階預算</x:v>
      </x:c>
      <x:c r="C190" s="4" t="n">
        <x:v>2026</x:v>
      </x:c>
      <x:c r="D190" s="17" t="n">
        <x:v>1919000</x:v>
      </x:c>
      <x:c r="E190" s="4" t="str">
        <x:v>INR/案</x:v>
      </x:c>
      <x:c r="F190" s="17" t="n">
        <x:v>1</x:v>
      </x:c>
      <x:c r="G190" s="4" t="str">
        <x:v>INR</x:v>
      </x:c>
      <x:c r="H190" s="17" t="n">
        <x:f>D190*F190</x:f>
        <x:v>1919000</x:v>
      </x:c>
      <x:c r="I190" s="35" t="n">
        <x:f>INDEX($V$6:$V$19,MATCH(G190,$U$6:$U$19,0))</x:f>
        <x:v>87.1468</x:v>
      </x:c>
      <x:c r="J190" s="36" t="n">
        <x:f>IF(I190&lt;=0,"無有效匯率",H190/I190)</x:f>
        <x:v>22020.315146396657</x:v>
      </x:c>
      <x:c r="K190" s="4" t="str">
        <x:v>USD/案</x:v>
      </x:c>
      <x:c r="L190" s="36" t="n">
        <x:f>IF(OR(NOT(ISNUMBER(J190)),$V$6&lt;=0),"無有效匯率",J190*$V$6)</x:f>
        <x:v>686291.7479471421</x:v>
      </x:c>
      <x:c r="M190" s="4" t="str">
        <x:v>TWD/案</x:v>
      </x:c>
      <x:c r="N190" s="4" t="str">
        <x:v>IN04</x:v>
      </x:c>
      <x:c r="O190" s="4" t="str">
        <x:v>https://www.livspace.com/in/magazine/how-much-does-an-interior-designer-charge</x:v>
      </x:c>
      <x:c r="P190" s="4" t="str">
        <x:v>X01</x:v>
      </x:c>
      <x:c r="Q190" s="4" t="str">
        <x:v>【示意】2BHK Luxe廠商示意；獨立來源1；來源C級</x:v>
      </x:c>
      <x:c r="R190" s="4" t="str">
        <x:v>低</x:v>
      </x:c>
    </x:row>
    <x:row r="191" ht="30" customHeight="1">
      <x:c r="A191" s="4" t="str">
        <x:v>IN</x:v>
      </x:c>
      <x:c r="B191" s="4" t="str">
        <x:v>HomeLane有條件延遲補償</x:v>
      </x:c>
      <x:c r="C191" s="4" t="str">
        <x:v>2026存取</x:v>
      </x:c>
      <x:c r="D191" s="17" t="n">
        <x:v>1000</x:v>
      </x:c>
      <x:c r="E191" s="4" t="str">
        <x:v>INR/日</x:v>
      </x:c>
      <x:c r="F191" s="17" t="n">
        <x:v>1</x:v>
      </x:c>
      <x:c r="G191" s="4" t="str">
        <x:v>INR</x:v>
      </x:c>
      <x:c r="H191" s="17" t="n">
        <x:f>D191*F191</x:f>
        <x:v>1000</x:v>
      </x:c>
      <x:c r="I191" s="35" t="n">
        <x:f>INDEX($V$6:$V$19,MATCH(G191,$U$6:$U$19,0))</x:f>
        <x:v>87.1468</x:v>
      </x:c>
      <x:c r="J191" s="36" t="n">
        <x:f>IF(I191&lt;=0,"無有效匯率",H191/I191)</x:f>
        <x:v>11.47489064429216</x:v>
      </x:c>
      <x:c r="K191" s="4" t="str">
        <x:v>USD/日</x:v>
      </x:c>
      <x:c r="L191" s="36" t="n">
        <x:f>IF(OR(NOT(ISNUMBER(J191)),$V$6&lt;=0),"無有效匯率",J191*$V$6)</x:f>
        <x:v>357.62988428720274</x:v>
      </x:c>
      <x:c r="M191" s="4" t="str">
        <x:v>TWD/日</x:v>
      </x:c>
      <x:c r="N191" s="4" t="str">
        <x:v>IN05</x:v>
      </x:c>
      <x:c r="O191" s="4" t="str">
        <x:v>https://www.homelane.com/homelane-terms-conditions</x:v>
      </x:c>
      <x:c r="P191" s="4" t="str">
        <x:v>X01</x:v>
      </x:c>
      <x:c r="Q191" s="4" t="str">
        <x:v>【示意】合約有上限、前提與例外；獨立來源1；來源C級</x:v>
      </x:c>
      <x:c r="R191" s="4" t="str">
        <x:v>低</x:v>
      </x:c>
    </x:row>
    <x:row r="192" ht="52" customHeight="1">
      <x:c r="A192" s="4" t="str">
        <x:v>IN</x:v>
      </x:c>
      <x:c r="B192" s="4" t="str">
        <x:v>Livspace營收</x:v>
      </x:c>
      <x:c r="C192" s="4" t="str">
        <x:v>FY25</x:v>
      </x:c>
      <x:c r="D192" s="19" t="n">
        <x:v>14.6</x:v>
      </x:c>
      <x:c r="E192" s="4" t="str">
        <x:v>INR billion</x:v>
      </x:c>
      <x:c r="F192" s="17" t="n">
        <x:v>1000000000</x:v>
      </x:c>
      <x:c r="G192" s="4" t="str">
        <x:v>INR</x:v>
      </x:c>
      <x:c r="H192" s="17" t="n">
        <x:f>D192*F192</x:f>
        <x:v>14600000000</x:v>
      </x:c>
      <x:c r="I192" s="35" t="n">
        <x:f>INDEX($V$6:$V$19,MATCH(G192,$U$6:$U$19,0))</x:f>
        <x:v>87.1468</x:v>
      </x:c>
      <x:c r="J192" s="36" t="n">
        <x:f>IF(I192&lt;=0,"無有效匯率",H192/I192)</x:f>
        <x:v>167533403.40666553</x:v>
      </x:c>
      <x:c r="K192" s="4" t="str">
        <x:v>USD</x:v>
      </x:c>
      <x:c r="L192" s="36" t="n">
        <x:f>IF(OR(NOT(ISNUMBER(J192)),$V$6&lt;=0),"無有效匯率",J192*$V$6)</x:f>
        <x:v>5221396310.59316</x:v>
      </x:c>
      <x:c r="M192" s="4" t="str">
        <x:v>TWD</x:v>
      </x:c>
      <x:c r="N192" s="4" t="str">
        <x:v>IN06</x:v>
      </x:c>
      <x:c r="O192" s="4" t="str">
        <x:v>https://economictimes.indiatimes.com/tech/startups/homedecor-startup-livspaces-fy25-revenue-rises-23-to-rs-1460-crore/articleshow/124520597.cms?from=mdr</x:v>
      </x:c>
      <x:c r="P192" s="4" t="str">
        <x:v>X01</x:v>
      </x:c>
      <x:c r="Q192" s="4" t="str">
        <x:v>【示意】公司透過媒體發布，集團含境外不可全算印度；獨立來源1；來源B級</x:v>
      </x:c>
      <x:c r="R192" s="4" t="str">
        <x:v>低</x:v>
      </x:c>
    </x:row>
    <x:row r="193" ht="52" customHeight="1">
      <x:c r="A193" s="4" t="str">
        <x:v>IN</x:v>
      </x:c>
      <x:c r="B193" s="4" t="str">
        <x:v>Livspace毛利</x:v>
      </x:c>
      <x:c r="C193" s="4" t="str">
        <x:v>FY25</x:v>
      </x:c>
      <x:c r="D193" s="18" t="n">
        <x:v>7.52</x:v>
      </x:c>
      <x:c r="E193" s="4" t="str">
        <x:v>INR billion</x:v>
      </x:c>
      <x:c r="F193" s="17" t="n">
        <x:v>1000000000</x:v>
      </x:c>
      <x:c r="G193" s="4" t="str">
        <x:v>INR</x:v>
      </x:c>
      <x:c r="H193" s="17" t="n">
        <x:f>D193*F193</x:f>
        <x:v>7520000000</x:v>
      </x:c>
      <x:c r="I193" s="35" t="n">
        <x:f>INDEX($V$6:$V$19,MATCH(G193,$U$6:$U$19,0))</x:f>
        <x:v>87.1468</x:v>
      </x:c>
      <x:c r="J193" s="36" t="n">
        <x:f>IF(I193&lt;=0,"無有效匯率",H193/I193)</x:f>
        <x:v>86291177.64507705</x:v>
      </x:c>
      <x:c r="K193" s="4" t="str">
        <x:v>USD</x:v>
      </x:c>
      <x:c r="L193" s="36" t="n">
        <x:f>IF(OR(NOT(ISNUMBER(J193)),$V$6&lt;=0),"無有效匯率",J193*$V$6)</x:f>
        <x:v>2689376729.8397646</x:v>
      </x:c>
      <x:c r="M193" s="4" t="str">
        <x:v>TWD</x:v>
      </x:c>
      <x:c r="N193" s="4" t="str">
        <x:v>IN06</x:v>
      </x:c>
      <x:c r="O193" s="4" t="str">
        <x:v>https://economictimes.indiatimes.com/tech/startups/homedecor-startup-livspaces-fy25-revenue-rises-23-to-rs-1460-crore/articleshow/124520597.cms?from=mdr</x:v>
      </x:c>
      <x:c r="P193" s="4" t="str">
        <x:v>X01</x:v>
      </x:c>
      <x:c r="Q193" s="4" t="str">
        <x:v>【示意】公司自報gross profit；獨立來源1；來源B級</x:v>
      </x:c>
      <x:c r="R193" s="4" t="str">
        <x:v>低</x:v>
      </x:c>
    </x:row>
    <x:row r="194" ht="52" customHeight="1">
      <x:c r="A194" s="4" t="str">
        <x:v>IN</x:v>
      </x:c>
      <x:c r="B194" s="4" t="str">
        <x:v>Livspace調整EBITDA虧損</x:v>
      </x:c>
      <x:c r="C194" s="4" t="str">
        <x:v>FY25</x:v>
      </x:c>
      <x:c r="D194" s="18" t="n">
        <x:v>-1.31</x:v>
      </x:c>
      <x:c r="E194" s="4" t="str">
        <x:v>INR billion</x:v>
      </x:c>
      <x:c r="F194" s="17" t="n">
        <x:v>1000000000</x:v>
      </x:c>
      <x:c r="G194" s="4" t="str">
        <x:v>INR</x:v>
      </x:c>
      <x:c r="H194" s="17" t="n">
        <x:f>D194*F194</x:f>
        <x:v>-1310000000</x:v>
      </x:c>
      <x:c r="I194" s="35" t="n">
        <x:f>INDEX($V$6:$V$19,MATCH(G194,$U$6:$U$19,0))</x:f>
        <x:v>87.1468</x:v>
      </x:c>
      <x:c r="J194" s="36" t="n">
        <x:f>IF(I194&lt;=0,"無有效匯率",H194/I194)</x:f>
        <x:v>-15032106.744022729</x:v>
      </x:c>
      <x:c r="K194" s="4" t="str">
        <x:v>USD</x:v>
      </x:c>
      <x:c r="L194" s="36" t="n">
        <x:f>IF(OR(NOT(ISNUMBER(J194)),$V$6&lt;=0),"無有效匯率",J194*$V$6)</x:f>
        <x:v>-468495148.41623557</x:v>
      </x:c>
      <x:c r="M194" s="4" t="str">
        <x:v>TWD</x:v>
      </x:c>
      <x:c r="N194" s="4" t="str">
        <x:v>IN06</x:v>
      </x:c>
      <x:c r="O194" s="4" t="str">
        <x:v>https://economictimes.indiatimes.com/tech/startups/homedecor-startup-livspaces-fy25-revenue-rises-23-to-rs-1460-crore/articleshow/124520597.cms?from=mdr</x:v>
      </x:c>
      <x:c r="P194" s="4" t="str">
        <x:v>X01</x:v>
      </x:c>
      <x:c r="Q194" s="4" t="str">
        <x:v>【示意】排除ESOP等調整，非淨虧損；損益符號統一：虧損記負數；獨立來源1；來源B級</x:v>
      </x:c>
      <x:c r="R194" s="4" t="str">
        <x:v>低</x:v>
      </x:c>
    </x:row>
    <x:row r="195" ht="52" customHeight="1">
      <x:c r="A195" s="4" t="str">
        <x:v>IN</x:v>
      </x:c>
      <x:c r="B195" s="4" t="str">
        <x:v>HomeLane併購同時募資</x:v>
      </x:c>
      <x:c r="C195" s="4" t="n">
        <x:v>2024</x:v>
      </x:c>
      <x:c r="D195" s="18" t="n">
        <x:v>2.25</x:v>
      </x:c>
      <x:c r="E195" s="4" t="str">
        <x:v>INR billion</x:v>
      </x:c>
      <x:c r="F195" s="17" t="n">
        <x:v>1000000000</x:v>
      </x:c>
      <x:c r="G195" s="4" t="str">
        <x:v>INR</x:v>
      </x:c>
      <x:c r="H195" s="17" t="n">
        <x:f>D195*F195</x:f>
        <x:v>2250000000</x:v>
      </x:c>
      <x:c r="I195" s="35" t="n">
        <x:f>INDEX($V$6:$V$19,MATCH(G195,$U$6:$U$19,0))</x:f>
        <x:v>87.1468</x:v>
      </x:c>
      <x:c r="J195" s="36" t="n">
        <x:f>IF(I195&lt;=0,"無有效匯率",H195/I195)</x:f>
        <x:v>25818503.94965736</x:v>
      </x:c>
      <x:c r="K195" s="4" t="str">
        <x:v>USD</x:v>
      </x:c>
      <x:c r="L195" s="36" t="n">
        <x:f>IF(OR(NOT(ISNUMBER(J195)),$V$6&lt;=0),"無有效匯率",J195*$V$6)</x:f>
        <x:v>804667239.6462061</x:v>
      </x:c>
      <x:c r="M195" s="4" t="str">
        <x:v>TWD</x:v>
      </x:c>
      <x:c r="N195" s="4" t="str">
        <x:v>IN07</x:v>
      </x:c>
      <x:c r="O195" s="4" t="str">
        <x:v>https://www.linkedin.com/posts/homelane_growth-acquisition-homeinteriors-activity-7249658945546428416-Bt0D</x:v>
      </x:c>
      <x:c r="P195" s="4" t="str">
        <x:v>X01</x:v>
      </x:c>
      <x:c r="Q195" s="4" t="str">
        <x:v>【示意】225 crore；募資不是營收；獨立來源1；來源C級；查核限制：公司公告文字225 crore；頁面日期顯示2y，未提供絕對發布日期，交易律師2024公告支持事件年度但非該數值雙源。</x:v>
      </x:c>
      <x:c r="R195" s="4" t="str">
        <x:v>低</x:v>
      </x:c>
    </x:row>
    <x:row r="196" ht="52" customHeight="1">
      <x:c r="A196" s="4" t="str">
        <x:v>IN</x:v>
      </x:c>
      <x:c r="B196" s="4" t="str">
        <x:v>HomeLane與DesignCafe合併估值</x:v>
      </x:c>
      <x:c r="C196" s="4" t="n">
        <x:v>2024</x:v>
      </x:c>
      <x:c r="D196" s="17" t="n">
        <x:v>30</x:v>
      </x:c>
      <x:c r="E196" s="4" t="str">
        <x:v>INR billion</x:v>
      </x:c>
      <x:c r="F196" s="17" t="n">
        <x:v>1000000000</x:v>
      </x:c>
      <x:c r="G196" s="4" t="str">
        <x:v>INR</x:v>
      </x:c>
      <x:c r="H196" s="17" t="n">
        <x:f>D196*F196</x:f>
        <x:v>30000000000</x:v>
      </x:c>
      <x:c r="I196" s="35" t="n">
        <x:f>INDEX($V$6:$V$19,MATCH(G196,$U$6:$U$19,0))</x:f>
        <x:v>87.1468</x:v>
      </x:c>
      <x:c r="J196" s="36" t="n">
        <x:f>IF(I196&lt;=0,"無有效匯率",H196/I196)</x:f>
        <x:v>344246719.3287648</x:v>
      </x:c>
      <x:c r="K196" s="4" t="str">
        <x:v>USD</x:v>
      </x:c>
      <x:c r="L196" s="36" t="n">
        <x:f>IF(OR(NOT(ISNUMBER(J196)),$V$6&lt;=0),"無有效匯率",J196*$V$6)</x:f>
        <x:v>10728896528.616081</x:v>
      </x:c>
      <x:c r="M196" s="4" t="str">
        <x:v>TWD</x:v>
      </x:c>
      <x:c r="N196" s="4" t="str">
        <x:v>IN08</x:v>
      </x:c>
      <x:c r="O196" s="4" t="str">
        <x:v>https://www.mondaq.com/pressrelease/154532/homelane-acquires-designcafe-raises-primary-funds-from-an-investor-club-consisting-of-hero-enterprise-claypond-capital-partners-westbridge-and-others</x:v>
      </x:c>
      <x:c r="P196" s="4" t="str">
        <x:v>X01</x:v>
      </x:c>
      <x:c r="Q196" s="4" t="str">
        <x:v>【示意】法律顧問發布約3000 crore估值，非收購現金對價；獨立來源1；來源C級</x:v>
      </x:c>
      <x:c r="R196" s="4" t="str">
        <x:v>低</x:v>
      </x:c>
    </x:row>
    <x:row r="197" ht="38" customHeight="1">
      <x:c r="A197" s="4" t="str">
        <x:v>IN</x:v>
      </x:c>
      <x:c r="B197" s="4" t="str">
        <x:v>Livspace Series F募資</x:v>
      </x:c>
      <x:c r="C197" s="4" t="n">
        <x:v>2022</x:v>
      </x:c>
      <x:c r="D197" s="17" t="n">
        <x:v>180</x:v>
      </x:c>
      <x:c r="E197" s="4" t="str">
        <x:v>USD million</x:v>
      </x:c>
      <x:c r="F197" s="17" t="n">
        <x:v>1000000</x:v>
      </x:c>
      <x:c r="G197" s="4" t="str">
        <x:v>USD</x:v>
      </x:c>
      <x:c r="H197" s="17" t="n">
        <x:f>D197*F197</x:f>
        <x:v>180000000</x:v>
      </x:c>
      <x:c r="I197" s="17" t="n">
        <x:f>INDEX($V$6:$V$19,MATCH(G197,$U$6:$U$19,0))</x:f>
        <x:v>1</x:v>
      </x:c>
      <x:c r="J197" s="36" t="n">
        <x:f>IF(I197&lt;=0,"無有效匯率",H197/I197)</x:f>
        <x:v>180000000</x:v>
      </x:c>
      <x:c r="K197" s="4" t="str">
        <x:v>USD</x:v>
      </x:c>
      <x:c r="L197" s="36" t="n">
        <x:f>IF(OR(NOT(ISNUMBER(J197)),$V$6&lt;=0),"無有效匯率",J197*$V$6)</x:f>
        <x:v>5609934000</x:v>
      </x:c>
      <x:c r="M197" s="4" t="str">
        <x:v>TWD</x:v>
      </x:c>
      <x:c r="N197" s="4" t="str">
        <x:v>IN09</x:v>
      </x:c>
      <x:c r="O197" s="4" t="str">
        <x:v>https://media.kkr.com/rss-feed/news-release?news_id=a4de6b9d-bdf9-44cc-9d56-02e9e632942a</x:v>
      </x:c>
      <x:c r="P197" s="4" t="str">
        <x:v>X01</x:v>
      </x:c>
      <x:c r="Q197" s="4" t="str">
        <x:v>【示意】歷史資本來源；不列近三年事件；獨立來源1；來源C級</x:v>
      </x:c>
      <x:c r="R197" s="4" t="str">
        <x:v>低</x:v>
      </x:c>
    </x:row>
    <x:row r="198" ht="38" customHeight="1">
      <x:c r="A198" s="4" t="str">
        <x:v>IN</x:v>
      </x:c>
      <x:c r="B198" s="4" t="str">
        <x:v>人均名目GDP</x:v>
      </x:c>
      <x:c r="C198" s="4" t="str">
        <x:v>2024/25E</x:v>
      </x:c>
      <x:c r="D198" s="19" t="n">
        <x:v>2591.5</x:v>
      </x:c>
      <x:c r="E198" s="4" t="str">
        <x:v>USD/人</x:v>
      </x:c>
      <x:c r="F198" s="17" t="n">
        <x:v>1</x:v>
      </x:c>
      <x:c r="G198" s="4" t="str">
        <x:v>USD</x:v>
      </x:c>
      <x:c r="H198" s="19" t="n">
        <x:f>D198*F198</x:f>
        <x:v>2591.5</x:v>
      </x:c>
      <x:c r="I198" s="17" t="n">
        <x:f>INDEX($V$6:$V$19,MATCH(G198,$U$6:$U$19,0))</x:f>
        <x:v>1</x:v>
      </x:c>
      <x:c r="J198" s="36" t="n">
        <x:f>IF(I198&lt;=0,"無有效匯率",H198/I198)</x:f>
        <x:v>2591.5</x:v>
      </x:c>
      <x:c r="K198" s="4" t="str">
        <x:v>USD/人</x:v>
      </x:c>
      <x:c r="L198" s="36" t="n">
        <x:f>IF(OR(NOT(ISNUMBER(J198)),$V$6&lt;=0),"無有效匯率",J198*$V$6)</x:f>
        <x:v>80767.46644999999</x:v>
      </x:c>
      <x:c r="M198" s="4" t="str">
        <x:v>TWD/人</x:v>
      </x:c>
      <x:c r="N198" s="4" t="str">
        <x:v>IN16</x:v>
      </x:c>
      <x:c r="O198" s="4" t="str">
        <x:v>https://thedocs.worldbank.org/en/doc/ab46b9f05a34cb860d84774b7bfbd77f-0500052021/related/data-ind.pdf</x:v>
      </x:c>
      <x:c r="P198" s="4" t="str">
        <x:v>X01</x:v>
      </x:c>
      <x:c r="Q198" s="4" t="str">
        <x:v>【預測／示意】現行世界銀行財政年度估計，不可與曆年2024直接混同比；獨立來源1；來源A級</x:v>
      </x:c>
      <x:c r="R198" s="4" t="str">
        <x:v>低</x:v>
      </x:c>
    </x:row>
    <x:row r="199" ht="38" customHeight="1">
      <x:c r="A199" s="4" t="str">
        <x:v>IN</x:v>
      </x:c>
      <x:c r="B199" s="4" t="str">
        <x:v>人均GDP</x:v>
      </x:c>
      <x:c r="C199" s="4" t="n">
        <x:v>2025</x:v>
      </x:c>
      <x:c r="D199" s="18" t="n">
        <x:v>2702.48</x:v>
      </x:c>
      <x:c r="E199" s="4" t="str">
        <x:v>USD/人</x:v>
      </x:c>
      <x:c r="F199" s="17" t="n">
        <x:v>1</x:v>
      </x:c>
      <x:c r="G199" s="4" t="str">
        <x:v>USD</x:v>
      </x:c>
      <x:c r="H199" s="18" t="n">
        <x:f>D199*F199</x:f>
        <x:v>2702.48</x:v>
      </x:c>
      <x:c r="I199" s="17" t="n">
        <x:f>INDEX($V$6:$V$19,MATCH(G199,$U$6:$U$19,0))</x:f>
        <x:v>1</x:v>
      </x:c>
      <x:c r="J199" s="36" t="n">
        <x:f>IF(I199&lt;=0,"無有效匯率",H199/I199)</x:f>
        <x:v>2702.48</x:v>
      </x:c>
      <x:c r="K199" s="4" t="str">
        <x:v>USD/人</x:v>
      </x:c>
      <x:c r="L199" s="36" t="n">
        <x:f>IF(OR(NOT(ISNUMBER(J199)),$V$6&lt;=0),"無有效匯率",J199*$V$6)</x:f>
        <x:v>84226.302424</x:v>
      </x:c>
      <x:c r="M199" s="4" t="str">
        <x:v>TWD/人</x:v>
      </x:c>
      <x:c r="N199" s="4" t="str">
        <x:v>MIN</x:v>
      </x:c>
      <x:c r="O199" s="4" t="str">
        <x:v>https://data.worldbank.org/country/india</x:v>
      </x:c>
      <x:c r="P199" s="4" t="str">
        <x:v>X01</x:v>
      </x:c>
      <x:c r="Q199" s="4" t="str">
        <x:v>【示意】名目、現價美元；WDI 2025歷史數列，可能修訂，非家庭可支配所得；獨立來源1；來源A級</x:v>
      </x:c>
      <x:c r="R199" s="4" t="str">
        <x:v>低</x:v>
      </x:c>
    </x:row>
    <x:row r="200" ht="30" customHeight="1">
      <x:c r="A200" s="4" t="str">
        <x:v>IN</x:v>
      </x:c>
      <x:c r="B200" s="4" t="str">
        <x:v>GDP</x:v>
      </x:c>
      <x:c r="C200" s="4" t="n">
        <x:v>2025</x:v>
      </x:c>
      <x:c r="D200" s="17" t="n">
        <x:v>3960000000000</x:v>
      </x:c>
      <x:c r="E200" s="4" t="str">
        <x:v>USD</x:v>
      </x:c>
      <x:c r="F200" s="17" t="n">
        <x:v>1</x:v>
      </x:c>
      <x:c r="G200" s="4" t="str">
        <x:v>USD</x:v>
      </x:c>
      <x:c r="H200" s="17" t="n">
        <x:f>D200*F200</x:f>
        <x:v>3960000000000</x:v>
      </x:c>
      <x:c r="I200" s="17" t="n">
        <x:f>INDEX($V$6:$V$19,MATCH(G200,$U$6:$U$19,0))</x:f>
        <x:v>1</x:v>
      </x:c>
      <x:c r="J200" s="36" t="n">
        <x:f>IF(I200&lt;=0,"無有效匯率",H200/I200)</x:f>
        <x:v>3960000000000</x:v>
      </x:c>
      <x:c r="K200" s="4" t="str">
        <x:v>USD</x:v>
      </x:c>
      <x:c r="L200" s="36" t="n">
        <x:f>IF(OR(NOT(ISNUMBER(J200)),$V$6&lt;=0),"無有效匯率",J200*$V$6)</x:f>
        <x:v>123418548000000</x:v>
      </x:c>
      <x:c r="M200" s="4" t="str">
        <x:v>TWD</x:v>
      </x:c>
      <x:c r="N200" s="4" t="str">
        <x:v>MIN</x:v>
      </x:c>
      <x:c r="O200" s="4" t="str">
        <x:v>https://data.worldbank.org/country/india</x:v>
      </x:c>
      <x:c r="P200" s="4" t="str">
        <x:v>X01</x:v>
      </x:c>
      <x:c r="Q200" s="4" t="str">
        <x:v>【示意】WDI 2025現價；頁面billion/trillion四捨五入值；獨立來源1；來源A級</x:v>
      </x:c>
      <x:c r="R200" s="4" t="str">
        <x:v>低</x:v>
      </x:c>
    </x:row>
    <x:row r="201" ht="38" customHeight="1">
      <x:c r="A201" s="4" t="str">
        <x:v>IN</x:v>
      </x:c>
      <x:c r="B201" s="4" t="str">
        <x:v>孟買商辦裝修成本</x:v>
      </x:c>
      <x:c r="C201" s="4" t="n">
        <x:v>2026</x:v>
      </x:c>
      <x:c r="D201" s="20" t="n">
        <x:v>785.7654604198096</x:v>
      </x:c>
      <x:c r="E201" s="4" t="str">
        <x:v>USD/m²</x:v>
      </x:c>
      <x:c r="F201" s="17" t="n">
        <x:v>1</x:v>
      </x:c>
      <x:c r="G201" s="4" t="str">
        <x:v>USD</x:v>
      </x:c>
      <x:c r="H201" s="20" t="n">
        <x:f>D201*F201</x:f>
        <x:v>785.7654604198096</x:v>
      </x:c>
      <x:c r="I201" s="17" t="n">
        <x:f>INDEX($V$6:$V$19,MATCH(G201,$U$6:$U$19,0))</x:f>
        <x:v>1</x:v>
      </x:c>
      <x:c r="J201" s="36" t="n">
        <x:f>IF(I201&lt;=0,"無有效匯率",H201/I201)</x:f>
        <x:v>785.7654604198096</x:v>
      </x:c>
      <x:c r="K201" s="4" t="str">
        <x:v>USD/m²</x:v>
      </x:c>
      <x:c r="L201" s="36" t="n">
        <x:f>IF(OR(NOT(ISNUMBER(J201)),$V$6&lt;=0),"無有效匯率",J201*$V$6)</x:f>
        <x:v>24489.402069081912</x:v>
      </x:c>
      <x:c r="M201" s="4" t="str">
        <x:v>TWD/m²</x:v>
      </x:c>
      <x:c r="N201" s="4" t="str">
        <x:v>X02</x:v>
      </x:c>
      <x:c r="O201" s="4" t="str">
        <x:v>https://digital.cushmanwakefield.com/fitoutcostguide-03-2026-apac-regional-en-content-pds-office/30-31/</x:v>
      </x:c>
      <x:c r="P201" s="4" t="str">
        <x:v>X01</x:v>
      </x:c>
      <x:c r="Q201" s="4" t="str">
        <x:v>【示意】C&amp;W 2026商辦fit-out，價格基準2025年12月；USD/ft²÷0.09290304，非住宅報價，報告自身匯率；獨立來源1；來源B級</x:v>
      </x:c>
      <x:c r="R201" s="4" t="str">
        <x:v>低</x:v>
      </x:c>
    </x:row>
    <x:row r="202" ht="38" customHeight="1">
      <x:c r="A202" s="4" t="str">
        <x:v>GLOBAL</x:v>
      </x:c>
      <x:c r="B202" s="4" t="str">
        <x:v>Inter IKEA營收</x:v>
      </x:c>
      <x:c r="C202" s="4" t="str">
        <x:v>FY2025</x:v>
      </x:c>
      <x:c r="D202" s="17" t="n">
        <x:v>26306</x:v>
      </x:c>
      <x:c r="E202" s="4" t="str">
        <x:v>百萬EUR</x:v>
      </x:c>
      <x:c r="F202" s="17" t="n">
        <x:v>1000000</x:v>
      </x:c>
      <x:c r="G202" s="4" t="str">
        <x:v>EUR</x:v>
      </x:c>
      <x:c r="H202" s="17" t="n">
        <x:f>D202*F202</x:f>
        <x:v>26306000000</x:v>
      </x:c>
      <x:c r="I202" s="20" t="n">
        <x:f>INDEX($V$6:$V$19,MATCH(G202,$U$6:$U$19,0))</x:f>
        <x:v>0.884486113568017</x:v>
      </x:c>
      <x:c r="J202" s="36" t="n">
        <x:f>IF(I202&lt;=0,"無有效匯率",H202/I202)</x:f>
        <x:v>29741563600</x:v>
      </x:c>
      <x:c r="K202" s="4" t="str">
        <x:v>USD</x:v>
      </x:c>
      <x:c r="L202" s="36" t="n">
        <x:f>IF(OR(NOT(ISNUMBER(J202)),$V$6&lt;=0),"無有效匯率",J202*$V$6)</x:f>
        <x:v>926934493626.6799</x:v>
      </x:c>
      <x:c r="M202" s="4" t="str">
        <x:v>TWD</x:v>
      </x:c>
      <x:c r="N202" s="4" t="str">
        <x:v>X05</x:v>
      </x:c>
      <x:c r="O202" s="4" t="str">
        <x:v>https://www.inter.ikea.com/en/performance/fy25-financial-results</x:v>
      </x:c>
      <x:c r="P202" s="4" t="str">
        <x:v>X01</x:v>
      </x:c>
      <x:c r="Q202" s="4" t="str">
        <x:v>【示意】全球Inter IKEA批發／授權體系，非加盟商零售總額；表內損益值；費率為加盟商淨銷售額之比例；獨立來源1；來源C級</x:v>
      </x:c>
      <x:c r="R202" s="4" t="str">
        <x:v>低</x:v>
      </x:c>
    </x:row>
    <x:row r="203" ht="38" customHeight="1">
      <x:c r="A203" s="4" t="str">
        <x:v>GLOBAL</x:v>
      </x:c>
      <x:c r="B203" s="4" t="str">
        <x:v>Inter IKEA毛利</x:v>
      </x:c>
      <x:c r="C203" s="4" t="str">
        <x:v>FY2025</x:v>
      </x:c>
      <x:c r="D203" s="17" t="n">
        <x:v>4978</x:v>
      </x:c>
      <x:c r="E203" s="4" t="str">
        <x:v>百萬EUR</x:v>
      </x:c>
      <x:c r="F203" s="17" t="n">
        <x:v>1000000</x:v>
      </x:c>
      <x:c r="G203" s="4" t="str">
        <x:v>EUR</x:v>
      </x:c>
      <x:c r="H203" s="17" t="n">
        <x:f>D203*F203</x:f>
        <x:v>4978000000</x:v>
      </x:c>
      <x:c r="I203" s="20" t="n">
        <x:f>INDEX($V$6:$V$19,MATCH(G203,$U$6:$U$19,0))</x:f>
        <x:v>0.884486113568017</x:v>
      </x:c>
      <x:c r="J203" s="36" t="n">
        <x:f>IF(I203&lt;=0,"無有效匯率",H203/I203)</x:f>
        <x:v>5628126800</x:v>
      </x:c>
      <x:c r="K203" s="4" t="str">
        <x:v>USD</x:v>
      </x:c>
      <x:c r="L203" s="36" t="n">
        <x:f>IF(OR(NOT(ISNUMBER(J203)),$V$6&lt;=0),"無有效匯率",J203*$V$6)</x:f>
        <x:v>175407888286.84</x:v>
      </x:c>
      <x:c r="M203" s="4" t="str">
        <x:v>TWD</x:v>
      </x:c>
      <x:c r="N203" s="4" t="str">
        <x:v>X05</x:v>
      </x:c>
      <x:c r="O203" s="4" t="str">
        <x:v>https://www.inter.ikea.com/en/performance/fy25-financial-results</x:v>
      </x:c>
      <x:c r="P203" s="4" t="str">
        <x:v>X01</x:v>
      </x:c>
      <x:c r="Q203" s="4" t="str">
        <x:v>【示意】全球Inter IKEA批發／授權體系，非加盟商零售總額；表內損益值；費率為加盟商淨銷售額之比例；獨立來源1；來源C級</x:v>
      </x:c>
      <x:c r="R203" s="4" t="str">
        <x:v>低</x:v>
      </x:c>
    </x:row>
    <x:row r="204" ht="38" customHeight="1">
      <x:c r="A204" s="4" t="str">
        <x:v>GLOBAL</x:v>
      </x:c>
      <x:c r="B204" s="4" t="str">
        <x:v>Inter IKEA營業利益</x:v>
      </x:c>
      <x:c r="C204" s="4" t="str">
        <x:v>FY2025</x:v>
      </x:c>
      <x:c r="D204" s="17" t="n">
        <x:v>1725</x:v>
      </x:c>
      <x:c r="E204" s="4" t="str">
        <x:v>百萬EUR</x:v>
      </x:c>
      <x:c r="F204" s="17" t="n">
        <x:v>1000000</x:v>
      </x:c>
      <x:c r="G204" s="4" t="str">
        <x:v>EUR</x:v>
      </x:c>
      <x:c r="H204" s="17" t="n">
        <x:f>D204*F204</x:f>
        <x:v>1725000000</x:v>
      </x:c>
      <x:c r="I204" s="20" t="n">
        <x:f>INDEX($V$6:$V$19,MATCH(G204,$U$6:$U$19,0))</x:f>
        <x:v>0.884486113568017</x:v>
      </x:c>
      <x:c r="J204" s="36" t="n">
        <x:f>IF(I204&lt;=0,"無有效匯率",H204/I204)</x:f>
        <x:v>1950285000</x:v>
      </x:c>
      <x:c r="K204" s="4" t="str">
        <x:v>USD</x:v>
      </x:c>
      <x:c r="L204" s="36" t="n">
        <x:f>IF(OR(NOT(ISNUMBER(J204)),$V$6&lt;=0),"無有效匯率",J204*$V$6)</x:f>
        <x:v>60783167395.5</x:v>
      </x:c>
      <x:c r="M204" s="4" t="str">
        <x:v>TWD</x:v>
      </x:c>
      <x:c r="N204" s="4" t="str">
        <x:v>X05</x:v>
      </x:c>
      <x:c r="O204" s="4" t="str">
        <x:v>https://www.inter.ikea.com/en/performance/fy25-financial-results</x:v>
      </x:c>
      <x:c r="P204" s="4" t="str">
        <x:v>X01</x:v>
      </x:c>
      <x:c r="Q204" s="4" t="str">
        <x:v>【示意】全球Inter IKEA批發／授權體系，非加盟商零售總額；表內損益值；費率為加盟商淨銷售額之比例；獨立來源1；來源C級</x:v>
      </x:c>
      <x:c r="R204" s="4" t="str">
        <x:v>低</x:v>
      </x:c>
    </x:row>
    <x:row r="205" ht="38" customHeight="1">
      <x:c r="A205" s="4" t="str">
        <x:v>GLOBAL</x:v>
      </x:c>
      <x:c r="B205" s="4" t="str">
        <x:v>Inter IKEA淨利</x:v>
      </x:c>
      <x:c r="C205" s="4" t="str">
        <x:v>FY2025</x:v>
      </x:c>
      <x:c r="D205" s="17" t="n">
        <x:v>1496</x:v>
      </x:c>
      <x:c r="E205" s="4" t="str">
        <x:v>百萬EUR</x:v>
      </x:c>
      <x:c r="F205" s="17" t="n">
        <x:v>1000000</x:v>
      </x:c>
      <x:c r="G205" s="4" t="str">
        <x:v>EUR</x:v>
      </x:c>
      <x:c r="H205" s="17" t="n">
        <x:f>D205*F205</x:f>
        <x:v>1496000000</x:v>
      </x:c>
      <x:c r="I205" s="20" t="n">
        <x:f>INDEX($V$6:$V$19,MATCH(G205,$U$6:$U$19,0))</x:f>
        <x:v>0.884486113568017</x:v>
      </x:c>
      <x:c r="J205" s="36" t="n">
        <x:f>IF(I205&lt;=0,"無有效匯率",H205/I205)</x:f>
        <x:v>1691377600</x:v>
      </x:c>
      <x:c r="K205" s="4" t="str">
        <x:v>USD</x:v>
      </x:c>
      <x:c r="L205" s="36" t="n">
        <x:f>IF(OR(NOT(ISNUMBER(J205)),$V$6&lt;=0),"無有效匯率",J205*$V$6)</x:f>
        <x:v>52713981694.88</x:v>
      </x:c>
      <x:c r="M205" s="4" t="str">
        <x:v>TWD</x:v>
      </x:c>
      <x:c r="N205" s="4" t="str">
        <x:v>X05</x:v>
      </x:c>
      <x:c r="O205" s="4" t="str">
        <x:v>https://www.inter.ikea.com/en/performance/fy25-financial-results</x:v>
      </x:c>
      <x:c r="P205" s="4" t="str">
        <x:v>X01</x:v>
      </x:c>
      <x:c r="Q205" s="4" t="str">
        <x:v>【示意】全球Inter IKEA批發／授權體系，非加盟商零售總額；表內損益值；費率為加盟商淨銷售額之比例；獨立來源1；來源C級</x:v>
      </x:c>
      <x:c r="R205" s="4" t="str">
        <x:v>低</x:v>
      </x:c>
    </x:row>
    <x:row r="206" ht="30" customHeight="1">
      <x:c r="A206" s="4" t="str">
        <x:v>TW</x:v>
      </x:c>
      <x:c r="B206" s="4" t="str">
        <x:v>潤德年度累積月營收</x:v>
      </x:c>
      <x:c r="C206" s="4" t="n">
        <x:v>2025</x:v>
      </x:c>
      <x:c r="D206" s="17" t="n">
        <x:v>2464505000</x:v>
      </x:c>
      <x:c r="E206" s="4" t="str">
        <x:v>TWD</x:v>
      </x:c>
      <x:c r="F206" s="17" t="n">
        <x:v>1</x:v>
      </x:c>
      <x:c r="G206" s="4" t="str">
        <x:v>TWD</x:v>
      </x:c>
      <x:c r="H206" s="17" t="n">
        <x:f>D206*F206</x:f>
        <x:v>2464505000</x:v>
      </x:c>
      <x:c r="I206" s="35" t="n">
        <x:f>INDEX($V$6:$V$19,MATCH(G206,$U$6:$U$19,0))</x:f>
        <x:v>31.1663</x:v>
      </x:c>
      <x:c r="J206" s="36" t="n">
        <x:f>IF(I206&lt;=0,"無有效匯率",H206/I206)</x:f>
        <x:v>79075957.0433449</x:v>
      </x:c>
      <x:c r="K206" s="4" t="str">
        <x:v>USD</x:v>
      </x:c>
      <x:c r="L206" s="36" t="n">
        <x:f>IF(OR(NOT(ISNUMBER(J206)),$V$6&lt;=0),"無有效匯率",J206*$V$6)</x:f>
        <x:v>2464505000</x:v>
      </x:c>
      <x:c r="M206" s="4" t="str">
        <x:v>TWD</x:v>
      </x:c>
      <x:c r="N206" s="4" t="str">
        <x:v>TW13</x:v>
      </x:c>
      <x:c r="O206" s="4" t="str">
        <x:v>https://rd.ruentex.com.tw/zh/financial-information/monthly-revenue</x:v>
      </x:c>
      <x:c r="P206" s="4" t="str">
        <x:v>X01</x:v>
      </x:c>
      <x:c r="Q206" s="4" t="str">
        <x:v>【示意】官網月營收千元累計表；住宅與商用未分，不是住宅市占；獨立來源1；來源A級</x:v>
      </x:c>
      <x:c r="R206" s="4" t="str">
        <x:v>低</x:v>
      </x:c>
    </x:row>
    <x:row r="207" ht="38" customHeight="1">
      <x:c r="A207" s="4" t="str">
        <x:v>TW</x:v>
      </x:c>
      <x:c r="B207" s="4" t="str">
        <x:v>特力集團營業利益_簡表圓整</x:v>
      </x:c>
      <x:c r="C207" s="4" t="n">
        <x:v>2024</x:v>
      </x:c>
      <x:c r="D207" s="17" t="n">
        <x:v>625000000</x:v>
      </x:c>
      <x:c r="E207" s="4" t="str">
        <x:v>TWD</x:v>
      </x:c>
      <x:c r="F207" s="17" t="n">
        <x:v>1</x:v>
      </x:c>
      <x:c r="G207" s="4" t="str">
        <x:v>TWD</x:v>
      </x:c>
      <x:c r="H207" s="17" t="n">
        <x:f>D207*F207</x:f>
        <x:v>625000000</x:v>
      </x:c>
      <x:c r="I207" s="35" t="n">
        <x:f>INDEX($V$6:$V$19,MATCH(G207,$U$6:$U$19,0))</x:f>
        <x:v>31.1663</x:v>
      </x:c>
      <x:c r="J207" s="36" t="n">
        <x:f>IF(I207&lt;=0,"無有效匯率",H207/I207)</x:f>
        <x:v>20053711.86185078</x:v>
      </x:c>
      <x:c r="K207" s="4" t="str">
        <x:v>USD</x:v>
      </x:c>
      <x:c r="L207" s="36" t="n">
        <x:f>IF(OR(NOT(ISNUMBER(J207)),$V$6&lt;=0),"無有效匯率",J207*$V$6)</x:f>
        <x:v>625000000</x:v>
      </x:c>
      <x:c r="M207" s="4" t="str">
        <x:v>TWD</x:v>
      </x:c>
      <x:c r="N207" s="4" t="str">
        <x:v>TW12</x:v>
      </x:c>
      <x:c r="O207" s="4" t="str">
        <x:v>https://www.testritegroup.com/uploads/2024_069db0ff1f.pdf</x:v>
      </x:c>
      <x:c r="P207" s="4" t="str">
        <x:v>X01</x:v>
      </x:c>
      <x:c r="Q207" s="4" t="str">
        <x:v>【示意】年報百萬元簡表625；集團口徑包含零售與貿易，不是室裝工程毛利；獨立來源1；來源A級</x:v>
      </x:c>
      <x:c r="R207" s="4" t="str">
        <x:v>低</x:v>
      </x:c>
    </x:row>
    <x:row r="208" ht="38" customHeight="1">
      <x:c r="A208" s="4" t="str">
        <x:v>SG</x:v>
      </x:c>
      <x:c r="B208" s="4" t="str">
        <x:v>住宅翻修市場（研究商估計）</x:v>
      </x:c>
      <x:c r="C208" s="4" t="n">
        <x:v>2022</x:v>
      </x:c>
      <x:c r="D208" s="19" t="n">
        <x:v>1638.7</x:v>
      </x:c>
      <x:c r="E208" s="4" t="str">
        <x:v>百萬SGD</x:v>
      </x:c>
      <x:c r="F208" s="17" t="n">
        <x:v>1000000</x:v>
      </x:c>
      <x:c r="G208" s="4" t="str">
        <x:v>SGD</x:v>
      </x:c>
      <x:c r="H208" s="17" t="n">
        <x:f>D208*F208</x:f>
        <x:v>1638700000</x:v>
      </x:c>
      <x:c r="I208" s="35" t="n">
        <x:f>INDEX($V$6:$V$19,MATCH(G208,$U$6:$U$19,0))</x:f>
        <x:v>1.3065</x:v>
      </x:c>
      <x:c r="J208" s="36" t="n">
        <x:f>IF(I208&lt;=0,"無有效匯率",H208/I208)</x:f>
        <x:v>1254267125.908917</x:v>
      </x:c>
      <x:c r="K208" s="4" t="str">
        <x:v>USD</x:v>
      </x:c>
      <x:c r="L208" s="36" t="n">
        <x:f>IF(OR(NOT(ISNUMBER(J208)),$V$6&lt;=0),"無有效匯率",J208*$V$6)</x:f>
        <x:v>39090865526.21508</x:v>
      </x:c>
      <x:c r="M208" s="4" t="str">
        <x:v>TWD</x:v>
      </x:c>
      <x:c r="N208" s="4" t="str">
        <x:v>SG21</x:v>
      </x:c>
      <x:c r="O208" s="4" t="str">
        <x:v>https://www.sec.gov/Archives/edgar/data/2002236/000121390024045316/image_017.jpg</x:v>
      </x:c>
      <x:c r="P208" s="4" t="str">
        <x:v>X01</x:v>
      </x:c>
      <x:c r="Q208" s="4" t="str">
        <x:v>【示意】Frost &amp; Sullivan，2024簡報第17頁住宅 renovation 分桶；排除另列 A&amp;A、新建與重建；非官方實績，細部方法未公開。；獨立來源1；來源B級</x:v>
      </x:c>
      <x:c r="R208" s="4" t="str">
        <x:v>低</x:v>
      </x:c>
    </x:row>
    <x:row r="209" ht="38" customHeight="1">
      <x:c r="A209" s="4" t="str">
        <x:v>SG</x:v>
      </x:c>
      <x:c r="B209" s="4" t="str">
        <x:v>住宅翻修市場（事前預測）</x:v>
      </x:c>
      <x:c r="C209" s="4" t="str">
        <x:v>2024E</x:v>
      </x:c>
      <x:c r="D209" s="19" t="n">
        <x:v>1771.5</x:v>
      </x:c>
      <x:c r="E209" s="4" t="str">
        <x:v>百萬SGD</x:v>
      </x:c>
      <x:c r="F209" s="17" t="n">
        <x:v>1000000</x:v>
      </x:c>
      <x:c r="G209" s="4" t="str">
        <x:v>SGD</x:v>
      </x:c>
      <x:c r="H209" s="17" t="n">
        <x:f>D209*F209</x:f>
        <x:v>1771500000</x:v>
      </x:c>
      <x:c r="I209" s="35" t="n">
        <x:f>INDEX($V$6:$V$19,MATCH(G209,$U$6:$U$19,0))</x:f>
        <x:v>1.3065</x:v>
      </x:c>
      <x:c r="J209" s="36" t="n">
        <x:f>IF(I209&lt;=0,"無有效匯率",H209/I209)</x:f>
        <x:v>1355912743.9724455</x:v>
      </x:c>
      <x:c r="K209" s="4" t="str">
        <x:v>USD</x:v>
      </x:c>
      <x:c r="L209" s="36" t="n">
        <x:f>IF(OR(NOT(ISNUMBER(J209)),$V$6&lt;=0),"無有效匯率",J209*$V$6)</x:f>
        <x:v>42258783352.46843</x:v>
      </x:c>
      <x:c r="M209" s="4" t="str">
        <x:v>TWD</x:v>
      </x:c>
      <x:c r="N209" s="4" t="str">
        <x:v>SG21</x:v>
      </x:c>
      <x:c r="O209" s="4" t="str">
        <x:v>https://www.sec.gov/Archives/edgar/data/2002236/000121390024045316/image_017.jpg</x:v>
      </x:c>
      <x:c r="P209" s="4" t="str">
        <x:v>X01</x:v>
      </x:c>
      <x:c r="Q209" s="4" t="str">
        <x:v>【預測／示意】Frost &amp; Sullivan，2024簡報第17頁住宅 renovation 分桶；排除另列 A&amp;A、新建與重建；非官方實績，細部方法未公開。；獨立來源1；來源B級</x:v>
      </x:c>
      <x:c r="R209" s="4" t="str">
        <x:v>低</x:v>
      </x:c>
    </x:row>
    <x:row r="210" ht="38" customHeight="1">
      <x:c r="A210" s="4" t="str">
        <x:v>SG</x:v>
      </x:c>
      <x:c r="B210" s="4" t="str">
        <x:v>住宅翻修市場（事前預測）</x:v>
      </x:c>
      <x:c r="C210" s="4" t="str">
        <x:v>2025E</x:v>
      </x:c>
      <x:c r="D210" s="19" t="n">
        <x:v>1847.5</x:v>
      </x:c>
      <x:c r="E210" s="4" t="str">
        <x:v>百萬SGD</x:v>
      </x:c>
      <x:c r="F210" s="17" t="n">
        <x:v>1000000</x:v>
      </x:c>
      <x:c r="G210" s="4" t="str">
        <x:v>SGD</x:v>
      </x:c>
      <x:c r="H210" s="17" t="n">
        <x:f>D210*F210</x:f>
        <x:v>1847500000</x:v>
      </x:c>
      <x:c r="I210" s="35" t="n">
        <x:f>INDEX($V$6:$V$19,MATCH(G210,$U$6:$U$19,0))</x:f>
        <x:v>1.3065</x:v>
      </x:c>
      <x:c r="J210" s="36" t="n">
        <x:f>IF(I210&lt;=0,"無有效匯率",H210/I210)</x:f>
        <x:v>1414083429.0088022</x:v>
      </x:c>
      <x:c r="K210" s="4" t="str">
        <x:v>USD</x:v>
      </x:c>
      <x:c r="L210" s="36" t="n">
        <x:f>IF(OR(NOT(ISNUMBER(J210)),$V$6&lt;=0),"無有效匯率",J210*$V$6)</x:f>
        <x:v>44071748373.51703</x:v>
      </x:c>
      <x:c r="M210" s="4" t="str">
        <x:v>TWD</x:v>
      </x:c>
      <x:c r="N210" s="4" t="str">
        <x:v>SG21</x:v>
      </x:c>
      <x:c r="O210" s="4" t="str">
        <x:v>https://www.sec.gov/Archives/edgar/data/2002236/000121390024045316/image_017.jpg</x:v>
      </x:c>
      <x:c r="P210" s="4" t="str">
        <x:v>X01</x:v>
      </x:c>
      <x:c r="Q210" s="4" t="str">
        <x:v>【預測／示意】Frost &amp; Sullivan，2024簡報第17頁住宅 renovation 分桶；排除另列 A&amp;A、新建與重建；非官方實績，細部方法未公開。；獨立來源1；來源B級</x:v>
      </x:c>
      <x:c r="R210" s="4" t="str">
        <x:v>低</x:v>
      </x:c>
    </x:row>
    <x:row r="211" ht="38" customHeight="1">
      <x:c r="A211" s="4" t="str">
        <x:v>SG</x:v>
      </x:c>
      <x:c r="B211" s="4" t="str">
        <x:v>住宅翻修市場（事前預測）</x:v>
      </x:c>
      <x:c r="C211" s="4" t="str">
        <x:v>2027E</x:v>
      </x:c>
      <x:c r="D211" s="19" t="n">
        <x:v>2048.5</x:v>
      </x:c>
      <x:c r="E211" s="4" t="str">
        <x:v>百萬SGD</x:v>
      </x:c>
      <x:c r="F211" s="17" t="n">
        <x:v>1000000</x:v>
      </x:c>
      <x:c r="G211" s="4" t="str">
        <x:v>SGD</x:v>
      </x:c>
      <x:c r="H211" s="17" t="n">
        <x:f>D211*F211</x:f>
        <x:v>2048500000</x:v>
      </x:c>
      <x:c r="I211" s="35" t="n">
        <x:f>INDEX($V$6:$V$19,MATCH(G211,$U$6:$U$19,0))</x:f>
        <x:v>1.3065</x:v>
      </x:c>
      <x:c r="J211" s="36" t="n">
        <x:f>IF(I211&lt;=0,"無有效匯率",H211/I211)</x:f>
        <x:v>1567929582.854956</x:v>
      </x:c>
      <x:c r="K211" s="4" t="str">
        <x:v>USD</x:v>
      </x:c>
      <x:c r="L211" s="36" t="n">
        <x:f>IF(OR(NOT(ISNUMBER(J211)),$V$6&lt;=0),"無有效匯率",J211*$V$6)</x:f>
        <x:v>48866563758.13241</x:v>
      </x:c>
      <x:c r="M211" s="4" t="str">
        <x:v>TWD</x:v>
      </x:c>
      <x:c r="N211" s="4" t="str">
        <x:v>SG21</x:v>
      </x:c>
      <x:c r="O211" s="4" t="str">
        <x:v>https://www.sec.gov/Archives/edgar/data/2002236/000121390024045316/image_017.jpg</x:v>
      </x:c>
      <x:c r="P211" s="4" t="str">
        <x:v>X01</x:v>
      </x:c>
      <x:c r="Q211" s="4" t="str">
        <x:v>【預測／示意】Frost &amp; Sullivan，2024簡報第17頁住宅 renovation 分桶；排除另列 A&amp;A、新建與重建；非官方實績，細部方法未公開。；獨立來源1；來源B級</x:v>
      </x:c>
      <x:c r="R211" s="4" t="str">
        <x:v>低</x:v>
      </x:c>
    </x:row>
    <x:row r="212" ht="38" customHeight="1">
      <x:c r="A212" s="4" t="str">
        <x:v>SG</x:v>
      </x:c>
      <x:c r="B212" s="4" t="str">
        <x:v>非金融業EP最低月薪（年齡23歲以下）</x:v>
      </x:c>
      <x:c r="C212" s="4" t="str">
        <x:v>查閱2026</x:v>
      </x:c>
      <x:c r="D212" s="17" t="n">
        <x:v>5600</x:v>
      </x:c>
      <x:c r="E212" s="4" t="str">
        <x:v>SGD／月</x:v>
      </x:c>
      <x:c r="F212" s="17" t="n">
        <x:v>1</x:v>
      </x:c>
      <x:c r="G212" s="4" t="str">
        <x:v>SGD</x:v>
      </x:c>
      <x:c r="H212" s="17" t="n">
        <x:f>D212*F212</x:f>
        <x:v>5600</x:v>
      </x:c>
      <x:c r="I212" s="35" t="n">
        <x:f>INDEX($V$6:$V$19,MATCH(G212,$U$6:$U$19,0))</x:f>
        <x:v>1.3065</x:v>
      </x:c>
      <x:c r="J212" s="36" t="n">
        <x:f>IF(I212&lt;=0,"無有效匯率",H212/I212)</x:f>
        <x:v>4286.261002678913</x:v>
      </x:c>
      <x:c r="K212" s="4" t="str">
        <x:v>USD/月</x:v>
      </x:c>
      <x:c r="L212" s="36" t="n">
        <x:f>IF(OR(NOT(ISNUMBER(J212)),$V$6&lt;=0),"無有效匯率",J212*$V$6)</x:f>
        <x:v>133586.8962877918</x:v>
      </x:c>
      <x:c r="M212" s="4" t="str">
        <x:v>TWD/月</x:v>
      </x:c>
      <x:c r="N212" s="4" t="str">
        <x:v>SG19</x:v>
      </x:c>
      <x:c r="O212" s="4" t="str">
        <x:v>https://www.mom.gov.sg/passes-and-permits/employment-pass/eligibility</x:v>
      </x:c>
      <x:c r="P212" s="4" t="str">
        <x:v>X01</x:v>
      </x:c>
      <x:c r="Q212" s="4" t="str">
        <x:v>【示意】非金融業且年齡23歲以下；隨年齡提高，另受COMPASS等條件約束；不是設計師市場薪資。；獨立來源1；來源A級</x:v>
      </x:c>
      <x:c r="R212" s="4" t="str">
        <x:v>低</x:v>
      </x:c>
    </x:row>
    <x:row r="213" ht="38" customHeight="1">
      <x:c r="A213" s="4" t="str">
        <x:v>SG</x:v>
      </x:c>
      <x:c r="B213" s="4" t="str">
        <x:v>非金融業EP最低月薪（2027新申請規則）</x:v>
      </x:c>
      <x:c r="C213" s="4" t="str">
        <x:v>2027-01-01</x:v>
      </x:c>
      <x:c r="D213" s="17" t="n">
        <x:v>6000</x:v>
      </x:c>
      <x:c r="E213" s="4" t="str">
        <x:v>SGD／月</x:v>
      </x:c>
      <x:c r="F213" s="17" t="n">
        <x:v>1</x:v>
      </x:c>
      <x:c r="G213" s="4" t="str">
        <x:v>SGD</x:v>
      </x:c>
      <x:c r="H213" s="17" t="n">
        <x:f>D213*F213</x:f>
        <x:v>6000</x:v>
      </x:c>
      <x:c r="I213" s="35" t="n">
        <x:f>INDEX($V$6:$V$19,MATCH(G213,$U$6:$U$19,0))</x:f>
        <x:v>1.3065</x:v>
      </x:c>
      <x:c r="J213" s="36" t="n">
        <x:f>IF(I213&lt;=0,"無有效匯率",H213/I213)</x:f>
        <x:v>4592.422502870264</x:v>
      </x:c>
      <x:c r="K213" s="4" t="str">
        <x:v>USD/月</x:v>
      </x:c>
      <x:c r="L213" s="36" t="n">
        <x:f>IF(OR(NOT(ISNUMBER(J213)),$V$6&lt;=0),"無有效匯率",J213*$V$6)</x:f>
        <x:v>143128.8174512055</x:v>
      </x:c>
      <x:c r="M213" s="4" t="str">
        <x:v>TWD/月</x:v>
      </x:c>
      <x:c r="N213" s="4" t="str">
        <x:v>SG19</x:v>
      </x:c>
      <x:c r="O213" s="4" t="str">
        <x:v>https://www.mom.gov.sg/passes-and-permits/employment-pass/eligibility</x:v>
      </x:c>
      <x:c r="P213" s="4" t="str">
        <x:v>X01</x:v>
      </x:c>
      <x:c r="Q213" s="4" t="str">
        <x:v>【示意】研究日已公告、尚未生效的未來規則；適用年齡23歲以下，隨年齡提高；不是市場薪資預測。；獨立來源1；來源A級</x:v>
      </x:c>
      <x:c r="R213" s="4" t="str">
        <x:v>低</x:v>
      </x:c>
    </x:row>
    <x:row r="214" ht="38" customHeight="1">
      <x:c r="A214" s="4" t="str">
        <x:v>MY</x:v>
      </x:c>
      <x:c r="B214" s="4" t="str">
        <x:v>住宅改善商品市場</x:v>
      </x:c>
      <x:c r="C214" s="4" t="n">
        <x:v>2024</x:v>
      </x:c>
      <x:c r="D214" s="18" t="n">
        <x:v>47.73</x:v>
      </x:c>
      <x:c r="E214" s="4" t="str">
        <x:v>十億MYR</x:v>
      </x:c>
      <x:c r="F214" s="17" t="n">
        <x:v>1000000000</x:v>
      </x:c>
      <x:c r="G214" s="4" t="str">
        <x:v>MYR</x:v>
      </x:c>
      <x:c r="H214" s="17" t="n">
        <x:f>D214*F214</x:f>
        <x:v>47730000000</x:v>
      </x:c>
      <x:c r="I214" s="35" t="n">
        <x:f>INDEX($V$6:$V$19,MATCH(G214,$U$6:$U$19,0))</x:f>
        <x:v>4.2809</x:v>
      </x:c>
      <x:c r="J214" s="36" t="n">
        <x:f>IF(I214&lt;=0,"無有效匯率",H214/I214)</x:f>
        <x:v>11149524632.6707</x:v>
      </x:c>
      <x:c r="K214" s="4" t="str">
        <x:v>USD</x:v>
      </x:c>
      <x:c r="L214" s="36" t="n">
        <x:f>IF(OR(NOT(ISNUMBER(J214)),$V$6&lt;=0),"無有效匯率",J214*$V$6)</x:f>
        <x:v>347489429559.20483</x:v>
      </x:c>
      <x:c r="M214" s="4" t="str">
        <x:v>TWD</x:v>
      </x:c>
      <x:c r="N214" s="4" t="str">
        <x:v>MY24</x:v>
      </x:c>
      <x:c r="O214" s="4" t="str">
        <x:v>https://anns.sgp1.cdn.digitaloceanspaces.com/3629602.pdf</x:v>
      </x:c>
      <x:c r="P214" s="4" t="str">
        <x:v>X01</x:v>
      </x:c>
      <x:c r="Q214" s="4" t="str">
        <x:v>【示意】Protégé估計商品銷售；行業範圍含製造／批零／相關服務，但此規模表明列products sales；非純施工；獨立來源1；來源A級</x:v>
      </x:c>
      <x:c r="R214" s="4" t="str">
        <x:v>低</x:v>
      </x:c>
    </x:row>
    <x:row r="215" ht="30" customHeight="1">
      <x:c r="A215" s="4" t="str">
        <x:v>MY</x:v>
      </x:c>
      <x:c r="B215" s="4" t="str">
        <x:v>住宅改善商品市場估計</x:v>
      </x:c>
      <x:c r="C215" s="4" t="n">
        <x:v>2025</x:v>
      </x:c>
      <x:c r="D215" s="18" t="n">
        <x:v>49.64</x:v>
      </x:c>
      <x:c r="E215" s="4" t="str">
        <x:v>十億MYR</x:v>
      </x:c>
      <x:c r="F215" s="17" t="n">
        <x:v>1000000000</x:v>
      </x:c>
      <x:c r="G215" s="4" t="str">
        <x:v>MYR</x:v>
      </x:c>
      <x:c r="H215" s="17" t="n">
        <x:f>D215*F215</x:f>
        <x:v>49640000000</x:v>
      </x:c>
      <x:c r="I215" s="35" t="n">
        <x:f>INDEX($V$6:$V$19,MATCH(G215,$U$6:$U$19,0))</x:f>
        <x:v>4.2809</x:v>
      </x:c>
      <x:c r="J215" s="36" t="n">
        <x:f>IF(I215&lt;=0,"無有效匯率",H215/I215)</x:f>
        <x:v>11595692494.5689</x:v>
      </x:c>
      <x:c r="K215" s="4" t="str">
        <x:v>USD</x:v>
      </x:c>
      <x:c r="L215" s="36" t="n">
        <x:f>IF(OR(NOT(ISNUMBER(J215)),$V$6&lt;=0),"無有效匯率",J215*$V$6)</x:f>
        <x:v>361394830993.48267</x:v>
      </x:c>
      <x:c r="M215" s="4" t="str">
        <x:v>TWD</x:v>
      </x:c>
      <x:c r="N215" s="4" t="str">
        <x:v>MY24</x:v>
      </x:c>
      <x:c r="O215" s="4" t="str">
        <x:v>https://anns.sgp1.cdn.digitaloceanspaces.com/3629602.pdf</x:v>
      </x:c>
      <x:c r="P215" s="4" t="str">
        <x:v>X01</x:v>
      </x:c>
      <x:c r="Q215" s="4" t="str">
        <x:v>【示意】招股書標e估計；非2025官方實績；獨立來源1；來源A級</x:v>
      </x:c>
      <x:c r="R215" s="4" t="str">
        <x:v>低</x:v>
      </x:c>
    </x:row>
    <x:row r="216" ht="30" customHeight="1">
      <x:c r="A216" s="4" t="str">
        <x:v>MY</x:v>
      </x:c>
      <x:c r="B216" s="4" t="str">
        <x:v>住宅改善商品市場預測</x:v>
      </x:c>
      <x:c r="C216" s="4" t="n">
        <x:v>2029</x:v>
      </x:c>
      <x:c r="D216" s="18" t="n">
        <x:v>59.19</x:v>
      </x:c>
      <x:c r="E216" s="4" t="str">
        <x:v>十億MYR</x:v>
      </x:c>
      <x:c r="F216" s="17" t="n">
        <x:v>1000000000</x:v>
      </x:c>
      <x:c r="G216" s="4" t="str">
        <x:v>MYR</x:v>
      </x:c>
      <x:c r="H216" s="17" t="n">
        <x:f>D216*F216</x:f>
        <x:v>59190000000</x:v>
      </x:c>
      <x:c r="I216" s="35" t="n">
        <x:f>INDEX($V$6:$V$19,MATCH(G216,$U$6:$U$19,0))</x:f>
        <x:v>4.2809</x:v>
      </x:c>
      <x:c r="J216" s="36" t="n">
        <x:f>IF(I216&lt;=0,"無有效匯率",H216/I216)</x:f>
        <x:v>13826531804.059895</x:v>
      </x:c>
      <x:c r="K216" s="4" t="str">
        <x:v>USD</x:v>
      </x:c>
      <x:c r="L216" s="36" t="n">
        <x:f>IF(OR(NOT(ISNUMBER(J216)),$V$6&lt;=0),"無有效匯率",J216*$V$6)</x:f>
        <x:v>430921838164.8719</x:v>
      </x:c>
      <x:c r="M216" s="4" t="str">
        <x:v>TWD</x:v>
      </x:c>
      <x:c r="N216" s="4" t="str">
        <x:v>MY24</x:v>
      </x:c>
      <x:c r="O216" s="4" t="str">
        <x:v>https://anns.sgp1.cdn.digitaloceanspaces.com/3629602.pdf</x:v>
      </x:c>
      <x:c r="P216" s="4" t="str">
        <x:v>X01</x:v>
      </x:c>
      <x:c r="Q216" s="4" t="str">
        <x:v>【預測／示意】招股書標f預測，不是2030實績；獨立來源1；來源A級</x:v>
      </x:c>
      <x:c r="R216" s="4" t="str">
        <x:v>低</x:v>
      </x:c>
    </x:row>
    <x:row r="217" ht="192" customHeight="1">
      <x:c r="A217" s="4" t="str">
        <x:v>TH</x:v>
      </x:c>
      <x:c r="B217" s="4" t="str">
        <x:v>最低日薪下限</x:v>
      </x:c>
      <x:c r="C217" s="4" t="str">
        <x:v>2025-07-01起</x:v>
      </x:c>
      <x:c r="D217" s="17" t="n">
        <x:v>337</x:v>
      </x:c>
      <x:c r="E217" s="4" t="str">
        <x:v>THB/日</x:v>
      </x:c>
      <x:c r="F217" s="17" t="n">
        <x:v>1</x:v>
      </x:c>
      <x:c r="G217" s="4" t="str">
        <x:v>THB</x:v>
      </x:c>
      <x:c r="H217" s="17" t="n">
        <x:f>D217*F217</x:f>
        <x:v>337</x:v>
      </x:c>
      <x:c r="I217" s="35" t="n">
        <x:f>INDEX($V$6:$V$19,MATCH(G217,$U$6:$U$19,0))</x:f>
        <x:v>32.8619</x:v>
      </x:c>
      <x:c r="J217" s="36" t="n">
        <x:f>IF(I217&lt;=0,"無有效匯率",H217/I217)</x:f>
        <x:v>10.255036988123024</x:v>
      </x:c>
      <x:c r="K217" s="4" t="str">
        <x:v>USD/日</x:v>
      </x:c>
      <x:c r="L217" s="36" t="n">
        <x:f>IF(OR(NOT(ISNUMBER(J217)),$V$6&lt;=0),"無有效匯率",J217*$V$6)</x:f>
        <x:v>319.6115592829386</x:v>
      </x:c>
      <x:c r="M217" s="4" t="str">
        <x:v>TWD/日</x:v>
      </x:c>
      <x:c r="N217" s="4" t="str">
        <x:v>TH25</x:v>
      </x:c>
      <x:c r="O217" s="4" t="str">
        <x:v>https://www.mol.go.th/news/%E0%B9%80%E0%B8%A3%E0%B8%B4%E0%B9%88%E0%B8%A1-1-%E0%B8%81%E0%B8%A3%E0%B8%81%E0%B8%8E%E0%B8%B2%E0%B8%84%E0%B8%A1%E0%B8%99%E0%B8%B5%E0%B9%89-%E0%B8%81%E0%B8%A3%E0%B8%B0%E0%B8%97%E0%B8%A3%E0%B8%A7%E0%B8%87%E0%B9%81%E0%B8%A3%E0%B8%87%E0%B8%87%E0%B8%B2%E0%B8%99-%E0%B8%9B%E0%B8%A3%E0%B8%B1%E0%B8%9A%E0%B9%83%E0%B8%AB%E0%B8%A1%E0%B9%88%E0%B8%84%E0%B9%88%E0%B8%B2%E0%B9%81%E0%B8%A3%E0%B8%87%E0%B8%82%E0%B8%B1%E0%B9%89%E0%B8%99%E0%B8%95%E0%B9%88%E0%B8%B3-%E0%B8%AA%E0%B8%AD%E0%B8%94%E0%B8%A3%E0%B8%B1%E0%B8%9A%E0%B9%80%E0%B8%A8%E0%B8%A3%E0%B8%A9%E0%B8%90%E0%B8%81%E0%B8%B4%E0%B8%88-%E0%B8%A2%E0%B8%81%E0%B8%A3%E0%B8%B0%E0%B8%94%E0%B8%B1%E0%B8%9A%E0%B8%84%E0%B8%B8%E0%B8%93%E0%B8%A0%E0%B8%B2%E0%B8%9E%E0%B8%8A%E0%B8%B5%E0%B8%A7%E0%B8%B4%E0%B8%95%E0%B9%81%E0%B8%A3%E0%B8%87%E0%B8%87%E0%B8%B2%E0%B8%99</x:v>
      </x:c>
      <x:c r="P217" s="4" t="str">
        <x:v>X01</x:v>
      </x:c>
      <x:c r="Q217" s="4" t="str">
        <x:v>【示意】依區域／行業；非熟練師傅市場行情；獨立來源1；來源A級</x:v>
      </x:c>
      <x:c r="R217" s="4" t="str">
        <x:v>低</x:v>
      </x:c>
    </x:row>
    <x:row r="218" ht="192" customHeight="1">
      <x:c r="A218" s="4" t="str">
        <x:v>TH</x:v>
      </x:c>
      <x:c r="B218" s="4" t="str">
        <x:v>曼谷最低日薪</x:v>
      </x:c>
      <x:c r="C218" s="4" t="str">
        <x:v>2025-07-01起</x:v>
      </x:c>
      <x:c r="D218" s="17" t="n">
        <x:v>400</x:v>
      </x:c>
      <x:c r="E218" s="4" t="str">
        <x:v>THB/日</x:v>
      </x:c>
      <x:c r="F218" s="17" t="n">
        <x:v>1</x:v>
      </x:c>
      <x:c r="G218" s="4" t="str">
        <x:v>THB</x:v>
      </x:c>
      <x:c r="H218" s="17" t="n">
        <x:f>D218*F218</x:f>
        <x:v>400</x:v>
      </x:c>
      <x:c r="I218" s="35" t="n">
        <x:f>INDEX($V$6:$V$19,MATCH(G218,$U$6:$U$19,0))</x:f>
        <x:v>32.8619</x:v>
      </x:c>
      <x:c r="J218" s="36" t="n">
        <x:f>IF(I218&lt;=0,"無有效匯率",H218/I218)</x:f>
        <x:v>12.172150727742462</x:v>
      </x:c>
      <x:c r="K218" s="4" t="str">
        <x:v>USD/日</x:v>
      </x:c>
      <x:c r="L218" s="36" t="n">
        <x:f>IF(OR(NOT(ISNUMBER(J218)),$V$6&lt;=0),"無有效匯率",J218*$V$6)</x:f>
        <x:v>379.3609012260399</x:v>
      </x:c>
      <x:c r="M218" s="4" t="str">
        <x:v>TWD/日</x:v>
      </x:c>
      <x:c r="N218" s="4" t="str">
        <x:v>TH25</x:v>
      </x:c>
      <x:c r="O218" s="4" t="str">
        <x:v>https://www.mol.go.th/news/%E0%B9%80%E0%B8%A3%E0%B8%B4%E0%B9%88%E0%B8%A1-1-%E0%B8%81%E0%B8%A3%E0%B8%81%E0%B8%8E%E0%B8%B2%E0%B8%84%E0%B8%A1%E0%B8%99%E0%B8%B5%E0%B9%89-%E0%B8%81%E0%B8%A3%E0%B8%B0%E0%B8%97%E0%B8%A3%E0%B8%A7%E0%B8%87%E0%B9%81%E0%B8%A3%E0%B8%87%E0%B8%87%E0%B8%B2%E0%B8%99-%E0%B8%9B%E0%B8%A3%E0%B8%B1%E0%B8%9A%E0%B9%83%E0%B8%AB%E0%B8%A1%E0%B9%88%E0%B8%84%E0%B9%88%E0%B8%B2%E0%B9%81%E0%B8%A3%E0%B8%87%E0%B8%82%E0%B8%B1%E0%B9%89%E0%B8%99%E0%B8%95%E0%B9%88%E0%B8%B3-%E0%B8%AA%E0%B8%AD%E0%B8%94%E0%B8%A3%E0%B8%B1%E0%B8%9A%E0%B9%80%E0%B8%A8%E0%B8%A3%E0%B8%A9%E0%B8%90%E0%B8%81%E0%B8%B4%E0%B8%88-%E0%B8%A2%E0%B8%81%E0%B8%A3%E0%B8%B0%E0%B8%94%E0%B8%B1%E0%B8%9A%E0%B8%84%E0%B8%B8%E0%B8%93%E0%B8%A0%E0%B8%B2%E0%B8%9E%E0%B8%8A%E0%B8%B5%E0%B8%A7%E0%B8%B4%E0%B8%95%E0%B9%81%E0%B8%A3%E0%B8%87%E0%B8%87%E0%B8%B2%E0%B8%99</x:v>
      </x:c>
      <x:c r="P218" s="4" t="str">
        <x:v>X01</x:v>
      </x:c>
      <x:c r="Q218" s="4" t="str">
        <x:v>【示意】法定門檻，不是木工／水電報價；獨立來源1；來源A級</x:v>
      </x:c>
      <x:c r="R218" s="4" t="str">
        <x:v>低</x:v>
      </x:c>
    </x:row>
  </x:sheetData>
  <x:conditionalFormatting sqref="J6:L218">
    <x:cfRule type="containsText" dxfId="0" priority="1" operator="containsText" text="無有效匯率"/>
  </x:conditionalFormatting>
  <x:pageMargins left="0.7" right="0.7" top="0.75" bottom="0.75" header="0.3" footer="0.3"/>
  <x:tableParts count="1">
    <x:tablePart xmlns:r="http://schemas.openxmlformats.org/officeDocument/2006/relationships" r:id="R43998fe2c4ec49ef"/>
  </x:tableParts>
</x:worksheet>
</file>

<file path=xl/worksheets/sheet3.xml><?xml version="1.0" encoding="utf-8"?>
<x:worksheet xmlns:x="http://schemas.openxmlformats.org/spreadsheetml/2006/main">
  <x:sheetPr>
    <x:tabColor rgb="FF668497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.890000343322754" hidden="0" customWidth="1"/>
    <x:col min="2" max="2" width="31.670000076293945" hidden="0" customWidth="1"/>
    <x:col min="3" max="3" width="17.780000686645508" hidden="0" customWidth="1"/>
    <x:col min="4" max="4" width="21.110000610351562" hidden="0" customWidth="1"/>
    <x:col min="5" max="5" width="17.780000686645508" hidden="0" customWidth="1"/>
    <x:col min="6" max="6" width="20" hidden="0" customWidth="1"/>
    <x:col min="7" max="7" width="20" hidden="0" customWidth="1"/>
    <x:col min="8" max="8" width="11.670000076293945" hidden="0" customWidth="1"/>
    <x:col min="9" max="9" width="16.670000076293945" hidden="0" customWidth="1"/>
    <x:col min="10" max="10" width="9.4399995803833" hidden="0" customWidth="1"/>
    <x:col min="11" max="11" width="18.329999923706055" hidden="0" customWidth="1"/>
    <x:col min="12" max="12" width="21.670000076293945" hidden="0" customWidth="1"/>
    <x:col min="13" max="13" width="21.670000076293945" hidden="0" customWidth="1"/>
    <x:col min="14" max="14" width="16.670000076293945" hidden="0" customWidth="1"/>
    <x:col min="15" max="15" width="23.889999389648438" hidden="0" customWidth="1"/>
    <x:col min="16" max="16" width="23.889999389648438" hidden="0" customWidth="1"/>
    <x:col min="17" max="17" width="16.670000076293945" hidden="0" customWidth="1"/>
    <x:col min="18" max="18" width="11.109999656677246" hidden="0" customWidth="1"/>
    <x:col min="19" max="19" width="44.439998626708984" hidden="0" customWidth="1"/>
    <x:col min="20" max="20" width="55.560001373291016" hidden="0" customWidth="1"/>
    <x:col min="21" max="21" width="9.4399995803833" hidden="0" customWidth="1"/>
  </x:cols>
  <x:sheetData>
    <x:row r="2">
      <x:c r="A2" s="25" t="str">
        <x:v>區間金額換算</x:v>
      </x:c>
    </x:row>
    <x:row r="3" ht="25" customHeight="1">
      <x:c r="A3" s="1" t="str">
        <x:v>只換算上下端數值，不取平均。上端開放時，數字不是封頂價；匯率連結「金額換算」V 欄的可調輸入。</x:v>
      </x:c>
    </x:row>
    <x:row r="5" ht="32" customHeight="1">
      <x:c r="A5" s="10" t="str">
        <x:v>市場</x:v>
      </x:c>
      <x:c r="B5" s="11" t="str">
        <x:v>指標</x:v>
      </x:c>
      <x:c r="C5" s="11" t="str">
        <x:v>年份／期間</x:v>
      </x:c>
      <x:c r="D5" s="11" t="str">
        <x:v>原區間文字</x:v>
      </x:c>
      <x:c r="E5" s="11" t="str">
        <x:v>原幣單位</x:v>
      </x:c>
      <x:c r="F5" s="11" t="str">
        <x:v>原幣下界</x:v>
      </x:c>
      <x:c r="G5" s="11" t="str">
        <x:v>原幣上端數值</x:v>
      </x:c>
      <x:c r="H5" s="11" t="str">
        <x:v>上端開放</x:v>
      </x:c>
      <x:c r="I5" s="11" t="str">
        <x:v>單位乘數</x:v>
      </x:c>
      <x:c r="J5" s="11" t="str">
        <x:v>幣別</x:v>
      </x:c>
      <x:c r="K5" s="11" t="str">
        <x:v>每 USD 原幣</x:v>
      </x:c>
      <x:c r="L5" s="11" t="str">
        <x:v>美元下界</x:v>
      </x:c>
      <x:c r="M5" s="11" t="str">
        <x:v>美元上端數值</x:v>
      </x:c>
      <x:c r="N5" s="11" t="str">
        <x:v>美元單位</x:v>
      </x:c>
      <x:c r="O5" s="11" t="str">
        <x:v>新台幣下界</x:v>
      </x:c>
      <x:c r="P5" s="11" t="str">
        <x:v>新台幣上端數值</x:v>
      </x:c>
      <x:c r="Q5" s="11" t="str">
        <x:v>新台幣單位</x:v>
      </x:c>
      <x:c r="R5" s="11" t="str">
        <x:v>來源編號</x:v>
      </x:c>
      <x:c r="S5" s="11" t="str">
        <x:v>來源 URL</x:v>
      </x:c>
      <x:c r="T5" s="11" t="str">
        <x:v>定義與採用標籤</x:v>
      </x:c>
      <x:c r="U5" s="12" t="str">
        <x:v>信心</x:v>
      </x:c>
    </x:row>
    <x:row r="6" ht="38" customHeight="1">
      <x:c r="A6" s="4" t="str">
        <x:v>JP</x:v>
      </x:c>
      <x:c r="B6" s="4" t="str">
        <x:v>RENOVERU客製60m²價格</x:v>
      </x:c>
      <x:c r="C6" s="4" t="str">
        <x:v>2026查詢</x:v>
      </x:c>
      <x:c r="D6" s="4" t="str">
        <x:v>15000000–21000000</x:v>
      </x:c>
      <x:c r="E6" s="4" t="str">
        <x:v>JPY/案</x:v>
      </x:c>
      <x:c r="F6" s="17" t="n">
        <x:v>15000000</x:v>
      </x:c>
      <x:c r="G6" s="17" t="n">
        <x:v>21000000</x:v>
      </x:c>
      <x:c r="H6" s="4" t="str">
        <x:v>否</x:v>
      </x:c>
      <x:c r="I6" s="17" t="n">
        <x:v>1</x:v>
      </x:c>
      <x:c r="J6" s="4" t="str">
        <x:v>JPY</x:v>
      </x:c>
      <x:c r="K6" s="35" t="n">
        <x:f>INDEX('金額換算'!$V$6:$V$19,MATCH(J6,'金額換算'!$U$6:$U$19,0))</x:f>
        <x:v>149.5686</x:v>
      </x:c>
      <x:c r="L6" s="36" t="n">
        <x:f>IF(K6&lt;=0,"無有效匯率",F6*I6/K6)</x:f>
        <x:v>100288.42952330904</x:v>
      </x:c>
      <x:c r="M6" s="36" t="n">
        <x:f>IF(K6&lt;=0,"無有效匯率",G6*I6/K6)</x:f>
        <x:v>140403.80133263266</x:v>
      </x:c>
      <x:c r="N6" s="4" t="str">
        <x:v>USD/案</x:v>
      </x:c>
      <x:c r="O6" s="36" t="n">
        <x:f>IF(OR(NOT(ISNUMBER(L6)),'金額換算'!$V$6&lt;=0),"無有效匯率",L6*'金額換算'!$V$6)</x:f>
        <x:v>3125619.2810523063</x:v>
      </x:c>
      <x:c r="P6" s="36" t="n">
        <x:f>IF(OR(NOT(ISNUMBER(M6)),'金額換算'!$V$6&lt;=0),"無有效匯率",M6*'金額換算'!$V$6)</x:f>
        <x:v>4375866.993473229</x:v>
      </x:c>
      <x:c r="Q6" s="4" t="str">
        <x:v>TWD/案</x:v>
      </x:c>
      <x:c r="R6" s="4" t="str">
        <x:v>JP13</x:v>
      </x:c>
      <x:c r="S6" s="4" t="str">
        <x:v>https://www.renoveru.jp/contents/price</x:v>
      </x:c>
      <x:c r="T6" s="4" t="str">
        <x:v>【示意】首都圈公司客戶實績，非全國均價；稅別未明；獨立來源1；來源C級；只換上下界，不取中間值；上界帶+者仍開放</x:v>
      </x:c>
      <x:c r="U6" s="4" t="str">
        <x:v>低</x:v>
      </x:c>
    </x:row>
    <x:row r="7" ht="38" customHeight="1">
      <x:c r="A7" s="4" t="str">
        <x:v>JP</x:v>
      </x:c>
      <x:c r="B7" s="4" t="str">
        <x:v>RENOVERU標準70m²價格</x:v>
      </x:c>
      <x:c r="C7" s="4" t="str">
        <x:v>2026查詢</x:v>
      </x:c>
      <x:c r="D7" s="4" t="str">
        <x:v>11000000–13000000</x:v>
      </x:c>
      <x:c r="E7" s="4" t="str">
        <x:v>JPY/案</x:v>
      </x:c>
      <x:c r="F7" s="17" t="n">
        <x:v>11000000</x:v>
      </x:c>
      <x:c r="G7" s="17" t="n">
        <x:v>13000000</x:v>
      </x:c>
      <x:c r="H7" s="4" t="str">
        <x:v>否</x:v>
      </x:c>
      <x:c r="I7" s="17" t="n">
        <x:v>1</x:v>
      </x:c>
      <x:c r="J7" s="4" t="str">
        <x:v>JPY</x:v>
      </x:c>
      <x:c r="K7" s="35" t="n">
        <x:f>INDEX('金額換算'!$V$6:$V$19,MATCH(J7,'金額換算'!$U$6:$U$19,0))</x:f>
        <x:v>149.5686</x:v>
      </x:c>
      <x:c r="L7" s="36" t="n">
        <x:f>IF(K7&lt;=0,"無有效匯率",F7*I7/K7)</x:f>
        <x:v>73544.84831709329</x:v>
      </x:c>
      <x:c r="M7" s="36" t="n">
        <x:f>IF(K7&lt;=0,"無有效匯率",G7*I7/K7)</x:f>
        <x:v>86916.63892020116</x:v>
      </x:c>
      <x:c r="N7" s="4" t="str">
        <x:v>USD/案</x:v>
      </x:c>
      <x:c r="O7" s="36" t="n">
        <x:f>IF(OR(NOT(ISNUMBER(L7)),'金額換算'!$V$6&lt;=0),"無有效匯率",L7*'金額換算'!$V$6)</x:f>
        <x:v>2292120.8061050246</x:v>
      </x:c>
      <x:c r="P7" s="36" t="n">
        <x:f>IF(OR(NOT(ISNUMBER(M7)),'金額換算'!$V$6&lt;=0),"無有效匯率",M7*'金額換算'!$V$6)</x:f>
        <x:v>2708870.0435786657</x:v>
      </x:c>
      <x:c r="Q7" s="4" t="str">
        <x:v>TWD/案</x:v>
      </x:c>
      <x:c r="R7" s="4" t="str">
        <x:v>JP13</x:v>
      </x:c>
      <x:c r="S7" s="4" t="str">
        <x:v>https://www.renoveru.jp/contents/price</x:v>
      </x:c>
      <x:c r="T7" s="4" t="str">
        <x:v>【示意】The R產品；非市場基本價；獨立來源1；來源C級；只換上下界，不取中間值；上界帶+者仍開放</x:v>
      </x:c>
      <x:c r="U7" s="4" t="str">
        <x:v>低</x:v>
      </x:c>
    </x:row>
    <x:row r="8" ht="38" customHeight="1">
      <x:c r="A8" s="4" t="str">
        <x:v>SG</x:v>
      </x:c>
      <x:c r="B8" s="4" t="str">
        <x:v>4-room BTO裝修預算（預測）</x:v>
      </x:c>
      <x:c r="C8" s="4" t="n">
        <x:v>2025</x:v>
      </x:c>
      <x:c r="D8" s="4" t="str">
        <x:v>51000–61800</x:v>
      </x:c>
      <x:c r="E8" s="4" t="str">
        <x:v>SGD／案</x:v>
      </x:c>
      <x:c r="F8" s="17" t="n">
        <x:v>51000</x:v>
      </x:c>
      <x:c r="G8" s="17" t="n">
        <x:v>61800</x:v>
      </x:c>
      <x:c r="H8" s="4" t="str">
        <x:v>否</x:v>
      </x:c>
      <x:c r="I8" s="17" t="n">
        <x:v>1</x:v>
      </x:c>
      <x:c r="J8" s="4" t="str">
        <x:v>SGD</x:v>
      </x:c>
      <x:c r="K8" s="35" t="n">
        <x:f>INDEX('金額換算'!$V$6:$V$19,MATCH(J8,'金額換算'!$U$6:$U$19,0))</x:f>
        <x:v>1.3065</x:v>
      </x:c>
      <x:c r="L8" s="36" t="n">
        <x:f>IF(K8&lt;=0,"無有效匯率",F8*I8/K8)</x:f>
        <x:v>39035.591274397244</x:v>
      </x:c>
      <x:c r="M8" s="36" t="n">
        <x:f>IF(K8&lt;=0,"無有效匯率",G8*I8/K8)</x:f>
        <x:v>47301.95177956372</x:v>
      </x:c>
      <x:c r="N8" s="4" t="str">
        <x:v>USD/案</x:v>
      </x:c>
      <x:c r="O8" s="36" t="n">
        <x:f>IF(OR(NOT(ISNUMBER(L8)),'金額換算'!$V$6&lt;=0),"無有效匯率",L8*'金額換算'!$V$6)</x:f>
        <x:v>1216594.9483352469</x:v>
      </x:c>
      <x:c r="P8" s="36" t="n">
        <x:f>IF(OR(NOT(ISNUMBER(M8)),'金額換算'!$V$6&lt;=0),"無有效匯率",M8*'金額換算'!$V$6)</x:f>
        <x:v>1474226.8197474168</x:v>
      </x:c>
      <x:c r="Q8" s="4" t="str">
        <x:v>TWD/案</x:v>
      </x:c>
      <x:c r="R8" s="4" t="str">
        <x:v>SG03</x:v>
      </x:c>
      <x:c r="S8" s="4" t="str">
        <x:v>https://qanvast.com/sg/articles/how-much-is-a-3-4-and-5-room-hdb-flat-renovation-in-2025-3384</x:v>
      </x:c>
      <x:c r="T8" s="4" t="str">
        <x:v>【預測／示意】Qanvast 2024樣本中位數区間加2–3%；非全國平均；獨立來源1；來源C級；只換上下界，不取中間值；上界帶+者仍開放</x:v>
      </x:c>
      <x:c r="U8" s="4" t="str">
        <x:v>低</x:v>
      </x:c>
    </x:row>
    <x:row r="9" ht="38" customHeight="1">
      <x:c r="A9" s="4" t="str">
        <x:v>SG</x:v>
      </x:c>
      <x:c r="B9" s="4" t="str">
        <x:v>4-room轉售HDB裝修預算（預測）</x:v>
      </x:c>
      <x:c r="C9" s="4" t="n">
        <x:v>2025</x:v>
      </x:c>
      <x:c r="D9" s="4" t="str">
        <x:v>64300–80300</x:v>
      </x:c>
      <x:c r="E9" s="4" t="str">
        <x:v>SGD／案</x:v>
      </x:c>
      <x:c r="F9" s="17" t="n">
        <x:v>64300</x:v>
      </x:c>
      <x:c r="G9" s="17" t="n">
        <x:v>80300</x:v>
      </x:c>
      <x:c r="H9" s="4" t="str">
        <x:v>否</x:v>
      </x:c>
      <x:c r="I9" s="17" t="n">
        <x:v>1</x:v>
      </x:c>
      <x:c r="J9" s="4" t="str">
        <x:v>SGD</x:v>
      </x:c>
      <x:c r="K9" s="35" t="n">
        <x:f>INDEX('金額換算'!$V$6:$V$19,MATCH(J9,'金額換算'!$U$6:$U$19,0))</x:f>
        <x:v>1.3065</x:v>
      </x:c>
      <x:c r="L9" s="36" t="n">
        <x:f>IF(K9&lt;=0,"無有效匯率",F9*I9/K9)</x:f>
        <x:v>49215.461155759665</x:v>
      </x:c>
      <x:c r="M9" s="36" t="n">
        <x:f>IF(K9&lt;=0,"無有效匯率",G9*I9/K9)</x:f>
        <x:v>61461.9211634137</x:v>
      </x:c>
      <x:c r="N9" s="4" t="str">
        <x:v>USD/案</x:v>
      </x:c>
      <x:c r="O9" s="36" t="n">
        <x:f>IF(OR(NOT(ISNUMBER(L9)),'金額換算'!$V$6&lt;=0),"無有效匯率",L9*'金額換算'!$V$6)</x:f>
        <x:v>1533863.8270187525</x:v>
      </x:c>
      <x:c r="P9" s="36" t="n">
        <x:f>IF(OR(NOT(ISNUMBER(M9)),'金額換算'!$V$6&lt;=0),"無有效匯率",M9*'金額換算'!$V$6)</x:f>
        <x:v>1915540.6735553006</x:v>
      </x:c>
      <x:c r="Q9" s="4" t="str">
        <x:v>TWD/案</x:v>
      </x:c>
      <x:c r="R9" s="4" t="str">
        <x:v>SG03</x:v>
      </x:c>
      <x:c r="S9" s="4" t="str">
        <x:v>https://qanvast.com/sg/articles/how-much-is-a-3-4-and-5-room-hdb-flat-renovation-in-2025-3384</x:v>
      </x:c>
      <x:c r="T9" s="4" t="str">
        <x:v>【預測／示意】Qanvast 2024樣本推算2025；獨立來源1；來源C級；只換上下界，不取中間值；上界帶+者仍開放</x:v>
      </x:c>
      <x:c r="U9" s="4" t="str">
        <x:v>低</x:v>
      </x:c>
    </x:row>
    <x:row r="10" ht="38" customHeight="1">
      <x:c r="A10" s="4" t="str">
        <x:v>SG</x:v>
      </x:c>
      <x:c r="B10" s="4" t="str">
        <x:v>5-room轉售HDB裝修預算（預測）</x:v>
      </x:c>
      <x:c r="C10" s="4" t="n">
        <x:v>2025</x:v>
      </x:c>
      <x:c r="D10" s="4" t="str">
        <x:v>84300–97000</x:v>
      </x:c>
      <x:c r="E10" s="4" t="str">
        <x:v>SGD／案</x:v>
      </x:c>
      <x:c r="F10" s="17" t="n">
        <x:v>84300</x:v>
      </x:c>
      <x:c r="G10" s="17" t="n">
        <x:v>97000</x:v>
      </x:c>
      <x:c r="H10" s="4" t="str">
        <x:v>否</x:v>
      </x:c>
      <x:c r="I10" s="17" t="n">
        <x:v>1</x:v>
      </x:c>
      <x:c r="J10" s="4" t="str">
        <x:v>SGD</x:v>
      </x:c>
      <x:c r="K10" s="35" t="n">
        <x:f>INDEX('金額換算'!$V$6:$V$19,MATCH(J10,'金額換算'!$U$6:$U$19,0))</x:f>
        <x:v>1.3065</x:v>
      </x:c>
      <x:c r="L10" s="36" t="n">
        <x:f>IF(K10&lt;=0,"無有效匯率",F10*I10/K10)</x:f>
        <x:v>64523.53616532721</x:v>
      </x:c>
      <x:c r="M10" s="36" t="n">
        <x:f>IF(K10&lt;=0,"無有效匯率",G10*I10/K10)</x:f>
        <x:v>74244.1637964026</x:v>
      </x:c>
      <x:c r="N10" s="4" t="str">
        <x:v>USD/案</x:v>
      </x:c>
      <x:c r="O10" s="36" t="n">
        <x:f>IF(OR(NOT(ISNUMBER(L10)),'金額換算'!$V$6&lt;=0),"無有效匯率",L10*'金額換算'!$V$6)</x:f>
        <x:v>2010959.8851894375</x:v>
      </x:c>
      <x:c r="P10" s="36" t="n">
        <x:f>IF(OR(NOT(ISNUMBER(M10)),'金額換算'!$V$6&lt;=0),"無有效匯率",M10*'金額換算'!$V$6)</x:f>
        <x:v>2313915.8821278224</x:v>
      </x:c>
      <x:c r="Q10" s="4" t="str">
        <x:v>TWD/案</x:v>
      </x:c>
      <x:c r="R10" s="4" t="str">
        <x:v>SG03</x:v>
      </x:c>
      <x:c r="S10" s="4" t="str">
        <x:v>https://qanvast.com/sg/articles/how-much-is-a-3-4-and-5-room-hdb-flat-renovation-in-2025-3384</x:v>
      </x:c>
      <x:c r="T10" s="4" t="str">
        <x:v>【預測／示意】Qanvast 2024樣本推算2025；獨立來源1；來源C級；只換上下界，不取中間值；上界帶+者仍開放</x:v>
      </x:c>
      <x:c r="U10" s="4" t="str">
        <x:v>低</x:v>
      </x:c>
    </x:row>
    <x:row r="11" ht="38" customHeight="1">
      <x:c r="A11" s="4" t="str">
        <x:v>SG</x:v>
      </x:c>
      <x:c r="B11" s="4" t="str">
        <x:v>全用途fit-out市場（預測）</x:v>
      </x:c>
      <x:c r="C11" s="4" t="str">
        <x:v>2024f</x:v>
      </x:c>
      <x:c r="D11" s="4" t="str">
        <x:v>4.2–6.5</x:v>
      </x:c>
      <x:c r="E11" s="4" t="str">
        <x:v>十億SGD</x:v>
      </x:c>
      <x:c r="F11" s="19" t="n">
        <x:v>4.2</x:v>
      </x:c>
      <x:c r="G11" s="19" t="n">
        <x:v>6.5</x:v>
      </x:c>
      <x:c r="H11" s="4" t="str">
        <x:v>否</x:v>
      </x:c>
      <x:c r="I11" s="17" t="n">
        <x:v>1000000000</x:v>
      </x:c>
      <x:c r="J11" s="4" t="str">
        <x:v>SGD</x:v>
      </x:c>
      <x:c r="K11" s="35" t="n">
        <x:f>INDEX('金額換算'!$V$6:$V$19,MATCH(J11,'金額換算'!$U$6:$U$19,0))</x:f>
        <x:v>1.3065</x:v>
      </x:c>
      <x:c r="L11" s="36" t="n">
        <x:f>IF(K11&lt;=0,"無有效匯率",F11*I11/K11)</x:f>
        <x:v>3214695752.009185</x:v>
      </x:c>
      <x:c r="M11" s="36" t="n">
        <x:f>IF(K11&lt;=0,"無有效匯率",G11*I11/K11)</x:f>
        <x:v>4975124378.109453</x:v>
      </x:c>
      <x:c r="N11" s="4" t="str">
        <x:v>USD</x:v>
      </x:c>
      <x:c r="O11" s="36" t="n">
        <x:f>IF(OR(NOT(ISNUMBER(L11)),'金額換算'!$V$6&lt;=0),"無有效匯率",L11*'金額換算'!$V$6)</x:f>
        <x:v>100190172215.84386</x:v>
      </x:c>
      <x:c r="P11" s="36" t="n">
        <x:f>IF(OR(NOT(ISNUMBER(M11)),'金額換算'!$V$6&lt;=0),"無有效匯率",M11*'金額換算'!$V$6)</x:f>
        <x:v>155056218905.47266</x:v>
      </x:c>
      <x:c r="Q11" s="4" t="str">
        <x:v>TWD</x:v>
      </x:c>
      <x:c r="R11" s="4" t="str">
        <x:v>SG07</x:v>
      </x:c>
      <x:c r="S11" s="4" t="str">
        <x:v>https://links.sgx.com/FileOpen/Final%20Offer%20Document_0.ashx?App=IPO&amp;FileID=6584</x:v>
      </x:c>
      <x:c r="T11" s="4" t="str">
        <x:v>【預測／示意】Converging Knowledge，公共／商業／住宅等內裝；非住宅翻修；獨立來源1；來源B級；只換上下界，不取中間值；上界帶+者仍開放</x:v>
      </x:c>
      <x:c r="U11" s="4" t="str">
        <x:v>低</x:v>
      </x:c>
    </x:row>
    <x:row r="12" ht="38" customHeight="1">
      <x:c r="A12" s="4" t="str">
        <x:v>SG</x:v>
      </x:c>
      <x:c r="B12" s="4" t="str">
        <x:v>全用途fit-out市場（預測）</x:v>
      </x:c>
      <x:c r="C12" s="4" t="str">
        <x:v>2027f</x:v>
      </x:c>
      <x:c r="D12" s="4" t="str">
        <x:v>4.8–7.4</x:v>
      </x:c>
      <x:c r="E12" s="4" t="str">
        <x:v>十億SGD</x:v>
      </x:c>
      <x:c r="F12" s="19" t="n">
        <x:v>4.8</x:v>
      </x:c>
      <x:c r="G12" s="19" t="n">
        <x:v>7.4</x:v>
      </x:c>
      <x:c r="H12" s="4" t="str">
        <x:v>否</x:v>
      </x:c>
      <x:c r="I12" s="17" t="n">
        <x:v>1000000000</x:v>
      </x:c>
      <x:c r="J12" s="4" t="str">
        <x:v>SGD</x:v>
      </x:c>
      <x:c r="K12" s="35" t="n">
        <x:f>INDEX('金額換算'!$V$6:$V$19,MATCH(J12,'金額換算'!$U$6:$U$19,0))</x:f>
        <x:v>1.3065</x:v>
      </x:c>
      <x:c r="L12" s="36" t="n">
        <x:f>IF(K12&lt;=0,"無有效匯率",F12*I12/K12)</x:f>
        <x:v>3673938002.2962112</x:v>
      </x:c>
      <x:c r="M12" s="36" t="n">
        <x:f>IF(K12&lt;=0,"無有效匯率",G12*I12/K12)</x:f>
        <x:v>5663987753.539992</x:v>
      </x:c>
      <x:c r="N12" s="4" t="str">
        <x:v>USD</x:v>
      </x:c>
      <x:c r="O12" s="36" t="n">
        <x:f>IF(OR(NOT(ISNUMBER(L12)),'金額換算'!$V$6&lt;=0),"無有效匯率",L12*'金額換算'!$V$6)</x:f>
        <x:v>114503053960.9644</x:v>
      </x:c>
      <x:c r="P12" s="36" t="n">
        <x:f>IF(OR(NOT(ISNUMBER(M12)),'金額換算'!$V$6&lt;=0),"無有效匯率",M12*'金額換算'!$V$6)</x:f>
        <x:v>176525541523.15347</x:v>
      </x:c>
      <x:c r="Q12" s="4" t="str">
        <x:v>TWD</x:v>
      </x:c>
      <x:c r="R12" s="4" t="str">
        <x:v>SG07</x:v>
      </x:c>
      <x:c r="S12" s="4" t="str">
        <x:v>https://links.sgx.com/FileOpen/Final%20Offer%20Document_0.ashx?App=IPO&amp;FileID=6584</x:v>
      </x:c>
      <x:c r="T12" s="4" t="str">
        <x:v>【預測／示意】Converging Knowledge事前預測；勿線性外推2030；獨立來源1；來源B級；只換上下界，不取中間值；上界帶+者仍開放</x:v>
      </x:c>
      <x:c r="U12" s="4" t="str">
        <x:v>低</x:v>
      </x:c>
    </x:row>
    <x:row r="13" ht="66" customHeight="1">
      <x:c r="A13" s="4" t="str">
        <x:v>VN</x:v>
      </x:c>
      <x:c r="B13" s="4" t="str">
        <x:v>Furniture市場估算</x:v>
      </x:c>
      <x:c r="C13" s="4" t="n">
        <x:v>2025</x:v>
      </x:c>
      <x:c r="D13" s="4" t="str">
        <x:v>9.62–9.76</x:v>
      </x:c>
      <x:c r="E13" s="4" t="str">
        <x:v>十億USD</x:v>
      </x:c>
      <x:c r="F13" s="18" t="n">
        <x:v>9.62</x:v>
      </x:c>
      <x:c r="G13" s="18" t="n">
        <x:v>9.76</x:v>
      </x:c>
      <x:c r="H13" s="4" t="str">
        <x:v>否</x:v>
      </x:c>
      <x:c r="I13" s="17" t="n">
        <x:v>1000000000</x:v>
      </x:c>
      <x:c r="J13" s="4" t="str">
        <x:v>USD</x:v>
      </x:c>
      <x:c r="K13" s="17" t="n">
        <x:f>INDEX('金額換算'!$V$6:$V$19,MATCH(J13,'金額換算'!$U$6:$U$19,0))</x:f>
        <x:v>1</x:v>
      </x:c>
      <x:c r="L13" s="36" t="n">
        <x:f>IF(K13&lt;=0,"無有效匯率",F13*I13/K13)</x:f>
        <x:v>9620000000</x:v>
      </x:c>
      <x:c r="M13" s="36" t="n">
        <x:f>IF(K13&lt;=0,"無有效匯率",G13*I13/K13)</x:f>
        <x:v>9760000000</x:v>
      </x:c>
      <x:c r="N13" s="4" t="str">
        <x:v>USD</x:v>
      </x:c>
      <x:c r="O13" s="36" t="n">
        <x:f>IF(OR(NOT(ISNUMBER(L13)),'金額換算'!$V$6&lt;=0),"無有效匯率",L13*'金額換算'!$V$6)</x:f>
        <x:v>299819806000</x:v>
      </x:c>
      <x:c r="P13" s="36" t="n">
        <x:f>IF(OR(NOT(ISNUMBER(M13)),'金額換算'!$V$6&lt;=0),"無有效匯率",M13*'金額換算'!$V$6)</x:f>
        <x:v>304183088000</x:v>
      </x:c>
      <x:c r="Q13" s="4" t="str">
        <x:v>TWD</x:v>
      </x:c>
      <x:c r="R13" s="4" t="str">
        <x:v>VN13</x:v>
      </x:c>
      <x:c r="S13" s="4" t="str">
        <x:v>https://www.mordorintelligence.com/industry-reports/vietnam-furniture-market</x:v>
      </x:c>
      <x:c r="T13" s="4" t="str">
        <x:v>【示意】含越南境內家具設計製造與內外銷；同頁2025年基期存在9.76與9.62版本差，仅保留區間示意，非雙源驗證；獨立來源1；來源C級；查核限制：L8：2025 USD9.76bn；L281、345 含國內家具設計製造、內外銷，非純內需；方法比較 L350 另列 USD9.62bn。；同頁9.76／9.62十億美元並列區間，不平均；只換上下界，不取中間值；上界帶+者仍開放</x:v>
      </x:c>
      <x:c r="U13" s="4" t="str">
        <x:v>低</x:v>
      </x:c>
    </x:row>
    <x:row r="14" ht="38" customHeight="1">
      <x:c r="A14" s="4" t="str">
        <x:v>MY</x:v>
      </x:c>
      <x:c r="B14" s="4" t="str">
        <x:v>Qanvast基本住宅裝修平台參考價</x:v>
      </x:c>
      <x:c r="C14" s="4" t="str">
        <x:v>2026查閱</x:v>
      </x:c>
      <x:c r="D14" s="4" t="str">
        <x:v>20–40</x:v>
      </x:c>
      <x:c r="E14" s="4" t="str">
        <x:v>MYR/平方英尺</x:v>
      </x:c>
      <x:c r="F14" s="17" t="n">
        <x:v>20</x:v>
      </x:c>
      <x:c r="G14" s="17" t="n">
        <x:v>40</x:v>
      </x:c>
      <x:c r="H14" s="4" t="str">
        <x:v>否</x:v>
      </x:c>
      <x:c r="I14" s="17" t="n">
        <x:v>1</x:v>
      </x:c>
      <x:c r="J14" s="4" t="str">
        <x:v>MYR</x:v>
      </x:c>
      <x:c r="K14" s="35" t="n">
        <x:f>INDEX('金額換算'!$V$6:$V$19,MATCH(J14,'金額換算'!$U$6:$U$19,0))</x:f>
        <x:v>4.2809</x:v>
      </x:c>
      <x:c r="L14" s="36" t="n">
        <x:f>IF(K14&lt;=0,"無有效匯率",F14*I14/K14)</x:f>
        <x:v>4.6719147842743345</x:v>
      </x:c>
      <x:c r="M14" s="36" t="n">
        <x:f>IF(K14&lt;=0,"無有效匯率",G14*I14/K14)</x:f>
        <x:v>9.343829568548669</x:v>
      </x:c>
      <x:c r="N14" s="4" t="str">
        <x:v>USD/平方英尺</x:v>
      </x:c>
      <x:c r="O14" s="36" t="n">
        <x:f>IF(OR(NOT(ISNUMBER(L14)),'金額換算'!$V$6&lt;=0),"無有效匯率",L14*'金額換算'!$V$6)</x:f>
        <x:v>145.6062977411292</x:v>
      </x:c>
      <x:c r="P14" s="36" t="n">
        <x:f>IF(OR(NOT(ISNUMBER(M14)),'金額換算'!$V$6&lt;=0),"無有效匯率",M14*'金額換算'!$V$6)</x:f>
        <x:v>291.2125954822584</x:v>
      </x:c>
      <x:c r="Q14" s="4" t="str">
        <x:v>TWD/平方英尺</x:v>
      </x:c>
      <x:c r="R14" s="4" t="str">
        <x:v>MY10</x:v>
      </x:c>
      <x:c r="S14" s="4" t="str">
        <x:v>https://qanvast.com/my/interior-designers</x:v>
      </x:c>
      <x:c r="T14" s="4" t="str">
        <x:v>【示意】平台FAQ範圍；樣本、面積、税項未披露；非全國基本級調查；獨立來源1；來源C級；只換上下界，不取中間值；上界帶+者仍開放</x:v>
      </x:c>
      <x:c r="U14" s="4" t="str">
        <x:v>低</x:v>
      </x:c>
    </x:row>
    <x:row r="15" ht="38" customHeight="1">
      <x:c r="A15" s="4" t="str">
        <x:v>MY</x:v>
      </x:c>
      <x:c r="B15" s="4" t="str">
        <x:v>Qanvast中階住宅裝修平台參考價</x:v>
      </x:c>
      <x:c r="C15" s="4" t="str">
        <x:v>2026查閱</x:v>
      </x:c>
      <x:c r="D15" s="4" t="str">
        <x:v>40–70</x:v>
      </x:c>
      <x:c r="E15" s="4" t="str">
        <x:v>MYR/平方英尺</x:v>
      </x:c>
      <x:c r="F15" s="17" t="n">
        <x:v>40</x:v>
      </x:c>
      <x:c r="G15" s="17" t="n">
        <x:v>70</x:v>
      </x:c>
      <x:c r="H15" s="4" t="str">
        <x:v>否</x:v>
      </x:c>
      <x:c r="I15" s="17" t="n">
        <x:v>1</x:v>
      </x:c>
      <x:c r="J15" s="4" t="str">
        <x:v>MYR</x:v>
      </x:c>
      <x:c r="K15" s="35" t="n">
        <x:f>INDEX('金額換算'!$V$6:$V$19,MATCH(J15,'金額換算'!$U$6:$U$19,0))</x:f>
        <x:v>4.2809</x:v>
      </x:c>
      <x:c r="L15" s="36" t="n">
        <x:f>IF(K15&lt;=0,"無有效匯率",F15*I15/K15)</x:f>
        <x:v>9.343829568548669</x:v>
      </x:c>
      <x:c r="M15" s="36" t="n">
        <x:f>IF(K15&lt;=0,"無有效匯率",G15*I15/K15)</x:f>
        <x:v>16.351701744960174</x:v>
      </x:c>
      <x:c r="N15" s="4" t="str">
        <x:v>USD/平方英尺</x:v>
      </x:c>
      <x:c r="O15" s="36" t="n">
        <x:f>IF(OR(NOT(ISNUMBER(L15)),'金額換算'!$V$6&lt;=0),"無有效匯率",L15*'金額換算'!$V$6)</x:f>
        <x:v>291.2125954822584</x:v>
      </x:c>
      <x:c r="P15" s="36" t="n">
        <x:f>IF(OR(NOT(ISNUMBER(M15)),'金額換算'!$V$6&lt;=0),"無有效匯率",M15*'金額換算'!$V$6)</x:f>
        <x:v>509.62204209395225</x:v>
      </x:c>
      <x:c r="Q15" s="4" t="str">
        <x:v>TWD/平方英尺</x:v>
      </x:c>
      <x:c r="R15" s="4" t="str">
        <x:v>MY10</x:v>
      </x:c>
      <x:c r="S15" s="4" t="str">
        <x:v>https://qanvast.com/my/interior-designers</x:v>
      </x:c>
      <x:c r="T15" s="4" t="str">
        <x:v>【示意】平台FAQ範圍；非同規格全國中階行情；獨立來源1；來源C級；只換上下界，不取中間值；上界帶+者仍開放</x:v>
      </x:c>
      <x:c r="U15" s="4" t="str">
        <x:v>低</x:v>
      </x:c>
    </x:row>
    <x:row r="16" ht="38" customHeight="1">
      <x:c r="A16" s="4" t="str">
        <x:v>MY</x:v>
      </x:c>
      <x:c r="B16" s="4" t="str">
        <x:v>Qanvast高階住宅裝修平台參考價</x:v>
      </x:c>
      <x:c r="C16" s="4" t="str">
        <x:v>2026查閱</x:v>
      </x:c>
      <x:c r="D16" s="4" t="str">
        <x:v>70–150+</x:v>
      </x:c>
      <x:c r="E16" s="4" t="str">
        <x:v>MYR/平方英尺</x:v>
      </x:c>
      <x:c r="F16" s="17" t="n">
        <x:v>70</x:v>
      </x:c>
      <x:c r="G16" s="17" t="n">
        <x:v>150</x:v>
      </x:c>
      <x:c r="H16" s="4" t="str">
        <x:v>是</x:v>
      </x:c>
      <x:c r="I16" s="17" t="n">
        <x:v>1</x:v>
      </x:c>
      <x:c r="J16" s="4" t="str">
        <x:v>MYR</x:v>
      </x:c>
      <x:c r="K16" s="35" t="n">
        <x:f>INDEX('金額換算'!$V$6:$V$19,MATCH(J16,'金額換算'!$U$6:$U$19,0))</x:f>
        <x:v>4.2809</x:v>
      </x:c>
      <x:c r="L16" s="36" t="n">
        <x:f>IF(K16&lt;=0,"無有效匯率",F16*I16/K16)</x:f>
        <x:v>16.351701744960174</x:v>
      </x:c>
      <x:c r="M16" s="36" t="n">
        <x:f>IF(K16&lt;=0,"無有效匯率",G16*I16/K16)</x:f>
        <x:v>35.039360882057515</x:v>
      </x:c>
      <x:c r="N16" s="4" t="str">
        <x:v>USD/平方英尺</x:v>
      </x:c>
      <x:c r="O16" s="36" t="n">
        <x:f>IF(OR(NOT(ISNUMBER(L16)),'金額換算'!$V$6&lt;=0),"無有效匯率",L16*'金額換算'!$V$6)</x:f>
        <x:v>509.62204209395225</x:v>
      </x:c>
      <x:c r="P16" s="36" t="n">
        <x:f>IF(OR(NOT(ISNUMBER(M16)),'金額換算'!$V$6&lt;=0),"無有效匯率",M16*'金額換算'!$V$6)</x:f>
        <x:v>1092.0472330584691</x:v>
      </x:c>
      <x:c r="Q16" s="4" t="str">
        <x:v>TWD/平方英尺</x:v>
      </x:c>
      <x:c r="R16" s="4" t="str">
        <x:v>MY10</x:v>
      </x:c>
      <x:c r="S16" s="4" t="str">
        <x:v>https://qanvast.com/my/interior-designers</x:v>
      </x:c>
      <x:c r="T16" s="4" t="str">
        <x:v>【示意】平台FAQ高階飾面；上端另有+，不能當封頂價；獨立來源1；來源C級；只換上下界，不取中間值；上界帶+者仍開放</x:v>
      </x:c>
      <x:c r="U16" s="4" t="str">
        <x:v>低</x:v>
      </x:c>
    </x:row>
  </x:sheetData>
  <x:conditionalFormatting sqref="H6:H16">
    <x:cfRule type="containsText" dxfId="1" priority="1" operator="containsText" text="是"/>
  </x:conditionalFormatting>
  <x:pageMargins left="0.7" right="0.7" top="0.75" bottom="0.75" header="0.3" footer="0.3"/>
  <x:tableParts count="1">
    <x:tablePart xmlns:r="http://schemas.openxmlformats.org/officeDocument/2006/relationships" r:id="R136065bccd064a9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1.670000076293945" hidden="0" customWidth="1"/>
    <x:col min="2" max="2" width="7.78000020980835" hidden="0" customWidth="1"/>
    <x:col min="3" max="3" width="31.670000076293945" hidden="0" customWidth="1"/>
    <x:col min="4" max="4" width="18.329999923706055" hidden="0" customWidth="1"/>
    <x:col min="5" max="5" width="15.5600004196167" hidden="0" customWidth="1"/>
    <x:col min="6" max="6" width="17.219999313354492" hidden="0" customWidth="1"/>
    <x:col min="7" max="7" width="46.66999816894531" hidden="0" customWidth="1"/>
    <x:col min="8" max="8" width="12.220000267028809" hidden="0" customWidth="1"/>
    <x:col min="9" max="9" width="44.439998626708984" hidden="0" customWidth="1"/>
    <x:col min="10" max="10" width="11.109999656677246" hidden="0" customWidth="1"/>
    <x:col min="11" max="11" width="11.109999656677246" hidden="0" customWidth="1"/>
    <x:col min="12" max="12" width="11.109999656677246" hidden="0" customWidth="1"/>
    <x:col min="13" max="13" width="11.109999656677246" hidden="0" customWidth="1"/>
    <x:col min="14" max="14" width="11.670000076293945" hidden="0" customWidth="1"/>
    <x:col min="15" max="15" width="10" hidden="0" customWidth="1"/>
    <x:col min="16" max="16" width="9.4399995803833" hidden="0" customWidth="1"/>
    <x:col min="17" max="17" width="18.889999389648438" hidden="0" customWidth="1"/>
    <x:col min="18" max="18" width="18.329999923706055" hidden="0" customWidth="1"/>
    <x:col min="19" max="19" width="55.560001373291016" hidden="0" customWidth="1"/>
    <x:col min="20" max="20" width="15" hidden="0" customWidth="1"/>
    <x:col min="21" max="21" width="12.220000267028809" hidden="0" customWidth="1"/>
    <x:col min="22" max="22" width="9.4399995803833" hidden="0" customWidth="1"/>
    <x:col min="23" max="23" width="55.560001373291016" hidden="0" customWidth="1"/>
    <x:col min="24" max="24" width="47.779998779296875" hidden="0" customWidth="1"/>
    <x:col min="25" max="25" width="12.779999732971191" hidden="0" customWidth="1"/>
    <x:col min="26" max="26" width="24.440000534057617" hidden="0" customWidth="1"/>
  </x:cols>
  <x:sheetData>
    <x:row r="1" ht="32" customHeight="1">
      <x:c r="A1" s="10" t="str">
        <x:v>紀錄 ID</x:v>
      </x:c>
      <x:c r="B1" s="11" t="str">
        <x:v>市場</x:v>
      </x:c>
      <x:c r="C1" s="11" t="str">
        <x:v>指標</x:v>
      </x:c>
      <x:c r="D1" s="11" t="str">
        <x:v>原值</x:v>
      </x:c>
      <x:c r="E1" s="11" t="str">
        <x:v>原單位</x:v>
      </x:c>
      <x:c r="F1" s="11" t="str">
        <x:v>原年份</x:v>
      </x:c>
      <x:c r="G1" s="11" t="str">
        <x:v>原定義</x:v>
      </x:c>
      <x:c r="H1" s="11" t="str">
        <x:v>原來源編號</x:v>
      </x:c>
      <x:c r="I1" s="11" t="str">
        <x:v>來源 URL</x:v>
      </x:c>
      <x:c r="J1" s="11" t="str">
        <x:v>URL 可讀</x:v>
      </x:c>
      <x:c r="K1" s="11" t="str">
        <x:v>數字相符</x:v>
      </x:c>
      <x:c r="L1" s="11" t="str">
        <x:v>年份相符</x:v>
      </x:c>
      <x:c r="M1" s="11" t="str">
        <x:v>定義相符</x:v>
      </x:c>
      <x:c r="N1" s="11" t="str">
        <x:v>查核判定</x:v>
      </x:c>
      <x:c r="O1" s="11" t="str">
        <x:v>來源分級</x:v>
      </x:c>
      <x:c r="P1" s="11" t="str">
        <x:v>採用</x:v>
      </x:c>
      <x:c r="Q1" s="11" t="str">
        <x:v>採用／更正值</x:v>
      </x:c>
      <x:c r="R1" s="11" t="str">
        <x:v>採用／更正年</x:v>
      </x:c>
      <x:c r="S1" s="11" t="str">
        <x:v>採用／更正定義</x:v>
      </x:c>
      <x:c r="T1" s="11" t="str">
        <x:v>整合標籤</x:v>
      </x:c>
      <x:c r="U1" s="11" t="str">
        <x:v>獨立來源數</x:v>
      </x:c>
      <x:c r="V1" s="11" t="str">
        <x:v>信心</x:v>
      </x:c>
      <x:c r="W1" s="11" t="str">
        <x:v>核對證據</x:v>
      </x:c>
      <x:c r="X1" s="11" t="str">
        <x:v>查核備註</x:v>
      </x:c>
      <x:c r="Y1" s="11" t="str">
        <x:v>查核日期</x:v>
      </x:c>
      <x:c r="Z1" s="12" t="str">
        <x:v>證據定位</x:v>
      </x:c>
    </x:row>
    <x:row r="2" ht="30" customHeight="1">
      <x:c r="A2" s="4" t="str">
        <x:v>M0001</x:v>
      </x:c>
      <x:c r="B2" s="4" t="str">
        <x:v>TW</x:v>
      </x:c>
      <x:c r="C2" s="4" t="str">
        <x:v>名目人均GDP</x:v>
      </x:c>
      <x:c r="D2" s="17" t="n">
        <x:v>39492</x:v>
      </x:c>
      <x:c r="E2" s="4" t="str">
        <x:v>USD/人</x:v>
      </x:c>
      <x:c r="F2" s="16" t="n">
        <x:v>2025</x:v>
      </x:c>
      <x:c r="G2" s="4" t="str">
        <x:v>2026-02-13初步統計；後續可能修訂</x:v>
      </x:c>
      <x:c r="H2" s="4" t="str">
        <x:v>TW01</x:v>
      </x:c>
      <x:c r="I2" s="4" t="str">
        <x:v>https://www.dgbas.gov.tw/News_Content.aspx?n=3602&amp;s=235719</x:v>
      </x:c>
      <x:c r="J2" s="4" t="str">
        <x:v>是</x:v>
      </x:c>
      <x:c r="K2" s="4" t="str">
        <x:v>是</x:v>
      </x:c>
      <x:c r="L2" s="4" t="str">
        <x:v>是</x:v>
      </x:c>
      <x:c r="M2" s="4" t="str">
        <x:v>是</x:v>
      </x:c>
      <x:c r="N2" s="4" t="str">
        <x:v>pass</x:v>
      </x:c>
      <x:c r="O2" s="4" t="str">
        <x:v>A</x:v>
      </x:c>
      <x:c r="P2" s="4" t="str">
        <x:v>是</x:v>
      </x:c>
      <x:c r="Q2" s="17" t="n">
        <x:v>39492</x:v>
      </x:c>
      <x:c r="R2" s="16" t="n">
        <x:v>2025</x:v>
      </x:c>
      <x:c r="S2" s="4" t="str">
        <x:v>【示意】2026-02-13初步統計；後續可能修訂；獨立來源1；來源A級</x:v>
      </x:c>
      <x:c r="T2" s="4" t="str">
        <x:v>示意</x:v>
      </x:c>
      <x:c r="U2" s="16" t="n">
        <x:v>1</x:v>
      </x:c>
      <x:c r="V2" s="4" t="str">
        <x:v>低</x:v>
      </x:c>
      <x:c r="W2" s="4" t="str">
        <x:v>L261–292：2025全年每人GDP 39,492美元，2026-02-13發布，初步統計。</x:v>
      </x:c>
      <x:c r="X2" s="4" t="str">
        <x:v>依整合協議：單一獨立機構，confidence改為低；來源品質與三角驗證分開。</x:v>
      </x:c>
      <x:c r="Y2" s="37" t="d">
        <x:v>2026-10-09T00:00:00.000Z</x:v>
      </x:c>
      <x:c r="Z2" s="4" t="str">
        <x:v>turn160view0</x:v>
      </x:c>
    </x:row>
    <x:row r="3" ht="30" customHeight="1">
      <x:c r="A3" s="4" t="str">
        <x:v>M0002</x:v>
      </x:c>
      <x:c r="B3" s="4" t="str">
        <x:v>TW</x:v>
      </x:c>
      <x:c r="C3" s="4" t="str">
        <x:v>年末戶籍人口</x:v>
      </x:c>
      <x:c r="D3" s="17" t="n">
        <x:v>23299132</x:v>
      </x:c>
      <x:c r="E3" s="4" t="str">
        <x:v>人</x:v>
      </x:c>
      <x:c r="F3" s="16" t="n">
        <x:v>2025</x:v>
      </x:c>
      <x:c r="G3" s="4" t="str">
        <x:v>年末戶籍登記，不等同WB年中常住人口</x:v>
      </x:c>
      <x:c r="H3" s="4" t="str">
        <x:v>TW02</x:v>
      </x:c>
      <x:c r="I3" s="4" t="str">
        <x:v>https://www.moi.gov.tw/News_Content.aspx?n=2&amp;s=335870&amp;sms=9009</x:v>
      </x:c>
      <x:c r="J3" s="4" t="str">
        <x:v>是</x:v>
      </x:c>
      <x:c r="K3" s="4" t="str">
        <x:v>是</x:v>
      </x:c>
      <x:c r="L3" s="4" t="str">
        <x:v>是</x:v>
      </x:c>
      <x:c r="M3" s="4" t="str">
        <x:v>是</x:v>
      </x:c>
      <x:c r="N3" s="4" t="str">
        <x:v>pass</x:v>
      </x:c>
      <x:c r="O3" s="4" t="str">
        <x:v>A</x:v>
      </x:c>
      <x:c r="P3" s="4" t="str">
        <x:v>是</x:v>
      </x:c>
      <x:c r="Q3" s="17" t="n">
        <x:v>23299132</x:v>
      </x:c>
      <x:c r="R3" s="16" t="n">
        <x:v>2025</x:v>
      </x:c>
      <x:c r="S3" s="4" t="str">
        <x:v>【示意】年末戶籍登記，不等同WB年中常住人口；獨立來源1；來源A級</x:v>
      </x:c>
      <x:c r="T3" s="4" t="str">
        <x:v>示意</x:v>
      </x:c>
      <x:c r="U3" s="16" t="n">
        <x:v>1</x:v>
      </x:c>
      <x:c r="V3" s="4" t="str">
        <x:v>低</x:v>
      </x:c>
      <x:c r="W3" s="4" t="str">
        <x:v>L248–262：2025年12月底戶數9,851,532、人口23,299,132、戶量2.37、65歲以上20.06%。</x:v>
      </x:c>
      <x:c r="X3" s="4" t="str">
        <x:v>依整合協議：單一獨立機構，confidence改為低；來源品質與三角驗證分開。</x:v>
      </x:c>
      <x:c r="Y3" s="37" t="d">
        <x:v>2026-10-09T00:00:00.000Z</x:v>
      </x:c>
      <x:c r="Z3" s="4" t="str">
        <x:v>turn162view0;turn163view0</x:v>
      </x:c>
    </x:row>
    <x:row r="4" ht="30" customHeight="1">
      <x:c r="A4" s="4" t="str">
        <x:v>M0003</x:v>
      </x:c>
      <x:c r="B4" s="4" t="str">
        <x:v>TW</x:v>
      </x:c>
      <x:c r="C4" s="4" t="str">
        <x:v>年末戶數</x:v>
      </x:c>
      <x:c r="D4" s="17" t="n">
        <x:v>9851532</x:v>
      </x:c>
      <x:c r="E4" s="4" t="str">
        <x:v>戶</x:v>
      </x:c>
      <x:c r="F4" s="16" t="n">
        <x:v>2025</x:v>
      </x:c>
      <x:c r="G4" s="4" t="str">
        <x:v>戶籍戶數，不等同住宅套數</x:v>
      </x:c>
      <x:c r="H4" s="4" t="str">
        <x:v>TW02</x:v>
      </x:c>
      <x:c r="I4" s="4" t="str">
        <x:v>https://www.moi.gov.tw/News_Content.aspx?n=2&amp;s=335870&amp;sms=9009</x:v>
      </x:c>
      <x:c r="J4" s="4" t="str">
        <x:v>是</x:v>
      </x:c>
      <x:c r="K4" s="4" t="str">
        <x:v>是</x:v>
      </x:c>
      <x:c r="L4" s="4" t="str">
        <x:v>是</x:v>
      </x:c>
      <x:c r="M4" s="4" t="str">
        <x:v>是</x:v>
      </x:c>
      <x:c r="N4" s="4" t="str">
        <x:v>pass</x:v>
      </x:c>
      <x:c r="O4" s="4" t="str">
        <x:v>A</x:v>
      </x:c>
      <x:c r="P4" s="4" t="str">
        <x:v>是</x:v>
      </x:c>
      <x:c r="Q4" s="17" t="n">
        <x:v>9851532</x:v>
      </x:c>
      <x:c r="R4" s="16" t="n">
        <x:v>2025</x:v>
      </x:c>
      <x:c r="S4" s="4" t="str">
        <x:v>【示意】戶籍戶數，不等同住宅套數；獨立來源1；來源A級</x:v>
      </x:c>
      <x:c r="T4" s="4" t="str">
        <x:v>示意</x:v>
      </x:c>
      <x:c r="U4" s="16" t="n">
        <x:v>1</x:v>
      </x:c>
      <x:c r="V4" s="4" t="str">
        <x:v>低</x:v>
      </x:c>
      <x:c r="W4" s="4" t="str">
        <x:v>L248–262：2025年12月底戶數9,851,532、人口23,299,132、戶量2.37、65歲以上20.06%。</x:v>
      </x:c>
      <x:c r="X4" s="4" t="str">
        <x:v>依整合協議：單一獨立機構，confidence改為低；來源品質與三角驗證分開。</x:v>
      </x:c>
      <x:c r="Y4" s="37" t="d">
        <x:v>2026-10-09T00:00:00.000Z</x:v>
      </x:c>
      <x:c r="Z4" s="4" t="str">
        <x:v>turn162view0;turn163view0</x:v>
      </x:c>
    </x:row>
    <x:row r="5" ht="30" customHeight="1">
      <x:c r="A5" s="4" t="str">
        <x:v>M0004</x:v>
      </x:c>
      <x:c r="B5" s="4" t="str">
        <x:v>TW</x:v>
      </x:c>
      <x:c r="C5" s="4" t="str">
        <x:v>65歲以上人口占比</x:v>
      </x:c>
      <x:c r="D5" s="18" t="n">
        <x:v>20.06</x:v>
      </x:c>
      <x:c r="E5" s="4" t="str">
        <x:v>%</x:v>
      </x:c>
      <x:c r="F5" s="16" t="n">
        <x:v>2025</x:v>
      </x:c>
      <x:c r="G5" s="4" t="str">
        <x:v>戶籍登記年末</x:v>
      </x:c>
      <x:c r="H5" s="4" t="str">
        <x:v>TW02</x:v>
      </x:c>
      <x:c r="I5" s="4" t="str">
        <x:v>https://www.moi.gov.tw/News_Content.aspx?n=2&amp;s=335870&amp;sms=9009</x:v>
      </x:c>
      <x:c r="J5" s="4" t="str">
        <x:v>是</x:v>
      </x:c>
      <x:c r="K5" s="4" t="str">
        <x:v>是</x:v>
      </x:c>
      <x:c r="L5" s="4" t="str">
        <x:v>是</x:v>
      </x:c>
      <x:c r="M5" s="4" t="str">
        <x:v>是</x:v>
      </x:c>
      <x:c r="N5" s="4" t="str">
        <x:v>pass</x:v>
      </x:c>
      <x:c r="O5" s="4" t="str">
        <x:v>A</x:v>
      </x:c>
      <x:c r="P5" s="4" t="str">
        <x:v>是</x:v>
      </x:c>
      <x:c r="Q5" s="18" t="n">
        <x:v>20.06</x:v>
      </x:c>
      <x:c r="R5" s="16" t="n">
        <x:v>2025</x:v>
      </x:c>
      <x:c r="S5" s="4" t="str">
        <x:v>【示意】戶籍登記年末；獨立來源1；來源A級</x:v>
      </x:c>
      <x:c r="T5" s="4" t="str">
        <x:v>示意</x:v>
      </x:c>
      <x:c r="U5" s="16" t="n">
        <x:v>1</x:v>
      </x:c>
      <x:c r="V5" s="4" t="str">
        <x:v>低</x:v>
      </x:c>
      <x:c r="W5" s="4" t="str">
        <x:v>L248–262：2025年12月底戶數9,851,532、人口23,299,132、戶量2.37、65歲以上20.06%。</x:v>
      </x:c>
      <x:c r="X5" s="4" t="str">
        <x:v>依整合協議：單一獨立機構，confidence改為低；來源品質與三角驗證分開。</x:v>
      </x:c>
      <x:c r="Y5" s="37" t="d">
        <x:v>2026-10-09T00:00:00.000Z</x:v>
      </x:c>
      <x:c r="Z5" s="4" t="str">
        <x:v>turn162view0;turn163view0</x:v>
      </x:c>
    </x:row>
    <x:row r="6" ht="30" customHeight="1">
      <x:c r="A6" s="4" t="str">
        <x:v>M0005</x:v>
      </x:c>
      <x:c r="B6" s="4" t="str">
        <x:v>TW</x:v>
      </x:c>
      <x:c r="C6" s="4" t="str">
        <x:v>平均每戶人口</x:v>
      </x:c>
      <x:c r="D6" s="18" t="n">
        <x:v>2.37</x:v>
      </x:c>
      <x:c r="E6" s="4" t="str">
        <x:v>人/戶</x:v>
      </x:c>
      <x:c r="F6" s="16" t="n">
        <x:v>2025</x:v>
      </x:c>
      <x:c r="G6" s="4" t="str">
        <x:v>戶籍戶量</x:v>
      </x:c>
      <x:c r="H6" s="4" t="str">
        <x:v>TW02</x:v>
      </x:c>
      <x:c r="I6" s="4" t="str">
        <x:v>https://www.moi.gov.tw/News_Content.aspx?n=2&amp;s=335870&amp;sms=9009</x:v>
      </x:c>
      <x:c r="J6" s="4" t="str">
        <x:v>是</x:v>
      </x:c>
      <x:c r="K6" s="4" t="str">
        <x:v>是</x:v>
      </x:c>
      <x:c r="L6" s="4" t="str">
        <x:v>是</x:v>
      </x:c>
      <x:c r="M6" s="4" t="str">
        <x:v>是</x:v>
      </x:c>
      <x:c r="N6" s="4" t="str">
        <x:v>pass</x:v>
      </x:c>
      <x:c r="O6" s="4" t="str">
        <x:v>A</x:v>
      </x:c>
      <x:c r="P6" s="4" t="str">
        <x:v>是</x:v>
      </x:c>
      <x:c r="Q6" s="18" t="n">
        <x:v>2.37</x:v>
      </x:c>
      <x:c r="R6" s="16" t="n">
        <x:v>2025</x:v>
      </x:c>
      <x:c r="S6" s="4" t="str">
        <x:v>【示意】戶籍戶量；獨立來源1；來源A級</x:v>
      </x:c>
      <x:c r="T6" s="4" t="str">
        <x:v>示意</x:v>
      </x:c>
      <x:c r="U6" s="16" t="n">
        <x:v>1</x:v>
      </x:c>
      <x:c r="V6" s="4" t="str">
        <x:v>低</x:v>
      </x:c>
      <x:c r="W6" s="4" t="str">
        <x:v>L248–262：2025年12月底戶數9,851,532、人口23,299,132、戶量2.37、65歲以上20.06%。</x:v>
      </x:c>
      <x:c r="X6" s="4" t="str">
        <x:v>依整合協議：單一獨立機構，confidence改為低；來源品質與三角驗證分開。</x:v>
      </x:c>
      <x:c r="Y6" s="37" t="d">
        <x:v>2026-10-09T00:00:00.000Z</x:v>
      </x:c>
      <x:c r="Z6" s="4" t="str">
        <x:v>turn162view0;turn163view0</x:v>
      </x:c>
    </x:row>
    <x:row r="7" ht="30" customHeight="1">
      <x:c r="A7" s="4" t="str">
        <x:v>M0006</x:v>
      </x:c>
      <x:c r="B7" s="4" t="str">
        <x:v>TW</x:v>
      </x:c>
      <x:c r="C7" s="4" t="str">
        <x:v>建物第一次登記</x:v>
      </x:c>
      <x:c r="D7" s="17" t="n">
        <x:v>176690</x:v>
      </x:c>
      <x:c r="E7" s="4" t="str">
        <x:v>棟</x:v>
      </x:c>
      <x:c r="F7" s="16" t="n">
        <x:v>2025</x:v>
      </x:c>
      <x:c r="G7" s="4" t="str">
        <x:v>全建物第一次登記；不是住宅完工戶數</x:v>
      </x:c>
      <x:c r="H7" s="4" t="str">
        <x:v>TW03</x:v>
      </x:c>
      <x:c r="I7" s="4" t="str">
        <x:v>https://www.moi.gov.tw/News_Content.aspx?n=2&amp;s=339138</x:v>
      </x:c>
      <x:c r="J7" s="4" t="str">
        <x:v>是</x:v>
      </x:c>
      <x:c r="K7" s="4" t="str">
        <x:v>是</x:v>
      </x:c>
      <x:c r="L7" s="4" t="str">
        <x:v>是</x:v>
      </x:c>
      <x:c r="M7" s="4" t="str">
        <x:v>是</x:v>
      </x:c>
      <x:c r="N7" s="4" t="str">
        <x:v>pass</x:v>
      </x:c>
      <x:c r="O7" s="4" t="str">
        <x:v>A</x:v>
      </x:c>
      <x:c r="P7" s="4" t="str">
        <x:v>是</x:v>
      </x:c>
      <x:c r="Q7" s="17" t="n">
        <x:v>176690</x:v>
      </x:c>
      <x:c r="R7" s="16" t="n">
        <x:v>2025</x:v>
      </x:c>
      <x:c r="S7" s="4" t="str">
        <x:v>【示意】全建物第一次登記；不是住宅完工戶數；獨立來源1；來源A級</x:v>
      </x:c>
      <x:c r="T7" s="4" t="str">
        <x:v>示意</x:v>
      </x:c>
      <x:c r="U7" s="16" t="n">
        <x:v>1</x:v>
      </x:c>
      <x:c r="V7" s="4" t="str">
        <x:v>低</x:v>
      </x:c>
      <x:c r="W7" s="4" t="str">
        <x:v>L245–251：2025第一次登記176,690棟；買賣261,308棟、年減25.5%；繼承78,324棟。</x:v>
      </x:c>
      <x:c r="X7" s="4" t="str">
        <x:v>依整合協議：單一獨立機構，confidence改為低；來源品質與三角驗證分開。</x:v>
      </x:c>
      <x:c r="Y7" s="37" t="d">
        <x:v>2026-10-09T00:00:00.000Z</x:v>
      </x:c>
      <x:c r="Z7" s="4" t="str">
        <x:v>turn162view1</x:v>
      </x:c>
    </x:row>
    <x:row r="8" ht="30" customHeight="1">
      <x:c r="A8" s="4" t="str">
        <x:v>M0007</x:v>
      </x:c>
      <x:c r="B8" s="4" t="str">
        <x:v>TW</x:v>
      </x:c>
      <x:c r="C8" s="4" t="str">
        <x:v>建物買賣登記</x:v>
      </x:c>
      <x:c r="D8" s="17" t="n">
        <x:v>261308</x:v>
      </x:c>
      <x:c r="E8" s="4" t="str">
        <x:v>棟</x:v>
      </x:c>
      <x:c r="F8" s="16" t="n">
        <x:v>2025</x:v>
      </x:c>
      <x:c r="G8" s="4" t="str">
        <x:v>全建物含新舊；不是中古住宅交易</x:v>
      </x:c>
      <x:c r="H8" s="4" t="str">
        <x:v>TW03</x:v>
      </x:c>
      <x:c r="I8" s="4" t="str">
        <x:v>https://www.moi.gov.tw/News_Content.aspx?n=2&amp;s=339138</x:v>
      </x:c>
      <x:c r="J8" s="4" t="str">
        <x:v>是</x:v>
      </x:c>
      <x:c r="K8" s="4" t="str">
        <x:v>是</x:v>
      </x:c>
      <x:c r="L8" s="4" t="str">
        <x:v>是</x:v>
      </x:c>
      <x:c r="M8" s="4" t="str">
        <x:v>是</x:v>
      </x:c>
      <x:c r="N8" s="4" t="str">
        <x:v>pass</x:v>
      </x:c>
      <x:c r="O8" s="4" t="str">
        <x:v>A</x:v>
      </x:c>
      <x:c r="P8" s="4" t="str">
        <x:v>是</x:v>
      </x:c>
      <x:c r="Q8" s="17" t="n">
        <x:v>261308</x:v>
      </x:c>
      <x:c r="R8" s="16" t="n">
        <x:v>2025</x:v>
      </x:c>
      <x:c r="S8" s="4" t="str">
        <x:v>【示意】全建物含新舊；不是中古住宅交易；獨立來源1；來源A級</x:v>
      </x:c>
      <x:c r="T8" s="4" t="str">
        <x:v>示意</x:v>
      </x:c>
      <x:c r="U8" s="16" t="n">
        <x:v>1</x:v>
      </x:c>
      <x:c r="V8" s="4" t="str">
        <x:v>低</x:v>
      </x:c>
      <x:c r="W8" s="4" t="str">
        <x:v>L245–251：2025第一次登記176,690棟；買賣261,308棟、年減25.5%；繼承78,324棟。</x:v>
      </x:c>
      <x:c r="X8" s="4" t="str">
        <x:v>依整合協議：單一獨立機構，confidence改為低；來源品質與三角驗證分開。</x:v>
      </x:c>
      <x:c r="Y8" s="37" t="d">
        <x:v>2026-10-09T00:00:00.000Z</x:v>
      </x:c>
      <x:c r="Z8" s="4" t="str">
        <x:v>turn162view1</x:v>
      </x:c>
    </x:row>
    <x:row r="9" ht="30" customHeight="1">
      <x:c r="A9" s="4" t="str">
        <x:v>M0008</x:v>
      </x:c>
      <x:c r="B9" s="4" t="str">
        <x:v>TW</x:v>
      </x:c>
      <x:c r="C9" s="4" t="str">
        <x:v>建物買賣年增率</x:v>
      </x:c>
      <x:c r="D9" s="19" t="n">
        <x:v>-25.5</x:v>
      </x:c>
      <x:c r="E9" s="4" t="str">
        <x:v>%</x:v>
      </x:c>
      <x:c r="F9" s="16" t="n">
        <x:v>2025</x:v>
      </x:c>
      <x:c r="G9" s="4" t="str">
        <x:v>全建物買賣登記同比</x:v>
      </x:c>
      <x:c r="H9" s="4" t="str">
        <x:v>TW03</x:v>
      </x:c>
      <x:c r="I9" s="4" t="str">
        <x:v>https://www.moi.gov.tw/News_Content.aspx?n=2&amp;s=339138</x:v>
      </x:c>
      <x:c r="J9" s="4" t="str">
        <x:v>是</x:v>
      </x:c>
      <x:c r="K9" s="4" t="str">
        <x:v>是</x:v>
      </x:c>
      <x:c r="L9" s="4" t="str">
        <x:v>是</x:v>
      </x:c>
      <x:c r="M9" s="4" t="str">
        <x:v>是</x:v>
      </x:c>
      <x:c r="N9" s="4" t="str">
        <x:v>pass</x:v>
      </x:c>
      <x:c r="O9" s="4" t="str">
        <x:v>A</x:v>
      </x:c>
      <x:c r="P9" s="4" t="str">
        <x:v>是</x:v>
      </x:c>
      <x:c r="Q9" s="19" t="n">
        <x:v>-25.5</x:v>
      </x:c>
      <x:c r="R9" s="16" t="n">
        <x:v>2025</x:v>
      </x:c>
      <x:c r="S9" s="4" t="str">
        <x:v>【示意】全建物買賣登記同比；獨立來源1；來源A級</x:v>
      </x:c>
      <x:c r="T9" s="4" t="str">
        <x:v>示意</x:v>
      </x:c>
      <x:c r="U9" s="16" t="n">
        <x:v>1</x:v>
      </x:c>
      <x:c r="V9" s="4" t="str">
        <x:v>低</x:v>
      </x:c>
      <x:c r="W9" s="4" t="str">
        <x:v>L245–251：2025第一次登記176,690棟；買賣261,308棟、年減25.5%；繼承78,324棟。</x:v>
      </x:c>
      <x:c r="X9" s="4" t="str">
        <x:v>依整合協議：單一獨立機構，confidence改為低；來源品質與三角驗證分開。</x:v>
      </x:c>
      <x:c r="Y9" s="37" t="d">
        <x:v>2026-10-09T00:00:00.000Z</x:v>
      </x:c>
      <x:c r="Z9" s="4" t="str">
        <x:v>turn162view1</x:v>
      </x:c>
    </x:row>
    <x:row r="10" ht="30" customHeight="1">
      <x:c r="A10" s="4" t="str">
        <x:v>M0009</x:v>
      </x:c>
      <x:c r="B10" s="4" t="str">
        <x:v>TW</x:v>
      </x:c>
      <x:c r="C10" s="4" t="str">
        <x:v>建物繼承登記</x:v>
      </x:c>
      <x:c r="D10" s="17" t="n">
        <x:v>78324</x:v>
      </x:c>
      <x:c r="E10" s="4" t="str">
        <x:v>棟</x:v>
      </x:c>
      <x:c r="F10" s="16" t="n">
        <x:v>2025</x:v>
      </x:c>
      <x:c r="G10" s="4" t="str">
        <x:v>全建物繼承</x:v>
      </x:c>
      <x:c r="H10" s="4" t="str">
        <x:v>TW03</x:v>
      </x:c>
      <x:c r="I10" s="4" t="str">
        <x:v>https://www.moi.gov.tw/News_Content.aspx?n=2&amp;s=339138</x:v>
      </x:c>
      <x:c r="J10" s="4" t="str">
        <x:v>是</x:v>
      </x:c>
      <x:c r="K10" s="4" t="str">
        <x:v>是</x:v>
      </x:c>
      <x:c r="L10" s="4" t="str">
        <x:v>是</x:v>
      </x:c>
      <x:c r="M10" s="4" t="str">
        <x:v>是</x:v>
      </x:c>
      <x:c r="N10" s="4" t="str">
        <x:v>pass</x:v>
      </x:c>
      <x:c r="O10" s="4" t="str">
        <x:v>A</x:v>
      </x:c>
      <x:c r="P10" s="4" t="str">
        <x:v>是</x:v>
      </x:c>
      <x:c r="Q10" s="17" t="n">
        <x:v>78324</x:v>
      </x:c>
      <x:c r="R10" s="16" t="n">
        <x:v>2025</x:v>
      </x:c>
      <x:c r="S10" s="4" t="str">
        <x:v>【示意】全建物繼承；獨立來源1；來源A級</x:v>
      </x:c>
      <x:c r="T10" s="4" t="str">
        <x:v>示意</x:v>
      </x:c>
      <x:c r="U10" s="16" t="n">
        <x:v>1</x:v>
      </x:c>
      <x:c r="V10" s="4" t="str">
        <x:v>低</x:v>
      </x:c>
      <x:c r="W10" s="4" t="str">
        <x:v>L245–251：2025第一次登記176,690棟；買賣261,308棟、年減25.5%；繼承78,324棟。</x:v>
      </x:c>
      <x:c r="X10" s="4" t="str">
        <x:v>依整合協議：單一獨立機構，confidence改為低；來源品質與三角驗證分開。</x:v>
      </x:c>
      <x:c r="Y10" s="37" t="d">
        <x:v>2026-10-09T00:00:00.000Z</x:v>
      </x:c>
      <x:c r="Z10" s="4" t="str">
        <x:v>turn162view1</x:v>
      </x:c>
    </x:row>
    <x:row r="11" ht="38" customHeight="1">
      <x:c r="A11" s="4" t="str">
        <x:v>M0010</x:v>
      </x:c>
      <x:c r="B11" s="4" t="str">
        <x:v>TW</x:v>
      </x:c>
      <x:c r="C11" s="4" t="str">
        <x:v>低度使用住宅</x:v>
      </x:c>
      <x:c r="D11" s="17" t="n">
        <x:v>894582</x:v>
      </x:c>
      <x:c r="E11" s="4" t="str">
        <x:v>宅</x:v>
      </x:c>
      <x:c r="F11" s="16" t="n">
        <x:v>2025</x:v>
      </x:c>
      <x:c r="G11" s="4" t="str">
        <x:v>下半年低用電代理；不是空屋普查</x:v>
      </x:c>
      <x:c r="H11" s="4" t="str">
        <x:v>TW04</x:v>
      </x:c>
      <x:c r="I11" s="4" t="str">
        <x:v>https://www.moi.gov.tw/News_Content.aspx?n=2905&amp;s=339707</x:v>
      </x:c>
      <x:c r="J11" s="4" t="str">
        <x:v>是</x:v>
      </x:c>
      <x:c r="K11" s="4" t="str">
        <x:v>是</x:v>
      </x:c>
      <x:c r="L11" s="4" t="str">
        <x:v>是</x:v>
      </x:c>
      <x:c r="M11" s="4" t="str">
        <x:v>是</x:v>
      </x:c>
      <x:c r="N11" s="4" t="str">
        <x:v>pass</x:v>
      </x:c>
      <x:c r="O11" s="4" t="str">
        <x:v>A</x:v>
      </x:c>
      <x:c r="P11" s="4" t="str">
        <x:v>是</x:v>
      </x:c>
      <x:c r="Q11" s="17" t="n">
        <x:v>894582</x:v>
      </x:c>
      <x:c r="R11" s="16" t="str">
        <x:v>2025下半年</x:v>
      </x:c>
      <x:c r="S11" s="4" t="str">
        <x:v>【示意】下半年低用電代理；不是空屋普查；獨立來源1；來源A級</x:v>
      </x:c>
      <x:c r="T11" s="4" t="str">
        <x:v>示意</x:v>
      </x:c>
      <x:c r="U11" s="16" t="n">
        <x:v>1</x:v>
      </x:c>
      <x:c r="V11" s="4" t="str">
        <x:v>低</x:v>
      </x:c>
      <x:c r="W11" s="4" t="str">
        <x:v>L297–305：2025下半年低度用電住宅894,582宅、9.4%；2025住宅使用執照約14.2萬宅；2025Q4新建餘屋待售112,501宅、臺北4,710、宜蘭2,685宅。</x:v>
      </x:c>
      <x:c r="X11" s="4" t="str">
        <x:v>依整合協議：單一獨立機構，confidence改為低；來源品質與三角驗證分開。</x:v>
      </x:c>
      <x:c r="Y11" s="37" t="d">
        <x:v>2026-10-09T00:00:00.000Z</x:v>
      </x:c>
      <x:c r="Z11" s="4" t="str">
        <x:v>turn163view1</x:v>
      </x:c>
    </x:row>
    <x:row r="12" ht="38" customHeight="1">
      <x:c r="A12" s="4" t="str">
        <x:v>M0011</x:v>
      </x:c>
      <x:c r="B12" s="4" t="str">
        <x:v>TW</x:v>
      </x:c>
      <x:c r="C12" s="4" t="str">
        <x:v>低度使用住宅比率</x:v>
      </x:c>
      <x:c r="D12" s="19" t="n">
        <x:v>9.4</x:v>
      </x:c>
      <x:c r="E12" s="4" t="str">
        <x:v>%</x:v>
      </x:c>
      <x:c r="F12" s="16" t="n">
        <x:v>2025</x:v>
      </x:c>
      <x:c r="G12" s="4" t="str">
        <x:v>低用電住宅／房屋稅籍住宅</x:v>
      </x:c>
      <x:c r="H12" s="4" t="str">
        <x:v>TW04</x:v>
      </x:c>
      <x:c r="I12" s="4" t="str">
        <x:v>https://www.moi.gov.tw/News_Content.aspx?n=2905&amp;s=339707</x:v>
      </x:c>
      <x:c r="J12" s="4" t="str">
        <x:v>是</x:v>
      </x:c>
      <x:c r="K12" s="4" t="str">
        <x:v>是</x:v>
      </x:c>
      <x:c r="L12" s="4" t="str">
        <x:v>是</x:v>
      </x:c>
      <x:c r="M12" s="4" t="str">
        <x:v>是</x:v>
      </x:c>
      <x:c r="N12" s="4" t="str">
        <x:v>pass</x:v>
      </x:c>
      <x:c r="O12" s="4" t="str">
        <x:v>A</x:v>
      </x:c>
      <x:c r="P12" s="4" t="str">
        <x:v>是</x:v>
      </x:c>
      <x:c r="Q12" s="19" t="n">
        <x:v>9.4</x:v>
      </x:c>
      <x:c r="R12" s="16" t="str">
        <x:v>2025下半年</x:v>
      </x:c>
      <x:c r="S12" s="4" t="str">
        <x:v>【示意】低用電住宅／房屋稅籍住宅；獨立來源1；來源A級</x:v>
      </x:c>
      <x:c r="T12" s="4" t="str">
        <x:v>示意</x:v>
      </x:c>
      <x:c r="U12" s="16" t="n">
        <x:v>1</x:v>
      </x:c>
      <x:c r="V12" s="4" t="str">
        <x:v>低</x:v>
      </x:c>
      <x:c r="W12" s="4" t="str">
        <x:v>L297–305：2025下半年低度用電住宅894,582宅、9.4%；2025住宅使用執照約14.2萬宅；2025Q4新建餘屋待售112,501宅、臺北4,710、宜蘭2,685宅。</x:v>
      </x:c>
      <x:c r="X12" s="4" t="str">
        <x:v>依整合協議：單一獨立機構，confidence改為低；來源品質與三角驗證分開。</x:v>
      </x:c>
      <x:c r="Y12" s="37" t="d">
        <x:v>2026-10-09T00:00:00.000Z</x:v>
      </x:c>
      <x:c r="Z12" s="4" t="str">
        <x:v>turn163view1</x:v>
      </x:c>
    </x:row>
    <x:row r="13" ht="38" customHeight="1">
      <x:c r="A13" s="4" t="str">
        <x:v>M0012</x:v>
      </x:c>
      <x:c r="B13" s="4" t="str">
        <x:v>TW</x:v>
      </x:c>
      <x:c r="C13" s="4" t="str">
        <x:v>老宅延壽預算</x:v>
      </x:c>
      <x:c r="D13" s="17" t="n">
        <x:v>5000000000</x:v>
      </x:c>
      <x:c r="E13" s="4" t="str">
        <x:v>TWD</x:v>
      </x:c>
      <x:c r="F13" s="16" t="str">
        <x:v>2025–2027</x:v>
      </x:c>
      <x:c r="G13" s="4" t="str">
        <x:v>政策投入總額，不是室內裝修市場營收</x:v>
      </x:c>
      <x:c r="H13" s="4" t="str">
        <x:v>TW05</x:v>
      </x:c>
      <x:c r="I13" s="4" t="str">
        <x:v>https://www.ey.gov.tw/Page/5A8A0CB5B41DA11E/2fcc4669-ac6d-43af-bbe5-d1359c21c4c8</x:v>
      </x:c>
      <x:c r="J13" s="4" t="str">
        <x:v>是</x:v>
      </x:c>
      <x:c r="K13" s="4" t="str">
        <x:v>是</x:v>
      </x:c>
      <x:c r="L13" s="4" t="str">
        <x:v>是</x:v>
      </x:c>
      <x:c r="M13" s="4" t="str">
        <x:v>是</x:v>
      </x:c>
      <x:c r="N13" s="4" t="str">
        <x:v>pass</x:v>
      </x:c>
      <x:c r="O13" s="4" t="str">
        <x:v>A</x:v>
      </x:c>
      <x:c r="P13" s="4" t="str">
        <x:v>是</x:v>
      </x:c>
      <x:c r="Q13" s="17" t="n">
        <x:v>5000000000</x:v>
      </x:c>
      <x:c r="R13" s="16" t="str">
        <x:v>2025–2027</x:v>
      </x:c>
      <x:c r="S13" s="4" t="str">
        <x:v>【示意】政策投入總額，不是室內裝修市場營收；獨立來源1；來源A級</x:v>
      </x:c>
      <x:c r="T13" s="4" t="str">
        <x:v>示意</x:v>
      </x:c>
      <x:c r="U13" s="16" t="n">
        <x:v>1</x:v>
      </x:c>
      <x:c r="V13" s="4" t="str">
        <x:v>低</x:v>
      </x:c>
      <x:c r="W13" s="4" t="str">
        <x:v>L127–143：2026-03-16政策頁；計畫114–116年、投入50億元，屬政策預算。</x:v>
      </x:c>
      <x:c r="X13" s="4" t="str">
        <x:v>依整合協議：單一獨立機構，confidence改為低；來源品質與三角驗證分開。</x:v>
      </x:c>
      <x:c r="Y13" s="37" t="d">
        <x:v>2026-10-09T00:00:00.000Z</x:v>
      </x:c>
      <x:c r="Z13" s="4" t="str">
        <x:v>turn161view3</x:v>
      </x:c>
    </x:row>
    <x:row r="14" ht="30" customHeight="1">
      <x:c r="A14" s="4" t="str">
        <x:v>M0013</x:v>
      </x:c>
      <x:c r="B14" s="4" t="str">
        <x:v>TW</x:v>
      </x:c>
      <x:c r="C14" s="4" t="str">
        <x:v>登記室內裝修業</x:v>
      </x:c>
      <x:c r="D14" s="17" t="n">
        <x:v>17000</x:v>
      </x:c>
      <x:c r="E14" s="4" t="str">
        <x:v>家以上</x:v>
      </x:c>
      <x:c r="F14" s="16" t="n">
        <x:v>2026</x:v>
      </x:c>
      <x:c r="G14" s="4" t="str">
        <x:v>官方約1.7萬餘家；不等同純設計公司</x:v>
      </x:c>
      <x:c r="H14" s="4" t="str">
        <x:v>TW07</x:v>
      </x:c>
      <x:c r="I14" s="4" t="str">
        <x:v>https://www.moi.gov.tw/News_Content.aspx?n=4&amp;s=337863</x:v>
      </x:c>
      <x:c r="J14" s="4" t="str">
        <x:v>是</x:v>
      </x:c>
      <x:c r="K14" s="4" t="str">
        <x:v>是</x:v>
      </x:c>
      <x:c r="L14" s="4" t="str">
        <x:v>是</x:v>
      </x:c>
      <x:c r="M14" s="4" t="str">
        <x:v>是</x:v>
      </x:c>
      <x:c r="N14" s="4" t="str">
        <x:v>pass</x:v>
      </x:c>
      <x:c r="O14" s="4" t="str">
        <x:v>A</x:v>
      </x:c>
      <x:c r="P14" s="4" t="str">
        <x:v>是</x:v>
      </x:c>
      <x:c r="Q14" s="17" t="n">
        <x:v>17000</x:v>
      </x:c>
      <x:c r="R14" s="16" t="n">
        <x:v>2026</x:v>
      </x:c>
      <x:c r="S14" s="4" t="str">
        <x:v>【示意】官方約1.7萬餘家；不等同純設計公司；獨立來源1；來源A級</x:v>
      </x:c>
      <x:c r="T14" s="4" t="str">
        <x:v>示意</x:v>
      </x:c>
      <x:c r="U14" s="16" t="n">
        <x:v>1</x:v>
      </x:c>
      <x:c r="V14" s="4" t="str">
        <x:v>低</x:v>
      </x:c>
      <x:c r="W14" s="4" t="str">
        <x:v>L245–253：2026-04-14公告；約1.7萬餘家、3.3萬人，契約草案當時尚未公告施行。</x:v>
      </x:c>
      <x:c r="X14" s="4" t="str">
        <x:v>依整合協議：單一獨立機構，confidence改為低；來源品質與三角驗證分開。</x:v>
      </x:c>
      <x:c r="Y14" s="37" t="d">
        <x:v>2026-10-09T00:00:00.000Z</x:v>
      </x:c>
      <x:c r="Z14" s="4" t="str">
        <x:v>turn162view3</x:v>
      </x:c>
    </x:row>
    <x:row r="15" ht="30" customHeight="1">
      <x:c r="A15" s="4" t="str">
        <x:v>M0014</x:v>
      </x:c>
      <x:c r="B15" s="4" t="str">
        <x:v>TW</x:v>
      </x:c>
      <x:c r="C15" s="4" t="str">
        <x:v>室內裝修專業技術人員</x:v>
      </x:c>
      <x:c r="D15" s="17" t="n">
        <x:v>33000</x:v>
      </x:c>
      <x:c r="E15" s="4" t="str">
        <x:v>人約</x:v>
      </x:c>
      <x:c r="F15" s="16" t="n">
        <x:v>2026</x:v>
      </x:c>
      <x:c r="G15" s="4" t="str">
        <x:v>登記專業技術人員；非實際就業設計師</x:v>
      </x:c>
      <x:c r="H15" s="4" t="str">
        <x:v>TW07</x:v>
      </x:c>
      <x:c r="I15" s="4" t="str">
        <x:v>https://www.moi.gov.tw/News_Content.aspx?n=4&amp;s=337863</x:v>
      </x:c>
      <x:c r="J15" s="4" t="str">
        <x:v>是</x:v>
      </x:c>
      <x:c r="K15" s="4" t="str">
        <x:v>是</x:v>
      </x:c>
      <x:c r="L15" s="4" t="str">
        <x:v>是</x:v>
      </x:c>
      <x:c r="M15" s="4" t="str">
        <x:v>是</x:v>
      </x:c>
      <x:c r="N15" s="4" t="str">
        <x:v>pass</x:v>
      </x:c>
      <x:c r="O15" s="4" t="str">
        <x:v>A</x:v>
      </x:c>
      <x:c r="P15" s="4" t="str">
        <x:v>是</x:v>
      </x:c>
      <x:c r="Q15" s="17" t="n">
        <x:v>33000</x:v>
      </x:c>
      <x:c r="R15" s="16" t="n">
        <x:v>2026</x:v>
      </x:c>
      <x:c r="S15" s="4" t="str">
        <x:v>【示意】登記專業技術人員；非實際就業設計師；獨立來源1；來源A級</x:v>
      </x:c>
      <x:c r="T15" s="4" t="str">
        <x:v>示意</x:v>
      </x:c>
      <x:c r="U15" s="16" t="n">
        <x:v>1</x:v>
      </x:c>
      <x:c r="V15" s="4" t="str">
        <x:v>低</x:v>
      </x:c>
      <x:c r="W15" s="4" t="str">
        <x:v>L245–253：2026-04-14公告；約1.7萬餘家、3.3萬人，契約草案當時尚未公告施行。</x:v>
      </x:c>
      <x:c r="X15" s="4" t="str">
        <x:v>依整合協議：單一獨立機構，confidence改為低；來源品質與三角驗證分開。</x:v>
      </x:c>
      <x:c r="Y15" s="37" t="d">
        <x:v>2026-10-09T00:00:00.000Z</x:v>
      </x:c>
      <x:c r="Z15" s="4" t="str">
        <x:v>turn162view3</x:v>
      </x:c>
    </x:row>
    <x:row r="16" ht="38" customHeight="1">
      <x:c r="A16" s="4" t="str">
        <x:v>M0015</x:v>
      </x:c>
      <x:c r="B16" s="4" t="str">
        <x:v>TW</x:v>
      </x:c>
      <x:c r="C16" s="4" t="str">
        <x:v>登記裝修業每百萬人</x:v>
      </x:c>
      <x:c r="D16" s="19" t="n">
        <x:v>729.6</x:v>
      </x:c>
      <x:c r="E16" s="4" t="str">
        <x:v>家以上/百萬人</x:v>
      </x:c>
      <x:c r="F16" s="16" t="str">
        <x:v>2025人口／2026業者</x:v>
      </x:c>
      <x:c r="G16" s="4" t="str">
        <x:v>研究計算；分母TW02年末人口；不是純設計公司密度</x:v>
      </x:c>
      <x:c r="H16" s="4" t="str">
        <x:v>TW07</x:v>
      </x:c>
      <x:c r="I16" s="4" t="str">
        <x:v>https://www.moi.gov.tw/News_Content.aspx?n=4&amp;s=337863</x:v>
      </x:c>
      <x:c r="J16" s="4" t="str">
        <x:v>是</x:v>
      </x:c>
      <x:c r="K16" s="4" t="str">
        <x:v>是</x:v>
      </x:c>
      <x:c r="L16" s="4" t="str">
        <x:v>是</x:v>
      </x:c>
      <x:c r="M16" s="4" t="str">
        <x:v>是</x:v>
      </x:c>
      <x:c r="N16" s="4" t="str">
        <x:v>pass</x:v>
      </x:c>
      <x:c r="O16" s="4" t="str">
        <x:v>A</x:v>
      </x:c>
      <x:c r="P16" s="4" t="str">
        <x:v>是</x:v>
      </x:c>
      <x:c r="Q16" s="19" t="n">
        <x:v>729.6</x:v>
      </x:c>
      <x:c r="R16" s="16" t="str">
        <x:v>2025人口／2026業者</x:v>
      </x:c>
      <x:c r="S16" s="4" t="str">
        <x:v>【示意】研究計算；分母TW02年末人口；不是純設計公司密度；獨立來源1；來源A級</x:v>
      </x:c>
      <x:c r="T16" s="4" t="str">
        <x:v>示意</x:v>
      </x:c>
      <x:c r="U16" s="16" t="n">
        <x:v>1</x:v>
      </x:c>
      <x:c r="V16" s="4" t="str">
        <x:v>低</x:v>
      </x:c>
      <x:c r="W16" s="4" t="str">
        <x:v>研究計算：17,000 / 23,299,132 × 1,000,000 = 729.645...，四捨五入729.6；TW07、TW02同屬內政部且分子約數、跨年。</x:v>
      </x:c>
      <x:c r="X16" s="4" t="str">
        <x:v>依整合協議：單一獨立機構，confidence改為低；來源品質與三角驗證分開。</x:v>
      </x:c>
      <x:c r="Y16" s="37" t="d">
        <x:v>2026-10-09T00:00:00.000Z</x:v>
      </x:c>
      <x:c r="Z16" s="4" t="str">
        <x:v>turn162view3;turn162view0</x:v>
      </x:c>
    </x:row>
    <x:row r="17" ht="38" customHeight="1">
      <x:c r="A17" s="4" t="str">
        <x:v>M0016</x:v>
      </x:c>
      <x:c r="B17" s="4" t="str">
        <x:v>TW</x:v>
      </x:c>
      <x:c r="C17" s="4" t="str">
        <x:v>室裝契約範本簽約金上限</x:v>
      </x:c>
      <x:c r="D17" s="17" t="n">
        <x:v>5</x:v>
      </x:c>
      <x:c r="E17" s="4" t="str">
        <x:v>%</x:v>
      </x:c>
      <x:c r="F17" s="16" t="n">
        <x:v>2014</x:v>
      </x:c>
      <x:c r="G17" s="4" t="str">
        <x:v>官方範本條款，不推論為全部私人契約強制比例</x:v>
      </x:c>
      <x:c r="H17" s="4" t="str">
        <x:v>TW09</x:v>
      </x:c>
      <x:c r="I17" s="4" t="str">
        <x:v>https://www.ey.gov.tw/File/EBBE5BC7D35E200E?A=C</x:v>
      </x:c>
      <x:c r="J17" s="4" t="str">
        <x:v>是</x:v>
      </x:c>
      <x:c r="K17" s="4" t="str">
        <x:v>是</x:v>
      </x:c>
      <x:c r="L17" s="4" t="str">
        <x:v>未確認</x:v>
      </x:c>
      <x:c r="M17" s="4" t="str">
        <x:v>是</x:v>
      </x:c>
      <x:c r="N17" s="4" t="str">
        <x:v>partial</x:v>
      </x:c>
      <x:c r="O17" s="4" t="str">
        <x:v>A</x:v>
      </x:c>
      <x:c r="P17" s="4" t="str">
        <x:v>是</x:v>
      </x:c>
      <x:c r="Q17" s="17" t="n">
        <x:v>5</x:v>
      </x:c>
      <x:c r="R17" s="16" t="str">
        <x:v>發布年未載；2026-10-09查詢</x:v>
      </x:c>
      <x:c r="S17" s="4" t="str">
        <x:v>【示意】官方範本條款，不推論為全部私人契約強制比例；獨立來源1；來源A級；查核限制：PDF第2頁第六條：簽約金最高不得逾5%；檔案內容未載2014發布日期，年份只能按未載日期處理。</x:v>
      </x:c>
      <x:c r="T17" s="4" t="str">
        <x:v>示意</x:v>
      </x:c>
      <x:c r="U17" s="16" t="n">
        <x:v>1</x:v>
      </x:c>
      <x:c r="V17" s="4" t="str">
        <x:v>低</x:v>
      </x:c>
      <x:c r="W17" s="4" t="str">
        <x:v>PDF第2頁第六條：簽約金最高不得逾5%；檔案內容未載2014發布日期，年份只能按未載日期處理。</x:v>
      </x:c>
      <x:c r="X17" s="4" t="str">
        <x:v>依整合協議：單一獨立機構，confidence改為低；來源品質與三角驗證分開。</x:v>
      </x:c>
      <x:c r="Y17" s="37" t="d">
        <x:v>2026-10-09T00:00:00.000Z</x:v>
      </x:c>
      <x:c r="Z17" s="4" t="str">
        <x:v>turn166view1</x:v>
      </x:c>
    </x:row>
    <x:row r="18" ht="38" customHeight="1">
      <x:c r="A18" s="4" t="str">
        <x:v>M0017</x:v>
      </x:c>
      <x:c r="B18" s="4" t="str">
        <x:v>TW</x:v>
      </x:c>
      <x:c r="C18" s="4" t="str">
        <x:v>新成屋工程行情</x:v>
      </x:c>
      <x:c r="D18" s="14" t="str">
        <x:v>40000–80000</x:v>
      </x:c>
      <x:c r="E18" s="4" t="str">
        <x:v>TWD/坪</x:v>
      </x:c>
      <x:c r="F18" s="16" t="n">
        <x:v>2025</x:v>
      </x:c>
      <x:c r="G18" s="4" t="str">
        <x:v>平台參考區間，實作坪數；非高低階同規格報價</x:v>
      </x:c>
      <x:c r="H18" s="4" t="str">
        <x:v>TW10</x:v>
      </x:c>
      <x:c r="I18" s="4" t="str">
        <x:v>https://www.100.com.tw/article/7462</x:v>
      </x:c>
      <x:c r="J18" s="4" t="str">
        <x:v>否</x:v>
      </x:c>
      <x:c r="K18" s="4" t="str">
        <x:v>未確認</x:v>
      </x:c>
      <x:c r="L18" s="4" t="str">
        <x:v>未確認</x:v>
      </x:c>
      <x:c r="M18" s="4" t="str">
        <x:v>未確認</x:v>
      </x:c>
      <x:c r="N18" s="4" t="str">
        <x:v>fail</x:v>
      </x:c>
      <x:c r="O18" s="4" t="str">
        <x:v>D</x:v>
      </x:c>
      <x:c r="P18" s="4" t="str">
        <x:v>否</x:v>
      </x:c>
      <x:c r="Q18" s="14" t="str"/>
      <x:c r="R18" s="16" t="str"/>
      <x:c r="S18" s="4" t="str"/>
      <x:c r="T18" s="4" t="str">
        <x:v>不採用</x:v>
      </x:c>
      <x:c r="U18" s="16" t="n">
        <x:v>1</x:v>
      </x:c>
      <x:c r="V18" s="4" t="str">
        <x:v>低</x:v>
      </x:c>
      <x:c r="W18" s="4" t="str">
        <x:v>初次open僅回中繼資料；重開內文與直接HTTP均403，未成功核對40,000–80,000與80,000–120,000。</x:v>
      </x:c>
      <x:c r="X18" s="4" t="str">
        <x:v>依整合協議：單一獨立機構，confidence改為低；來源品質與三角驗證分開。</x:v>
      </x:c>
      <x:c r="Y18" s="37" t="d">
        <x:v>2026-10-09T00:00:00.000Z</x:v>
      </x:c>
      <x:c r="Z18" s="4" t="str">
        <x:v>turn248view0</x:v>
      </x:c>
    </x:row>
    <x:row r="19" ht="38" customHeight="1">
      <x:c r="A19" s="4" t="str">
        <x:v>M0018</x:v>
      </x:c>
      <x:c r="B19" s="4" t="str">
        <x:v>TW</x:v>
      </x:c>
      <x:c r="C19" s="4" t="str">
        <x:v>老屋翻新工程行情</x:v>
      </x:c>
      <x:c r="D19" s="14" t="str">
        <x:v>80000–120000</x:v>
      </x:c>
      <x:c r="E19" s="4" t="str">
        <x:v>TWD/坪</x:v>
      </x:c>
      <x:c r="F19" s="16" t="n">
        <x:v>2025</x:v>
      </x:c>
      <x:c r="G19" s="4" t="str">
        <x:v>平台參考區間；個案另按範圍報價</x:v>
      </x:c>
      <x:c r="H19" s="4" t="str">
        <x:v>TW10</x:v>
      </x:c>
      <x:c r="I19" s="4" t="str">
        <x:v>https://www.100.com.tw/article/7462</x:v>
      </x:c>
      <x:c r="J19" s="4" t="str">
        <x:v>否</x:v>
      </x:c>
      <x:c r="K19" s="4" t="str">
        <x:v>未確認</x:v>
      </x:c>
      <x:c r="L19" s="4" t="str">
        <x:v>未確認</x:v>
      </x:c>
      <x:c r="M19" s="4" t="str">
        <x:v>未確認</x:v>
      </x:c>
      <x:c r="N19" s="4" t="str">
        <x:v>fail</x:v>
      </x:c>
      <x:c r="O19" s="4" t="str">
        <x:v>D</x:v>
      </x:c>
      <x:c r="P19" s="4" t="str">
        <x:v>否</x:v>
      </x:c>
      <x:c r="Q19" s="14" t="str"/>
      <x:c r="R19" s="16" t="str"/>
      <x:c r="S19" s="4" t="str"/>
      <x:c r="T19" s="4" t="str">
        <x:v>不採用</x:v>
      </x:c>
      <x:c r="U19" s="16" t="n">
        <x:v>1</x:v>
      </x:c>
      <x:c r="V19" s="4" t="str">
        <x:v>低</x:v>
      </x:c>
      <x:c r="W19" s="4" t="str">
        <x:v>初次open僅回中繼資料；重開內文與直接HTTP均403，未成功核對40,000–80,000與80,000–120,000。</x:v>
      </x:c>
      <x:c r="X19" s="4" t="str">
        <x:v>依整合協議：單一獨立機構，confidence改為低；來源品質與三角驗證分開。</x:v>
      </x:c>
      <x:c r="Y19" s="37" t="d">
        <x:v>2026-10-09T00:00:00.000Z</x:v>
      </x:c>
      <x:c r="Z19" s="4" t="str">
        <x:v>turn248view0</x:v>
      </x:c>
    </x:row>
    <x:row r="20" ht="30" customHeight="1">
      <x:c r="A20" s="4" t="str">
        <x:v>M0019</x:v>
      </x:c>
      <x:c r="B20" s="4" t="str">
        <x:v>TW</x:v>
      </x:c>
      <x:c r="C20" s="4" t="str">
        <x:v>設計費占工程費參考</x:v>
      </x:c>
      <x:c r="D20" s="14" t="str">
        <x:v>5–20</x:v>
      </x:c>
      <x:c r="E20" s="4" t="str">
        <x:v>%</x:v>
      </x:c>
      <x:c r="F20" s="16" t="n">
        <x:v>2025</x:v>
      </x:c>
      <x:c r="G20" s="4" t="str">
        <x:v>平台多案型指南，並非住宅抽樣平均</x:v>
      </x:c>
      <x:c r="H20" s="4" t="str">
        <x:v>TW11</x:v>
      </x:c>
      <x:c r="I20" s="4" t="str">
        <x:v>https://www.100.com.tw/article/9692</x:v>
      </x:c>
      <x:c r="J20" s="4" t="str">
        <x:v>否</x:v>
      </x:c>
      <x:c r="K20" s="4" t="str">
        <x:v>未確認</x:v>
      </x:c>
      <x:c r="L20" s="4" t="str">
        <x:v>未確認</x:v>
      </x:c>
      <x:c r="M20" s="4" t="str">
        <x:v>未確認</x:v>
      </x:c>
      <x:c r="N20" s="4" t="str">
        <x:v>fail</x:v>
      </x:c>
      <x:c r="O20" s="4" t="str">
        <x:v>D</x:v>
      </x:c>
      <x:c r="P20" s="4" t="str">
        <x:v>否</x:v>
      </x:c>
      <x:c r="Q20" s="14" t="str"/>
      <x:c r="R20" s="16" t="str"/>
      <x:c r="S20" s="4" t="str"/>
      <x:c r="T20" s="4" t="str">
        <x:v>不採用</x:v>
      </x:c>
      <x:c r="U20" s="16" t="n">
        <x:v>1</x:v>
      </x:c>
      <x:c r="V20" s="4" t="str">
        <x:v>低</x:v>
      </x:c>
      <x:c r="W20" s="4" t="str">
        <x:v>初次open僅回中繼資料；重開內文與直接HTTP均403，未成功核對5–20%。</x:v>
      </x:c>
      <x:c r="X20" s="4" t="str">
        <x:v>依整合協議：單一獨立機構，confidence改為低；來源品質與三角驗證分開。</x:v>
      </x:c>
      <x:c r="Y20" s="37" t="d">
        <x:v>2026-10-09T00:00:00.000Z</x:v>
      </x:c>
      <x:c r="Z20" s="4" t="str">
        <x:v>turn248view1</x:v>
      </x:c>
    </x:row>
    <x:row r="21" ht="38" customHeight="1">
      <x:c r="A21" s="4" t="str">
        <x:v>M0020</x:v>
      </x:c>
      <x:c r="B21" s="4" t="str">
        <x:v>TW</x:v>
      </x:c>
      <x:c r="C21" s="4" t="str">
        <x:v>特力集團合併營收</x:v>
      </x:c>
      <x:c r="D21" s="17" t="n">
        <x:v>36832000000</x:v>
      </x:c>
      <x:c r="E21" s="4" t="str">
        <x:v>TWD</x:v>
      </x:c>
      <x:c r="F21" s="16" t="n">
        <x:v>2024</x:v>
      </x:c>
      <x:c r="G21" s="4" t="str">
        <x:v>全球貿易及零售等，不是台灣裝修TAM</x:v>
      </x:c>
      <x:c r="H21" s="4" t="str">
        <x:v>TW12</x:v>
      </x:c>
      <x:c r="I21" s="4" t="str">
        <x:v>https://www.testritegroup.com/uploads/2024_069db0ff1f.pdf</x:v>
      </x:c>
      <x:c r="J21" s="4" t="str">
        <x:v>是</x:v>
      </x:c>
      <x:c r="K21" s="4" t="str">
        <x:v>是</x:v>
      </x:c>
      <x:c r="L21" s="4" t="str">
        <x:v>是</x:v>
      </x:c>
      <x:c r="M21" s="4" t="str">
        <x:v>是</x:v>
      </x:c>
      <x:c r="N21" s="4" t="str">
        <x:v>pass</x:v>
      </x:c>
      <x:c r="O21" s="4" t="str">
        <x:v>A</x:v>
      </x:c>
      <x:c r="P21" s="4" t="str">
        <x:v>是</x:v>
      </x:c>
      <x:c r="Q21" s="17" t="n">
        <x:v>36832000000</x:v>
      </x:c>
      <x:c r="R21" s="16" t="n">
        <x:v>2024</x:v>
      </x:c>
      <x:c r="S21" s="4" t="str">
        <x:v>【示意】全球貿易及零售等，不是台灣裝修TAM；獨立來源1；來源A級</x:v>
      </x:c>
      <x:c r="T21" s="4" t="str">
        <x:v>示意</x:v>
      </x:c>
      <x:c r="U21" s="16" t="n">
        <x:v>1</x:v>
      </x:c>
      <x:c r="V21" s="4" t="str">
        <x:v>低</x:v>
      </x:c>
      <x:c r="W21" s="4" t="str">
        <x:v>原URL直接HTTP下載3166638 bytes，pdftotext -layout讀PDF印刷第1–2頁；2024百萬元表：營收36,832、毛利9,477；第1頁台灣零售137.2億元；大型店28、社區店35、和樂25。</x:v>
      </x:c>
      <x:c r="X21" s="4" t="str">
        <x:v>依整合協議：單一獨立機構，confidence改為低；來源品質與三角驗證分開。</x:v>
      </x:c>
      <x:c r="Y21" s="37" t="d">
        <x:v>2026-10-09T00:00:00.000Z</x:v>
      </x:c>
      <x:c r="Z21" s="4" t="str">
        <x:v>local-download:TW12.pdf;turn163view6</x:v>
      </x:c>
    </x:row>
    <x:row r="22" ht="38" customHeight="1">
      <x:c r="A22" s="4" t="str">
        <x:v>M0021</x:v>
      </x:c>
      <x:c r="B22" s="4" t="str">
        <x:v>TW</x:v>
      </x:c>
      <x:c r="C22" s="4" t="str">
        <x:v>特力台灣零售營收</x:v>
      </x:c>
      <x:c r="D22" s="17" t="n">
        <x:v>13720000000</x:v>
      </x:c>
      <x:c r="E22" s="4" t="str">
        <x:v>TWD</x:v>
      </x:c>
      <x:c r="F22" s="16" t="n">
        <x:v>2024</x:v>
      </x:c>
      <x:c r="G22" s="4" t="str">
        <x:v>企業台灣零售分部，並非全台家居零售市場</x:v>
      </x:c>
      <x:c r="H22" s="4" t="str">
        <x:v>TW12</x:v>
      </x:c>
      <x:c r="I22" s="4" t="str">
        <x:v>https://www.testritegroup.com/uploads/2024_069db0ff1f.pdf</x:v>
      </x:c>
      <x:c r="J22" s="4" t="str">
        <x:v>是</x:v>
      </x:c>
      <x:c r="K22" s="4" t="str">
        <x:v>是</x:v>
      </x:c>
      <x:c r="L22" s="4" t="str">
        <x:v>是</x:v>
      </x:c>
      <x:c r="M22" s="4" t="str">
        <x:v>是</x:v>
      </x:c>
      <x:c r="N22" s="4" t="str">
        <x:v>pass</x:v>
      </x:c>
      <x:c r="O22" s="4" t="str">
        <x:v>A</x:v>
      </x:c>
      <x:c r="P22" s="4" t="str">
        <x:v>是</x:v>
      </x:c>
      <x:c r="Q22" s="17" t="n">
        <x:v>13720000000</x:v>
      </x:c>
      <x:c r="R22" s="16" t="n">
        <x:v>2024</x:v>
      </x:c>
      <x:c r="S22" s="4" t="str">
        <x:v>【示意】企業台灣零售分部，並非全台家居零售市場；獨立來源1；來源A級</x:v>
      </x:c>
      <x:c r="T22" s="4" t="str">
        <x:v>示意</x:v>
      </x:c>
      <x:c r="U22" s="16" t="n">
        <x:v>1</x:v>
      </x:c>
      <x:c r="V22" s="4" t="str">
        <x:v>低</x:v>
      </x:c>
      <x:c r="W22" s="4" t="str">
        <x:v>原URL直接HTTP下載3166638 bytes，pdftotext -layout讀PDF印刷第1–2頁；2024百萬元表：營收36,832、毛利9,477；第1頁台灣零售137.2億元；大型店28、社區店35、和樂25。</x:v>
      </x:c>
      <x:c r="X22" s="4" t="str">
        <x:v>依整合協議：單一獨立機構，confidence改為低；來源品質與三角驗證分開。</x:v>
      </x:c>
      <x:c r="Y22" s="37" t="d">
        <x:v>2026-10-09T00:00:00.000Z</x:v>
      </x:c>
      <x:c r="Z22" s="4" t="str">
        <x:v>local-download:TW12.pdf;turn163view6</x:v>
      </x:c>
    </x:row>
    <x:row r="23" ht="38" customHeight="1">
      <x:c r="A23" s="4" t="str">
        <x:v>M0022</x:v>
      </x:c>
      <x:c r="B23" s="4" t="str">
        <x:v>TW</x:v>
      </x:c>
      <x:c r="C23" s="4" t="str">
        <x:v>特力集團毛利</x:v>
      </x:c>
      <x:c r="D23" s="17" t="n">
        <x:v>9477000000</x:v>
      </x:c>
      <x:c r="E23" s="4" t="str">
        <x:v>TWD</x:v>
      </x:c>
      <x:c r="F23" s="16" t="n">
        <x:v>2024</x:v>
      </x:c>
      <x:c r="G23" s="4" t="str">
        <x:v>合併財報、全業務</x:v>
      </x:c>
      <x:c r="H23" s="4" t="str">
        <x:v>TW12</x:v>
      </x:c>
      <x:c r="I23" s="4" t="str">
        <x:v>https://www.testritegroup.com/uploads/2024_069db0ff1f.pdf</x:v>
      </x:c>
      <x:c r="J23" s="4" t="str">
        <x:v>是</x:v>
      </x:c>
      <x:c r="K23" s="4" t="str">
        <x:v>是</x:v>
      </x:c>
      <x:c r="L23" s="4" t="str">
        <x:v>是</x:v>
      </x:c>
      <x:c r="M23" s="4" t="str">
        <x:v>是</x:v>
      </x:c>
      <x:c r="N23" s="4" t="str">
        <x:v>pass</x:v>
      </x:c>
      <x:c r="O23" s="4" t="str">
        <x:v>A</x:v>
      </x:c>
      <x:c r="P23" s="4" t="str">
        <x:v>是</x:v>
      </x:c>
      <x:c r="Q23" s="17" t="n">
        <x:v>9477000000</x:v>
      </x:c>
      <x:c r="R23" s="16" t="n">
        <x:v>2024</x:v>
      </x:c>
      <x:c r="S23" s="4" t="str">
        <x:v>【示意】合併財報、全業務；獨立來源1；來源A級</x:v>
      </x:c>
      <x:c r="T23" s="4" t="str">
        <x:v>示意</x:v>
      </x:c>
      <x:c r="U23" s="16" t="n">
        <x:v>1</x:v>
      </x:c>
      <x:c r="V23" s="4" t="str">
        <x:v>低</x:v>
      </x:c>
      <x:c r="W23" s="4" t="str">
        <x:v>原URL直接HTTP下載3166638 bytes，pdftotext -layout讀PDF印刷第1–2頁；2024百萬元表：營收36,832、毛利9,477；第1頁台灣零售137.2億元；大型店28、社區店35、和樂25。</x:v>
      </x:c>
      <x:c r="X23" s="4" t="str">
        <x:v>依整合協議：單一獨立機構，confidence改為低；來源品質與三角驗證分開。</x:v>
      </x:c>
      <x:c r="Y23" s="37" t="d">
        <x:v>2026-10-09T00:00:00.000Z</x:v>
      </x:c>
      <x:c r="Z23" s="4" t="str">
        <x:v>local-download:TW12.pdf;turn163view6</x:v>
      </x:c>
    </x:row>
    <x:row r="24" ht="38" customHeight="1">
      <x:c r="A24" s="4" t="str">
        <x:v>M0023</x:v>
      </x:c>
      <x:c r="B24" s="4" t="str">
        <x:v>TW</x:v>
      </x:c>
      <x:c r="C24" s="4" t="str">
        <x:v>特力屋大型店</x:v>
      </x:c>
      <x:c r="D24" s="17" t="n">
        <x:v>28</x:v>
      </x:c>
      <x:c r="E24" s="4" t="str">
        <x:v>店</x:v>
      </x:c>
      <x:c r="F24" s="16" t="n">
        <x:v>2024</x:v>
      </x:c>
      <x:c r="G24" s="4" t="str">
        <x:v>2024年底台灣</x:v>
      </x:c>
      <x:c r="H24" s="4" t="str">
        <x:v>TW12</x:v>
      </x:c>
      <x:c r="I24" s="4" t="str">
        <x:v>https://www.testritegroup.com/uploads/2024_069db0ff1f.pdf</x:v>
      </x:c>
      <x:c r="J24" s="4" t="str">
        <x:v>是</x:v>
      </x:c>
      <x:c r="K24" s="4" t="str">
        <x:v>是</x:v>
      </x:c>
      <x:c r="L24" s="4" t="str">
        <x:v>是</x:v>
      </x:c>
      <x:c r="M24" s="4" t="str">
        <x:v>是</x:v>
      </x:c>
      <x:c r="N24" s="4" t="str">
        <x:v>pass</x:v>
      </x:c>
      <x:c r="O24" s="4" t="str">
        <x:v>A</x:v>
      </x:c>
      <x:c r="P24" s="4" t="str">
        <x:v>是</x:v>
      </x:c>
      <x:c r="Q24" s="17" t="n">
        <x:v>28</x:v>
      </x:c>
      <x:c r="R24" s="16" t="n">
        <x:v>2024</x:v>
      </x:c>
      <x:c r="S24" s="4" t="str">
        <x:v>【示意】2024年底台灣；獨立來源1；來源A級</x:v>
      </x:c>
      <x:c r="T24" s="4" t="str">
        <x:v>示意</x:v>
      </x:c>
      <x:c r="U24" s="16" t="n">
        <x:v>1</x:v>
      </x:c>
      <x:c r="V24" s="4" t="str">
        <x:v>低</x:v>
      </x:c>
      <x:c r="W24" s="4" t="str">
        <x:v>原URL直接HTTP下載3166638 bytes，pdftotext -layout讀PDF印刷第1–2頁；2024百萬元表：營收36,832、毛利9,477；第1頁台灣零售137.2億元；大型店28、社區店35、和樂25。</x:v>
      </x:c>
      <x:c r="X24" s="4" t="str">
        <x:v>依整合協議：單一獨立機構，confidence改為低；來源品質與三角驗證分開。</x:v>
      </x:c>
      <x:c r="Y24" s="37" t="d">
        <x:v>2026-10-09T00:00:00.000Z</x:v>
      </x:c>
      <x:c r="Z24" s="4" t="str">
        <x:v>local-download:TW12.pdf;turn163view6</x:v>
      </x:c>
    </x:row>
    <x:row r="25" ht="38" customHeight="1">
      <x:c r="A25" s="4" t="str">
        <x:v>M0024</x:v>
      </x:c>
      <x:c r="B25" s="4" t="str">
        <x:v>TW</x:v>
      </x:c>
      <x:c r="C25" s="4" t="str">
        <x:v>特力屋社區店</x:v>
      </x:c>
      <x:c r="D25" s="17" t="n">
        <x:v>35</x:v>
      </x:c>
      <x:c r="E25" s="4" t="str">
        <x:v>店</x:v>
      </x:c>
      <x:c r="F25" s="16" t="n">
        <x:v>2024</x:v>
      </x:c>
      <x:c r="G25" s="4" t="str">
        <x:v>2024年底台灣</x:v>
      </x:c>
      <x:c r="H25" s="4" t="str">
        <x:v>TW12</x:v>
      </x:c>
      <x:c r="I25" s="4" t="str">
        <x:v>https://www.testritegroup.com/uploads/2024_069db0ff1f.pdf</x:v>
      </x:c>
      <x:c r="J25" s="4" t="str">
        <x:v>是</x:v>
      </x:c>
      <x:c r="K25" s="4" t="str">
        <x:v>是</x:v>
      </x:c>
      <x:c r="L25" s="4" t="str">
        <x:v>是</x:v>
      </x:c>
      <x:c r="M25" s="4" t="str">
        <x:v>是</x:v>
      </x:c>
      <x:c r="N25" s="4" t="str">
        <x:v>pass</x:v>
      </x:c>
      <x:c r="O25" s="4" t="str">
        <x:v>A</x:v>
      </x:c>
      <x:c r="P25" s="4" t="str">
        <x:v>是</x:v>
      </x:c>
      <x:c r="Q25" s="17" t="n">
        <x:v>35</x:v>
      </x:c>
      <x:c r="R25" s="16" t="n">
        <x:v>2024</x:v>
      </x:c>
      <x:c r="S25" s="4" t="str">
        <x:v>【示意】2024年底台灣；獨立來源1；來源A級</x:v>
      </x:c>
      <x:c r="T25" s="4" t="str">
        <x:v>示意</x:v>
      </x:c>
      <x:c r="U25" s="16" t="n">
        <x:v>1</x:v>
      </x:c>
      <x:c r="V25" s="4" t="str">
        <x:v>低</x:v>
      </x:c>
      <x:c r="W25" s="4" t="str">
        <x:v>原URL直接HTTP下載3166638 bytes，pdftotext -layout讀PDF印刷第1–2頁；2024百萬元表：營收36,832、毛利9,477；第1頁台灣零售137.2億元；大型店28、社區店35、和樂25。</x:v>
      </x:c>
      <x:c r="X25" s="4" t="str">
        <x:v>依整合協議：單一獨立機構，confidence改為低；來源品質與三角驗證分開。</x:v>
      </x:c>
      <x:c r="Y25" s="37" t="d">
        <x:v>2026-10-09T00:00:00.000Z</x:v>
      </x:c>
      <x:c r="Z25" s="4" t="str">
        <x:v>local-download:TW12.pdf;turn163view6</x:v>
      </x:c>
    </x:row>
    <x:row r="26" ht="38" customHeight="1">
      <x:c r="A26" s="4" t="str">
        <x:v>M0025</x:v>
      </x:c>
      <x:c r="B26" s="4" t="str">
        <x:v>TW</x:v>
      </x:c>
      <x:c r="C26" s="4" t="str">
        <x:v>HOLA台灣店</x:v>
      </x:c>
      <x:c r="D26" s="17" t="n">
        <x:v>25</x:v>
      </x:c>
      <x:c r="E26" s="4" t="str">
        <x:v>店</x:v>
      </x:c>
      <x:c r="F26" s="16" t="n">
        <x:v>2024</x:v>
      </x:c>
      <x:c r="G26" s="4" t="str">
        <x:v>2024年底台灣</x:v>
      </x:c>
      <x:c r="H26" s="4" t="str">
        <x:v>TW12</x:v>
      </x:c>
      <x:c r="I26" s="4" t="str">
        <x:v>https://www.testritegroup.com/uploads/2024_069db0ff1f.pdf</x:v>
      </x:c>
      <x:c r="J26" s="4" t="str">
        <x:v>是</x:v>
      </x:c>
      <x:c r="K26" s="4" t="str">
        <x:v>是</x:v>
      </x:c>
      <x:c r="L26" s="4" t="str">
        <x:v>是</x:v>
      </x:c>
      <x:c r="M26" s="4" t="str">
        <x:v>是</x:v>
      </x:c>
      <x:c r="N26" s="4" t="str">
        <x:v>pass</x:v>
      </x:c>
      <x:c r="O26" s="4" t="str">
        <x:v>A</x:v>
      </x:c>
      <x:c r="P26" s="4" t="str">
        <x:v>是</x:v>
      </x:c>
      <x:c r="Q26" s="17" t="n">
        <x:v>25</x:v>
      </x:c>
      <x:c r="R26" s="16" t="n">
        <x:v>2024</x:v>
      </x:c>
      <x:c r="S26" s="4" t="str">
        <x:v>【示意】2024年底台灣；獨立來源1；來源A級</x:v>
      </x:c>
      <x:c r="T26" s="4" t="str">
        <x:v>示意</x:v>
      </x:c>
      <x:c r="U26" s="16" t="n">
        <x:v>1</x:v>
      </x:c>
      <x:c r="V26" s="4" t="str">
        <x:v>低</x:v>
      </x:c>
      <x:c r="W26" s="4" t="str">
        <x:v>原URL直接HTTP下載3166638 bytes，pdftotext -layout讀PDF印刷第1–2頁；2024百萬元表：營收36,832、毛利9,477；第1頁台灣零售137.2億元；大型店28、社區店35、和樂25。</x:v>
      </x:c>
      <x:c r="X26" s="4" t="str">
        <x:v>依整合協議：單一獨立機構，confidence改為低；來源品質與三角驗證分開。</x:v>
      </x:c>
      <x:c r="Y26" s="37" t="d">
        <x:v>2026-10-09T00:00:00.000Z</x:v>
      </x:c>
      <x:c r="Z26" s="4" t="str">
        <x:v>local-download:TW12.pdf;turn163view6</x:v>
      </x:c>
    </x:row>
    <x:row r="27" ht="52" customHeight="1">
      <x:c r="A27" s="4" t="str">
        <x:v>M0026</x:v>
      </x:c>
      <x:c r="B27" s="4" t="str">
        <x:v>TW</x:v>
      </x:c>
      <x:c r="C27" s="4" t="str">
        <x:v>100用戶無裝修經驗</x:v>
      </x:c>
      <x:c r="D27" s="17" t="n">
        <x:v>77</x:v>
      </x:c>
      <x:c r="E27" s="4" t="str">
        <x:v>%</x:v>
      </x:c>
      <x:c r="F27" s="16" t="n">
        <x:v>2025</x:v>
      </x:c>
      <x:c r="G27" s="4" t="str">
        <x:v>平台後台用戶，非全台人口代表樣本</x:v>
      </x:c>
      <x:c r="H27" s="4" t="str">
        <x:v>TW14</x:v>
      </x:c>
      <x:c r="I27" s="4" t="str">
        <x:v>https://www.100.com.tw/article/8712</x:v>
      </x:c>
      <x:c r="J27" s="4" t="str">
        <x:v>是</x:v>
      </x:c>
      <x:c r="K27" s="4" t="str">
        <x:v>是</x:v>
      </x:c>
      <x:c r="L27" s="4" t="str">
        <x:v>未確認</x:v>
      </x:c>
      <x:c r="M27" s="4" t="str">
        <x:v>是</x:v>
      </x:c>
      <x:c r="N27" s="4" t="str">
        <x:v>partial</x:v>
      </x:c>
      <x:c r="O27" s="4" t="str">
        <x:v>C</x:v>
      </x:c>
      <x:c r="P27" s="4" t="str">
        <x:v>是</x:v>
      </x:c>
      <x:c r="Q27" s="17" t="n">
        <x:v>77</x:v>
      </x:c>
      <x:c r="R27" s="16" t="str">
        <x:v>2025文章；樣本期間未載</x:v>
      </x:c>
      <x:c r="S27" s="4" t="str">
        <x:v>【示意】平台後台用戶，非全台人口代表樣本；不是已確認的2025全年成交抽樣；獨立來源1；來源C級；查核限制：L32–40：平台後台77%無裝修經驗、超過50%需求新購住宅，文章標題2025；未揭統計抽樣期間。</x:v>
      </x:c>
      <x:c r="T27" s="4" t="str">
        <x:v>示意</x:v>
      </x:c>
      <x:c r="U27" s="16" t="n">
        <x:v>1</x:v>
      </x:c>
      <x:c r="V27" s="4" t="str">
        <x:v>低</x:v>
      </x:c>
      <x:c r="W27" s="4" t="str">
        <x:v>L32–40：平台後台77%無裝修經驗、超過50%需求新購住宅，文章標題2025；未揭統計抽樣期間。</x:v>
      </x:c>
      <x:c r="X27" s="4" t="str">
        <x:v>依整合協議：單一獨立機構，confidence改為低；來源品質與三角驗證分開。</x:v>
      </x:c>
      <x:c r="Y27" s="37" t="d">
        <x:v>2026-10-09T00:00:00.000Z</x:v>
      </x:c>
      <x:c r="Z27" s="4" t="str">
        <x:v>turn168view4</x:v>
      </x:c>
    </x:row>
    <x:row r="28" ht="52" customHeight="1">
      <x:c r="A28" s="4" t="str">
        <x:v>M0027</x:v>
      </x:c>
      <x:c r="B28" s="4" t="str">
        <x:v>TW</x:v>
      </x:c>
      <x:c r="C28" s="4" t="str">
        <x:v>100需求來自新購住宅</x:v>
      </x:c>
      <x:c r="D28" s="14" t="str">
        <x:v>&gt;50</x:v>
      </x:c>
      <x:c r="E28" s="4" t="str">
        <x:v>%</x:v>
      </x:c>
      <x:c r="F28" s="16" t="n">
        <x:v>2025</x:v>
      </x:c>
      <x:c r="G28" s="4" t="str">
        <x:v>平台後台需求，新購可包含中古，不是新屋占比</x:v>
      </x:c>
      <x:c r="H28" s="4" t="str">
        <x:v>TW14</x:v>
      </x:c>
      <x:c r="I28" s="4" t="str">
        <x:v>https://www.100.com.tw/article/8712</x:v>
      </x:c>
      <x:c r="J28" s="4" t="str">
        <x:v>是</x:v>
      </x:c>
      <x:c r="K28" s="4" t="str">
        <x:v>是</x:v>
      </x:c>
      <x:c r="L28" s="4" t="str">
        <x:v>未確認</x:v>
      </x:c>
      <x:c r="M28" s="4" t="str">
        <x:v>是</x:v>
      </x:c>
      <x:c r="N28" s="4" t="str">
        <x:v>partial</x:v>
      </x:c>
      <x:c r="O28" s="4" t="str">
        <x:v>C</x:v>
      </x:c>
      <x:c r="P28" s="4" t="str">
        <x:v>是</x:v>
      </x:c>
      <x:c r="Q28" s="14" t="str">
        <x:v>&gt;50</x:v>
      </x:c>
      <x:c r="R28" s="16" t="str">
        <x:v>2025文章；樣本期間未載</x:v>
      </x:c>
      <x:c r="S28" s="4" t="str">
        <x:v>【示意】平台後台需求，新購可包含中古，不是新屋占比；不是已確認的2025全年成交抽樣；獨立來源1；來源C級；查核限制：L32–40：平台後台77%無裝修經驗、超過50%需求新購住宅，文章標題2025；未揭統計抽樣期間。</x:v>
      </x:c>
      <x:c r="T28" s="4" t="str">
        <x:v>示意</x:v>
      </x:c>
      <x:c r="U28" s="16" t="n">
        <x:v>1</x:v>
      </x:c>
      <x:c r="V28" s="4" t="str">
        <x:v>低</x:v>
      </x:c>
      <x:c r="W28" s="4" t="str">
        <x:v>L32–40：平台後台77%無裝修經驗、超過50%需求新購住宅，文章標題2025；未揭統計抽樣期間。</x:v>
      </x:c>
      <x:c r="X28" s="4" t="str">
        <x:v>依整合協議：單一獨立機構，confidence改為低；來源品質與三角驗證分開。</x:v>
      </x:c>
      <x:c r="Y28" s="37" t="d">
        <x:v>2026-10-09T00:00:00.000Z</x:v>
      </x:c>
      <x:c r="Z28" s="4" t="str">
        <x:v>turn168view4</x:v>
      </x:c>
    </x:row>
    <x:row r="29" ht="38" customHeight="1">
      <x:c r="A29" s="4" t="str">
        <x:v>M0028</x:v>
      </x:c>
      <x:c r="B29" s="4" t="str">
        <x:v>TW</x:v>
      </x:c>
      <x:c r="C29" s="4" t="str">
        <x:v>全裝修產值估算</x:v>
      </x:c>
      <x:c r="D29" s="17" t="n">
        <x:v>550000000000</x:v>
      </x:c>
      <x:c r="E29" s="4" t="str">
        <x:v>TWD</x:v>
      </x:c>
      <x:c r="F29" s="16" t="n">
        <x:v>2025</x:v>
      </x:c>
      <x:c r="G29" s="4" t="str">
        <x:v>100平台據財政部推估；原始行業範圍未公開、不能當住宅翻修</x:v>
      </x:c>
      <x:c r="H29" s="4" t="str">
        <x:v>TW15</x:v>
      </x:c>
      <x:c r="I29" s="4" t="str">
        <x:v>https://house.udn.com/house/story/123589/9245511</x:v>
      </x:c>
      <x:c r="J29" s="4" t="str">
        <x:v>是</x:v>
      </x:c>
      <x:c r="K29" s="4" t="str">
        <x:v>是</x:v>
      </x:c>
      <x:c r="L29" s="4" t="str">
        <x:v>是</x:v>
      </x:c>
      <x:c r="M29" s="4" t="str">
        <x:v>是</x:v>
      </x:c>
      <x:c r="N29" s="4" t="str">
        <x:v>pass</x:v>
      </x:c>
      <x:c r="O29" s="4" t="str">
        <x:v>C</x:v>
      </x:c>
      <x:c r="P29" s="4" t="str">
        <x:v>是</x:v>
      </x:c>
      <x:c r="Q29" s="17" t="n">
        <x:v>550000000000</x:v>
      </x:c>
      <x:c r="R29" s="16" t="n">
        <x:v>2025</x:v>
      </x:c>
      <x:c r="S29" s="4" t="str">
        <x:v>【示意】100平台據財政部推估；原始行業範圍未公開、不能當住宅翻修；獨立來源1；來源C級</x:v>
      </x:c>
      <x:c r="T29" s="4" t="str">
        <x:v>示意</x:v>
      </x:c>
      <x:c r="U29" s="16" t="n">
        <x:v>1</x:v>
      </x:c>
      <x:c r="V29" s="4" t="str">
        <x:v>低</x:v>
      </x:c>
      <x:c r="W29" s="4" t="str">
        <x:v>L53–73：2026-01-05報導；平台推估2025裝修逼近5,500億元；APP下載超過158萬次，非政府原始市場統計。</x:v>
      </x:c>
      <x:c r="X29" s="4" t="str">
        <x:v>依整合協議：單一獨立機構，confidence改為低；來源品質與三角驗證分開。 用語「逼近」「可望」只是平台年後初估，不是稅籍統計確報。</x:v>
      </x:c>
      <x:c r="Y29" s="37" t="d">
        <x:v>2026-10-09T00:00:00.000Z</x:v>
      </x:c>
      <x:c r="Z29" s="4" t="str">
        <x:v>turn171view5</x:v>
      </x:c>
    </x:row>
    <x:row r="30" ht="38" customHeight="1">
      <x:c r="A30" s="4" t="str">
        <x:v>M0029</x:v>
      </x:c>
      <x:c r="B30" s="4" t="str">
        <x:v>TW</x:v>
      </x:c>
      <x:c r="C30" s="4" t="str">
        <x:v>100 APP下載量</x:v>
      </x:c>
      <x:c r="D30" s="14" t="str">
        <x:v>&gt;1580000</x:v>
      </x:c>
      <x:c r="E30" s="4" t="str">
        <x:v>次</x:v>
      </x:c>
      <x:c r="F30" s="16" t="n">
        <x:v>2026</x:v>
      </x:c>
      <x:c r="G30" s="4" t="str">
        <x:v>截至2026-01報導平台自述累計；非活躍用戶</x:v>
      </x:c>
      <x:c r="H30" s="4" t="str">
        <x:v>TW15</x:v>
      </x:c>
      <x:c r="I30" s="4" t="str">
        <x:v>https://house.udn.com/house/story/123589/9245511</x:v>
      </x:c>
      <x:c r="J30" s="4" t="str">
        <x:v>是</x:v>
      </x:c>
      <x:c r="K30" s="4" t="str">
        <x:v>是</x:v>
      </x:c>
      <x:c r="L30" s="4" t="str">
        <x:v>是</x:v>
      </x:c>
      <x:c r="M30" s="4" t="str">
        <x:v>是</x:v>
      </x:c>
      <x:c r="N30" s="4" t="str">
        <x:v>pass</x:v>
      </x:c>
      <x:c r="O30" s="4" t="str">
        <x:v>C</x:v>
      </x:c>
      <x:c r="P30" s="4" t="str">
        <x:v>是</x:v>
      </x:c>
      <x:c r="Q30" s="14" t="str">
        <x:v>&gt;1580000</x:v>
      </x:c>
      <x:c r="R30" s="16" t="n">
        <x:v>2026</x:v>
      </x:c>
      <x:c r="S30" s="4" t="str">
        <x:v>【示意】截至2026-01報導平台自述累計；非活躍用戶；獨立來源1；來源C級</x:v>
      </x:c>
      <x:c r="T30" s="4" t="str">
        <x:v>示意</x:v>
      </x:c>
      <x:c r="U30" s="16" t="n">
        <x:v>1</x:v>
      </x:c>
      <x:c r="V30" s="4" t="str">
        <x:v>低</x:v>
      </x:c>
      <x:c r="W30" s="4" t="str">
        <x:v>L53–73：2026-01-05報導；平台推估2025裝修逼近5,500億元；APP下載超過158萬次，非政府原始市場統計。</x:v>
      </x:c>
      <x:c r="X30" s="4" t="str">
        <x:v>依整合協議：單一獨立機構，confidence改為低；來源品質與三角驗證分開。</x:v>
      </x:c>
      <x:c r="Y30" s="37" t="d">
        <x:v>2026-10-09T00:00:00.000Z</x:v>
      </x:c>
      <x:c r="Z30" s="4" t="str">
        <x:v>turn171view5</x:v>
      </x:c>
    </x:row>
    <x:row r="31" ht="38" customHeight="1">
      <x:c r="A31" s="4" t="str">
        <x:v>M0030</x:v>
      </x:c>
      <x:c r="B31" s="4" t="str">
        <x:v>TW</x:v>
      </x:c>
      <x:c r="C31" s="4" t="str">
        <x:v>PULO累計完工屋主</x:v>
      </x:c>
      <x:c r="D31" s="14" t="str">
        <x:v>&gt;2000</x:v>
      </x:c>
      <x:c r="E31" s="4" t="str">
        <x:v>位</x:v>
      </x:c>
      <x:c r="F31" s="16" t="n">
        <x:v>2026</x:v>
      </x:c>
      <x:c r="G31" s="4" t="str">
        <x:v>官網未標統計截止日；累積非年度</x:v>
      </x:c>
      <x:c r="H31" s="4" t="str">
        <x:v>TW16</x:v>
      </x:c>
      <x:c r="I31" s="4" t="str">
        <x:v>https://www.puloapp.com/home-kb/puloapp-caption/</x:v>
      </x:c>
      <x:c r="J31" s="4" t="str">
        <x:v>是</x:v>
      </x:c>
      <x:c r="K31" s="4" t="str">
        <x:v>是</x:v>
      </x:c>
      <x:c r="L31" s="4" t="str">
        <x:v>否</x:v>
      </x:c>
      <x:c r="M31" s="4" t="str">
        <x:v>是</x:v>
      </x:c>
      <x:c r="N31" s="4" t="str">
        <x:v>partial</x:v>
      </x:c>
      <x:c r="O31" s="4" t="str">
        <x:v>C</x:v>
      </x:c>
      <x:c r="P31" s="4" t="str">
        <x:v>是</x:v>
      </x:c>
      <x:c r="Q31" s="14" t="str">
        <x:v>&gt;2000</x:v>
      </x:c>
      <x:c r="R31" s="16" t="str">
        <x:v>統計截止日未載；2026-10-09查詢</x:v>
      </x:c>
      <x:c r="S31" s="4" t="str">
        <x:v>【示意】官網未標統計截止日；累積非年度；年份不是2026年度實績；獨立來源1；來源C級；查核限制：L31–35：自2015累計完成超過2,000位屋主；未載統計截止日，2026僅檢索年。</x:v>
      </x:c>
      <x:c r="T31" s="4" t="str">
        <x:v>示意</x:v>
      </x:c>
      <x:c r="U31" s="16" t="n">
        <x:v>1</x:v>
      </x:c>
      <x:c r="V31" s="4" t="str">
        <x:v>低</x:v>
      </x:c>
      <x:c r="W31" s="4" t="str">
        <x:v>L31–35：自2015累計完成超過2,000位屋主；未載統計截止日，2026僅檢索年。</x:v>
      </x:c>
      <x:c r="X31" s="4" t="str">
        <x:v>依整合協議：單一獨立機構，confidence改為低；來源品質與三角驗證分開。</x:v>
      </x:c>
      <x:c r="Y31" s="37" t="d">
        <x:v>2026-10-09T00:00:00.000Z</x:v>
      </x:c>
      <x:c r="Z31" s="4" t="str">
        <x:v>turn171view0</x:v>
      </x:c>
    </x:row>
    <x:row r="32" ht="38" customHeight="1">
      <x:c r="A32" s="4" t="str">
        <x:v>M0031</x:v>
      </x:c>
      <x:c r="B32" s="4" t="str">
        <x:v>TW</x:v>
      </x:c>
      <x:c r="C32" s="4" t="str">
        <x:v>PULO成交抽成</x:v>
      </x:c>
      <x:c r="D32" s="17" t="n">
        <x:v>0</x:v>
      </x:c>
      <x:c r="E32" s="4" t="str">
        <x:v>%</x:v>
      </x:c>
      <x:c r="F32" s="16" t="n">
        <x:v>2026</x:v>
      </x:c>
      <x:c r="G32" s="4" t="str">
        <x:v>官網宣稱成交不抽成；會員費另計</x:v>
      </x:c>
      <x:c r="H32" s="4" t="str">
        <x:v>TW17</x:v>
      </x:c>
      <x:c r="I32" s="4" t="str">
        <x:v>https://www.puloapp.com/become-pro/</x:v>
      </x:c>
      <x:c r="J32" s="4" t="str">
        <x:v>是</x:v>
      </x:c>
      <x:c r="K32" s="4" t="str">
        <x:v>是</x:v>
      </x:c>
      <x:c r="L32" s="4" t="str">
        <x:v>否</x:v>
      </x:c>
      <x:c r="M32" s="4" t="str">
        <x:v>是</x:v>
      </x:c>
      <x:c r="N32" s="4" t="str">
        <x:v>partial</x:v>
      </x:c>
      <x:c r="O32" s="4" t="str">
        <x:v>C</x:v>
      </x:c>
      <x:c r="P32" s="4" t="str">
        <x:v>是</x:v>
      </x:c>
      <x:c r="Q32" s="17" t="n">
        <x:v>0</x:v>
      </x:c>
      <x:c r="R32" s="16" t="str">
        <x:v>統計截止日未載；2026-10-09查詢</x:v>
      </x:c>
      <x:c r="S32" s="4" t="str">
        <x:v>【示意】官網宣稱成交不抽成；會員費另計；年份不是2026年度實績；獨立來源1；來源C級；查核限制：L112–114：平台宣稱成交不抽%；未載方案生效日，2026僅檢索年。</x:v>
      </x:c>
      <x:c r="T32" s="4" t="str">
        <x:v>示意</x:v>
      </x:c>
      <x:c r="U32" s="16" t="n">
        <x:v>1</x:v>
      </x:c>
      <x:c r="V32" s="4" t="str">
        <x:v>低</x:v>
      </x:c>
      <x:c r="W32" s="4" t="str">
        <x:v>L112–114：平台宣稱成交不抽%；未載方案生效日，2026僅檢索年。</x:v>
      </x:c>
      <x:c r="X32" s="4" t="str">
        <x:v>依整合協議：單一獨立機構，confidence改為低；來源品質與三角驗證分開。</x:v>
      </x:c>
      <x:c r="Y32" s="37" t="d">
        <x:v>2026-10-09T00:00:00.000Z</x:v>
      </x:c>
      <x:c r="Z32" s="4" t="str">
        <x:v>turn171view1</x:v>
      </x:c>
    </x:row>
    <x:row r="33" ht="38" customHeight="1">
      <x:c r="A33" s="4" t="str">
        <x:v>M0032</x:v>
      </x:c>
      <x:c r="B33" s="4" t="str">
        <x:v>TW</x:v>
      </x:c>
      <x:c r="C33" s="4" t="str">
        <x:v>台北商辦裝修成本</x:v>
      </x:c>
      <x:c r="D33" s="20" t="n">
        <x:v>1560.7670104229096</x:v>
      </x:c>
      <x:c r="E33" s="4" t="str">
        <x:v>USD/m²</x:v>
      </x:c>
      <x:c r="F33" s="16" t="n">
        <x:v>2026</x:v>
      </x:c>
      <x:c r="G33" s="4" t="str">
        <x:v>C&amp;W 2026商辦fit-out，價格基準2025年12月；USD/ft²÷0.09290304，非住宅報價，報告自身匯率</x:v>
      </x:c>
      <x:c r="H33" s="4" t="str">
        <x:v>X02</x:v>
      </x:c>
      <x:c r="I33" s="4" t="str">
        <x:v>https://digital.cushmanwakefield.com/fitoutcostguide-03-2026-apac-regional-en-content-pds-office/30-31/</x:v>
      </x:c>
      <x:c r="J33" s="4" t="str">
        <x:v>是</x:v>
      </x:c>
      <x:c r="K33" s="4" t="str">
        <x:v>是</x:v>
      </x:c>
      <x:c r="L33" s="4" t="str">
        <x:v>是</x:v>
      </x:c>
      <x:c r="M33" s="4" t="str">
        <x:v>是</x:v>
      </x:c>
      <x:c r="N33" s="4" t="str">
        <x:v>pass</x:v>
      </x:c>
      <x:c r="O33" s="4" t="str">
        <x:v>B</x:v>
      </x:c>
      <x:c r="P33" s="4" t="str">
        <x:v>是</x:v>
      </x:c>
      <x:c r="Q33" s="20" t="n">
        <x:v>1560.7670104229096</x:v>
      </x:c>
      <x:c r="R33" s="16" t="n">
        <x:v>2026</x:v>
      </x:c>
      <x:c r="S33" s="4" t="str">
        <x:v>【示意】C&amp;W 2026商辦fit-out，價格基準2025年12月；USD/ft²÷0.09290304，非住宅報價，報告自身匯率；獨立來源1；來源B級</x:v>
      </x:c>
      <x:c r="T33" s="4" t="str">
        <x:v>示意</x:v>
      </x:c>
      <x:c r="U33" s="16" t="n">
        <x:v>1</x:v>
      </x:c>
      <x:c r="V33" s="4" t="str">
        <x:v>低</x:v>
      </x:c>
      <x:c r="W33" s="4" t="str">
        <x:v>成本頁逐城讀USD/ft²；配合X11方法頁確定價格2025-12，報告2026。 台北=145USD/ft²，除0.09290304得1560.7670104229096USD/m²；原幣161621TWD/坪。</x:v>
      </x:c>
      <x:c r="X33" s="4" t="str">
        <x:v>單一獨立原始機構，依協議第4條低信心示意；A/B來源等級不等於已三角驗證。</x:v>
      </x:c>
      <x:c r="Y33" s="37" t="d">
        <x:v>2026-10-09T00:00:00.000Z</x:v>
      </x:c>
      <x:c r="Z33" s="4" t="str">
        <x:v>turn202view1</x:v>
      </x:c>
    </x:row>
    <x:row r="34" ht="38" customHeight="1">
      <x:c r="A34" s="4" t="str">
        <x:v>M0033</x:v>
      </x:c>
      <x:c r="B34" s="4" t="str">
        <x:v>JP</x:v>
      </x:c>
      <x:c r="C34" s="4" t="str">
        <x:v>住宅翻修市場估算</x:v>
      </x:c>
      <x:c r="D34" s="17" t="n">
        <x:v>7511900000000</x:v>
      </x:c>
      <x:c r="E34" s="4" t="str">
        <x:v>JPY</x:v>
      </x:c>
      <x:c r="F34" s="16" t="n">
        <x:v>2025</x:v>
      </x:c>
      <x:c r="G34" s="4" t="str">
        <x:v>居住者自付增改築+設備修繕維持+家具內裝；排除房東出租、公寓公共大修、非住宅</x:v>
      </x:c>
      <x:c r="H34" s="4" t="str">
        <x:v>JP01</x:v>
      </x:c>
      <x:c r="I34" s="4" t="str">
        <x:v>https://www.yano.co.jp/press-release/show/press_id/4153</x:v>
      </x:c>
      <x:c r="J34" s="4" t="str">
        <x:v>是</x:v>
      </x:c>
      <x:c r="K34" s="4" t="str">
        <x:v>是</x:v>
      </x:c>
      <x:c r="L34" s="4" t="str">
        <x:v>是</x:v>
      </x:c>
      <x:c r="M34" s="4" t="str">
        <x:v>是</x:v>
      </x:c>
      <x:c r="N34" s="4" t="str">
        <x:v>pass</x:v>
      </x:c>
      <x:c r="O34" s="4" t="str">
        <x:v>B</x:v>
      </x:c>
      <x:c r="P34" s="4" t="str">
        <x:v>是</x:v>
      </x:c>
      <x:c r="Q34" s="17" t="n">
        <x:v>7511900000000</x:v>
      </x:c>
      <x:c r="R34" s="16" t="n">
        <x:v>2025</x:v>
      </x:c>
      <x:c r="S34" s="4" t="str">
        <x:v>【示意】居住者自付增改築+設備修繕維持+家具內裝；排除房東出租、公寓公共大修、非住宅；獨立來源1；來源B級</x:v>
      </x:c>
      <x:c r="T34" s="4" t="str">
        <x:v>示意</x:v>
      </x:c>
      <x:c r="U34" s="16" t="n">
        <x:v>1</x:v>
      </x:c>
      <x:c r="V34" s="4" t="str">
        <x:v>低</x:v>
      </x:c>
      <x:c r="W34" s="4" t="str">
        <x:v>L23:2025估算7兆5,119億円、同比2.5%；L33:2026預測7.7兆円；L53–60定義排除房東出租、非住宅、共有部大修並含家具。</x:v>
      </x:c>
      <x:c r="X34" s="4" t="str">
        <x:v>依整合協議：單一獨立機構，confidence改為低；來源品質與三角驗證分開。</x:v>
      </x:c>
      <x:c r="Y34" s="37" t="d">
        <x:v>2026-10-09T00:00:00.000Z</x:v>
      </x:c>
      <x:c r="Z34" s="4" t="str">
        <x:v>turn175view0</x:v>
      </x:c>
    </x:row>
    <x:row r="35" ht="38" customHeight="1">
      <x:c r="A35" s="4" t="str">
        <x:v>M0034</x:v>
      </x:c>
      <x:c r="B35" s="4" t="str">
        <x:v>JP</x:v>
      </x:c>
      <x:c r="C35" s="4" t="str">
        <x:v>住宅翻修市場預測</x:v>
      </x:c>
      <x:c r="D35" s="17" t="n">
        <x:v>7700000000000</x:v>
      </x:c>
      <x:c r="E35" s="4" t="str">
        <x:v>JPY</x:v>
      </x:c>
      <x:c r="F35" s="16" t="n">
        <x:v>2026</x:v>
      </x:c>
      <x:c r="G35" s="4" t="str">
        <x:v>預測非實績；同矢野口徑，公開摘要取整數</x:v>
      </x:c>
      <x:c r="H35" s="4" t="str">
        <x:v>JP01</x:v>
      </x:c>
      <x:c r="I35" s="4" t="str">
        <x:v>https://www.yano.co.jp/press-release/show/press_id/4153</x:v>
      </x:c>
      <x:c r="J35" s="4" t="str">
        <x:v>是</x:v>
      </x:c>
      <x:c r="K35" s="4" t="str">
        <x:v>是</x:v>
      </x:c>
      <x:c r="L35" s="4" t="str">
        <x:v>是</x:v>
      </x:c>
      <x:c r="M35" s="4" t="str">
        <x:v>是</x:v>
      </x:c>
      <x:c r="N35" s="4" t="str">
        <x:v>pass</x:v>
      </x:c>
      <x:c r="O35" s="4" t="str">
        <x:v>B</x:v>
      </x:c>
      <x:c r="P35" s="4" t="str">
        <x:v>是</x:v>
      </x:c>
      <x:c r="Q35" s="17" t="n">
        <x:v>7700000000000</x:v>
      </x:c>
      <x:c r="R35" s="16" t="n">
        <x:v>2026</x:v>
      </x:c>
      <x:c r="S35" s="4" t="str">
        <x:v>【預測／示意】預測非實績；同矢野口徑，公開摘要取整數；獨立來源1；來源B級</x:v>
      </x:c>
      <x:c r="T35" s="4" t="str">
        <x:v>預測／示意</x:v>
      </x:c>
      <x:c r="U35" s="16" t="n">
        <x:v>1</x:v>
      </x:c>
      <x:c r="V35" s="4" t="str">
        <x:v>低</x:v>
      </x:c>
      <x:c r="W35" s="4" t="str">
        <x:v>L23:2025估算7兆5,119億円、同比2.5%；L33:2026預測7.7兆円；L53–60定義排除房東出租、非住宅、共有部大修並含家具。</x:v>
      </x:c>
      <x:c r="X35" s="4" t="str">
        <x:v>依整合協議：單一獨立機構，confidence改為低；來源品質與三角驗證分開。</x:v>
      </x:c>
      <x:c r="Y35" s="37" t="d">
        <x:v>2026-10-09T00:00:00.000Z</x:v>
      </x:c>
      <x:c r="Z35" s="4" t="str">
        <x:v>turn175view0</x:v>
      </x:c>
    </x:row>
    <x:row r="36" ht="38" customHeight="1">
      <x:c r="A36" s="4" t="str">
        <x:v>M0035</x:v>
      </x:c>
      <x:c r="B36" s="4" t="str">
        <x:v>JP</x:v>
      </x:c>
      <x:c r="C36" s="4" t="str">
        <x:v>住宅翻修同比成長</x:v>
      </x:c>
      <x:c r="D36" s="19" t="n">
        <x:v>2.5</x:v>
      </x:c>
      <x:c r="E36" s="4" t="str">
        <x:v>%</x:v>
      </x:c>
      <x:c r="F36" s="16" t="n">
        <x:v>2025</x:v>
      </x:c>
      <x:c r="G36" s="4" t="str">
        <x:v>2026報告估計成長，勿用不同版2024數倒算</x:v>
      </x:c>
      <x:c r="H36" s="4" t="str">
        <x:v>JP01</x:v>
      </x:c>
      <x:c r="I36" s="4" t="str">
        <x:v>https://www.yano.co.jp/press-release/show/press_id/4153</x:v>
      </x:c>
      <x:c r="J36" s="4" t="str">
        <x:v>是</x:v>
      </x:c>
      <x:c r="K36" s="4" t="str">
        <x:v>是</x:v>
      </x:c>
      <x:c r="L36" s="4" t="str">
        <x:v>是</x:v>
      </x:c>
      <x:c r="M36" s="4" t="str">
        <x:v>是</x:v>
      </x:c>
      <x:c r="N36" s="4" t="str">
        <x:v>pass</x:v>
      </x:c>
      <x:c r="O36" s="4" t="str">
        <x:v>B</x:v>
      </x:c>
      <x:c r="P36" s="4" t="str">
        <x:v>是</x:v>
      </x:c>
      <x:c r="Q36" s="19" t="n">
        <x:v>2.5</x:v>
      </x:c>
      <x:c r="R36" s="16" t="n">
        <x:v>2025</x:v>
      </x:c>
      <x:c r="S36" s="4" t="str">
        <x:v>【示意】2026報告估計成長，勿用不同版2024數倒算；獨立來源1；來源B級</x:v>
      </x:c>
      <x:c r="T36" s="4" t="str">
        <x:v>示意</x:v>
      </x:c>
      <x:c r="U36" s="16" t="n">
        <x:v>1</x:v>
      </x:c>
      <x:c r="V36" s="4" t="str">
        <x:v>低</x:v>
      </x:c>
      <x:c r="W36" s="4" t="str">
        <x:v>L23:2025估算7兆5,119億円、同比2.5%；L33:2026預測7.7兆円；L53–60定義排除房東出租、非住宅、共有部大修並含家具。</x:v>
      </x:c>
      <x:c r="X36" s="4" t="str">
        <x:v>依整合協議：單一獨立機構，confidence改為低；來源品質與三角驗證分開。</x:v>
      </x:c>
      <x:c r="Y36" s="37" t="d">
        <x:v>2026-10-09T00:00:00.000Z</x:v>
      </x:c>
      <x:c r="Z36" s="4" t="str">
        <x:v>turn175view0</x:v>
      </x:c>
    </x:row>
    <x:row r="37" ht="30" customHeight="1">
      <x:c r="A37" s="4" t="str">
        <x:v>M0036</x:v>
      </x:c>
      <x:c r="B37" s="4" t="str">
        <x:v>JP</x:v>
      </x:c>
      <x:c r="C37" s="4" t="str">
        <x:v>住宅翻修市場估算</x:v>
      </x:c>
      <x:c r="D37" s="17" t="n">
        <x:v>7347000000000</x:v>
      </x:c>
      <x:c r="E37" s="4" t="str">
        <x:v>JPY</x:v>
      </x:c>
      <x:c r="F37" s="16" t="n">
        <x:v>2024</x:v>
      </x:c>
      <x:c r="G37" s="4" t="str">
        <x:v>2025報告歷史估算；與2026報告基期可能修訂</x:v>
      </x:c>
      <x:c r="H37" s="4" t="str">
        <x:v>JP02</x:v>
      </x:c>
      <x:c r="I37" s="4" t="str">
        <x:v>https://www.yano.co.jp/press-release/show/press_id/3877</x:v>
      </x:c>
      <x:c r="J37" s="4" t="str">
        <x:v>是</x:v>
      </x:c>
      <x:c r="K37" s="4" t="str">
        <x:v>是</x:v>
      </x:c>
      <x:c r="L37" s="4" t="str">
        <x:v>是</x:v>
      </x:c>
      <x:c r="M37" s="4" t="str">
        <x:v>是</x:v>
      </x:c>
      <x:c r="N37" s="4" t="str">
        <x:v>pass</x:v>
      </x:c>
      <x:c r="O37" s="4" t="str">
        <x:v>B</x:v>
      </x:c>
      <x:c r="P37" s="4" t="str">
        <x:v>是</x:v>
      </x:c>
      <x:c r="Q37" s="17" t="n">
        <x:v>7347000000000</x:v>
      </x:c>
      <x:c r="R37" s="16" t="n">
        <x:v>2024</x:v>
      </x:c>
      <x:c r="S37" s="4" t="str">
        <x:v>【示意】2025報告歷史估算；與2026報告基期可能修訂；獨立來源1；來源B級</x:v>
      </x:c>
      <x:c r="T37" s="4" t="str">
        <x:v>示意</x:v>
      </x:c>
      <x:c r="U37" s="16" t="n">
        <x:v>1</x:v>
      </x:c>
      <x:c r="V37" s="4" t="str">
        <x:v>低</x:v>
      </x:c>
      <x:c r="W37" s="4" t="str">
        <x:v>L23:2024估算7兆3,470億円；L34:2025預測7.3兆円；L48–59調查期間與市場定義。</x:v>
      </x:c>
      <x:c r="X37" s="4" t="str">
        <x:v>依整合協議：單一獨立機構，confidence改為低；來源品質與三角驗證分開。</x:v>
      </x:c>
      <x:c r="Y37" s="37" t="d">
        <x:v>2026-10-09T00:00:00.000Z</x:v>
      </x:c>
      <x:c r="Z37" s="4" t="str">
        <x:v>turn175view1</x:v>
      </x:c>
    </x:row>
    <x:row r="38" ht="38" customHeight="1">
      <x:c r="A38" s="4" t="str">
        <x:v>M0037</x:v>
      </x:c>
      <x:c r="B38" s="4" t="str">
        <x:v>JP</x:v>
      </x:c>
      <x:c r="C38" s="4" t="str">
        <x:v>住宅存量</x:v>
      </x:c>
      <x:c r="D38" s="17" t="n">
        <x:v>65047000</x:v>
      </x:c>
      <x:c r="E38" s="4" t="str">
        <x:v>戶</x:v>
      </x:c>
      <x:c r="F38" s="16" t="n">
        <x:v>2023</x:v>
      </x:c>
      <x:c r="G38" s="4" t="str">
        <x:v>5年普查確報，包括無居住世帯住宅；近期完整stock基準</x:v>
      </x:c>
      <x:c r="H38" s="4" t="str">
        <x:v>JP03</x:v>
      </x:c>
      <x:c r="I38" s="4" t="str">
        <x:v>https://www.stat.go.jp/data/jyutaku/2023/pdf/kihon_gaiyou.pdf</x:v>
      </x:c>
      <x:c r="J38" s="4" t="str">
        <x:v>是</x:v>
      </x:c>
      <x:c r="K38" s="4" t="str">
        <x:v>是</x:v>
      </x:c>
      <x:c r="L38" s="4" t="str">
        <x:v>是</x:v>
      </x:c>
      <x:c r="M38" s="4" t="str">
        <x:v>是</x:v>
      </x:c>
      <x:c r="N38" s="4" t="str">
        <x:v>pass</x:v>
      </x:c>
      <x:c r="O38" s="4" t="str">
        <x:v>A</x:v>
      </x:c>
      <x:c r="P38" s="4" t="str">
        <x:v>是</x:v>
      </x:c>
      <x:c r="Q38" s="17" t="n">
        <x:v>65047000</x:v>
      </x:c>
      <x:c r="R38" s="16" t="n">
        <x:v>2023</x:v>
      </x:c>
      <x:c r="S38" s="4" t="str">
        <x:v>【示意】5年普查確報，包括無居住世帯住宅；近期完整stock基準；獨立來源1；來源A級</x:v>
      </x:c>
      <x:c r="T38" s="4" t="str">
        <x:v>示意</x:v>
      </x:c>
      <x:c r="U38" s="16" t="n">
        <x:v>1</x:v>
      </x:c>
      <x:c r="V38" s="4" t="str">
        <x:v>低</x:v>
      </x:c>
      <x:c r="W38" s="4" t="str">
        <x:v>PDF印刷p1、p2、p8：2023存量65,047千戶，空屋9,002千戶、13.8%；自有住宅率60.9%，分母有居住世帶住宅。</x:v>
      </x:c>
      <x:c r="X38" s="4" t="str">
        <x:v>依整合協議：單一獨立機構，confidence改為低；來源品質與三角驗證分開。</x:v>
      </x:c>
      <x:c r="Y38" s="37" t="d">
        <x:v>2026-10-09T00:00:00.000Z</x:v>
      </x:c>
      <x:c r="Z38" s="4" t="str">
        <x:v>turn175view2;turn236view4;turn200view1</x:v>
      </x:c>
    </x:row>
    <x:row r="39" ht="38" customHeight="1">
      <x:c r="A39" s="4" t="str">
        <x:v>M0038</x:v>
      </x:c>
      <x:c r="B39" s="4" t="str">
        <x:v>JP</x:v>
      </x:c>
      <x:c r="C39" s="4" t="str">
        <x:v>空屋</x:v>
      </x:c>
      <x:c r="D39" s="17" t="n">
        <x:v>9002000</x:v>
      </x:c>
      <x:c r="E39" s="4" t="str">
        <x:v>戶</x:v>
      </x:c>
      <x:c r="F39" s="16" t="n">
        <x:v>2023</x:v>
      </x:c>
      <x:c r="G39" s="4" t="str">
        <x:v>住宅土地調查確報，包括出租待租等</x:v>
      </x:c>
      <x:c r="H39" s="4" t="str">
        <x:v>JP03</x:v>
      </x:c>
      <x:c r="I39" s="4" t="str">
        <x:v>https://www.stat.go.jp/data/jyutaku/2023/pdf/kihon_gaiyou.pdf</x:v>
      </x:c>
      <x:c r="J39" s="4" t="str">
        <x:v>是</x:v>
      </x:c>
      <x:c r="K39" s="4" t="str">
        <x:v>是</x:v>
      </x:c>
      <x:c r="L39" s="4" t="str">
        <x:v>是</x:v>
      </x:c>
      <x:c r="M39" s="4" t="str">
        <x:v>是</x:v>
      </x:c>
      <x:c r="N39" s="4" t="str">
        <x:v>pass</x:v>
      </x:c>
      <x:c r="O39" s="4" t="str">
        <x:v>A</x:v>
      </x:c>
      <x:c r="P39" s="4" t="str">
        <x:v>是</x:v>
      </x:c>
      <x:c r="Q39" s="17" t="n">
        <x:v>9002000</x:v>
      </x:c>
      <x:c r="R39" s="16" t="n">
        <x:v>2023</x:v>
      </x:c>
      <x:c r="S39" s="4" t="str">
        <x:v>【示意】住宅土地調查確報，包括出租待租等；獨立來源1；來源A級</x:v>
      </x:c>
      <x:c r="T39" s="4" t="str">
        <x:v>示意</x:v>
      </x:c>
      <x:c r="U39" s="16" t="n">
        <x:v>1</x:v>
      </x:c>
      <x:c r="V39" s="4" t="str">
        <x:v>低</x:v>
      </x:c>
      <x:c r="W39" s="4" t="str">
        <x:v>PDF印刷p1、p2、p8：2023存量65,047千戶，空屋9,002千戶、13.8%；自有住宅率60.9%，分母有居住世帶住宅。</x:v>
      </x:c>
      <x:c r="X39" s="4" t="str">
        <x:v>依整合協議：單一獨立機構，confidence改為低；來源品質與三角驗證分開。</x:v>
      </x:c>
      <x:c r="Y39" s="37" t="d">
        <x:v>2026-10-09T00:00:00.000Z</x:v>
      </x:c>
      <x:c r="Z39" s="4" t="str">
        <x:v>turn175view2;turn236view4;turn200view1</x:v>
      </x:c>
    </x:row>
    <x:row r="40" ht="38" customHeight="1">
      <x:c r="A40" s="4" t="str">
        <x:v>M0039</x:v>
      </x:c>
      <x:c r="B40" s="4" t="str">
        <x:v>JP</x:v>
      </x:c>
      <x:c r="C40" s="4" t="str">
        <x:v>空屋率</x:v>
      </x:c>
      <x:c r="D40" s="19" t="n">
        <x:v>13.8</x:v>
      </x:c>
      <x:c r="E40" s="4" t="str">
        <x:v>%</x:v>
      </x:c>
      <x:c r="F40" s="16" t="n">
        <x:v>2023</x:v>
      </x:c>
      <x:c r="G40" s="4" t="str">
        <x:v>全部住宅中的空屋；不等同可交易資產</x:v>
      </x:c>
      <x:c r="H40" s="4" t="str">
        <x:v>JP03</x:v>
      </x:c>
      <x:c r="I40" s="4" t="str">
        <x:v>https://www.stat.go.jp/data/jyutaku/2023/pdf/kihon_gaiyou.pdf</x:v>
      </x:c>
      <x:c r="J40" s="4" t="str">
        <x:v>是</x:v>
      </x:c>
      <x:c r="K40" s="4" t="str">
        <x:v>是</x:v>
      </x:c>
      <x:c r="L40" s="4" t="str">
        <x:v>是</x:v>
      </x:c>
      <x:c r="M40" s="4" t="str">
        <x:v>是</x:v>
      </x:c>
      <x:c r="N40" s="4" t="str">
        <x:v>pass</x:v>
      </x:c>
      <x:c r="O40" s="4" t="str">
        <x:v>A</x:v>
      </x:c>
      <x:c r="P40" s="4" t="str">
        <x:v>是</x:v>
      </x:c>
      <x:c r="Q40" s="19" t="n">
        <x:v>13.8</x:v>
      </x:c>
      <x:c r="R40" s="16" t="n">
        <x:v>2023</x:v>
      </x:c>
      <x:c r="S40" s="4" t="str">
        <x:v>【示意】全部住宅中的空屋；不等同可交易資產；獨立來源1；來源A級</x:v>
      </x:c>
      <x:c r="T40" s="4" t="str">
        <x:v>示意</x:v>
      </x:c>
      <x:c r="U40" s="16" t="n">
        <x:v>1</x:v>
      </x:c>
      <x:c r="V40" s="4" t="str">
        <x:v>低</x:v>
      </x:c>
      <x:c r="W40" s="4" t="str">
        <x:v>PDF印刷p1、p2、p8：2023存量65,047千戶，空屋9,002千戶、13.8%；自有住宅率60.9%，分母有居住世帶住宅。</x:v>
      </x:c>
      <x:c r="X40" s="4" t="str">
        <x:v>依整合協議：單一獨立機構，confidence改為低；來源品質與三角驗證分開。</x:v>
      </x:c>
      <x:c r="Y40" s="37" t="d">
        <x:v>2026-10-09T00:00:00.000Z</x:v>
      </x:c>
      <x:c r="Z40" s="4" t="str">
        <x:v>turn175view2;turn236view4;turn200view1</x:v>
      </x:c>
    </x:row>
    <x:row r="41" ht="38" customHeight="1">
      <x:c r="A41" s="4" t="str">
        <x:v>M0040</x:v>
      </x:c>
      <x:c r="B41" s="4" t="str">
        <x:v>JP</x:v>
      </x:c>
      <x:c r="C41" s="4" t="str">
        <x:v>自有住宅率</x:v>
      </x:c>
      <x:c r="D41" s="19" t="n">
        <x:v>60.9</x:v>
      </x:c>
      <x:c r="E41" s="4" t="str">
        <x:v>%</x:v>
      </x:c>
      <x:c r="F41" s="16" t="n">
        <x:v>2023</x:v>
      </x:c>
      <x:c r="G41" s="4" t="str">
        <x:v>居住世帯住宅分母</x:v>
      </x:c>
      <x:c r="H41" s="4" t="str">
        <x:v>JP03</x:v>
      </x:c>
      <x:c r="I41" s="4" t="str">
        <x:v>https://www.stat.go.jp/data/jyutaku/2023/pdf/kihon_gaiyou.pdf</x:v>
      </x:c>
      <x:c r="J41" s="4" t="str">
        <x:v>是</x:v>
      </x:c>
      <x:c r="K41" s="4" t="str">
        <x:v>是</x:v>
      </x:c>
      <x:c r="L41" s="4" t="str">
        <x:v>是</x:v>
      </x:c>
      <x:c r="M41" s="4" t="str">
        <x:v>是</x:v>
      </x:c>
      <x:c r="N41" s="4" t="str">
        <x:v>pass</x:v>
      </x:c>
      <x:c r="O41" s="4" t="str">
        <x:v>A</x:v>
      </x:c>
      <x:c r="P41" s="4" t="str">
        <x:v>是</x:v>
      </x:c>
      <x:c r="Q41" s="19" t="n">
        <x:v>60.9</x:v>
      </x:c>
      <x:c r="R41" s="16" t="n">
        <x:v>2023</x:v>
      </x:c>
      <x:c r="S41" s="4" t="str">
        <x:v>【示意】居住世帯住宅分母；獨立來源1；來源A級</x:v>
      </x:c>
      <x:c r="T41" s="4" t="str">
        <x:v>示意</x:v>
      </x:c>
      <x:c r="U41" s="16" t="n">
        <x:v>1</x:v>
      </x:c>
      <x:c r="V41" s="4" t="str">
        <x:v>低</x:v>
      </x:c>
      <x:c r="W41" s="4" t="str">
        <x:v>PDF印刷p1、p2、p8：2023存量65,047千戶，空屋9,002千戶、13.8%；自有住宅率60.9%，分母有居住世帶住宅。</x:v>
      </x:c>
      <x:c r="X41" s="4" t="str">
        <x:v>依整合協議：單一獨立機構，confidence改為低；來源品質與三角驗證分開。</x:v>
      </x:c>
      <x:c r="Y41" s="37" t="d">
        <x:v>2026-10-09T00:00:00.000Z</x:v>
      </x:c>
      <x:c r="Z41" s="4" t="str">
        <x:v>turn175view2;turn236view4;turn200view1</x:v>
      </x:c>
    </x:row>
    <x:row r="42" ht="30" customHeight="1">
      <x:c r="A42" s="4" t="str">
        <x:v>M0041</x:v>
      </x:c>
      <x:c r="B42" s="4" t="str">
        <x:v>JP</x:v>
      </x:c>
      <x:c r="C42" s="4" t="str">
        <x:v>新設住宅開工</x:v>
      </x:c>
      <x:c r="D42" s="17" t="n">
        <x:v>740667</x:v>
      </x:c>
      <x:c r="E42" s="4" t="str">
        <x:v>戶</x:v>
      </x:c>
      <x:c r="F42" s="16" t="n">
        <x:v>2025</x:v>
      </x:c>
      <x:c r="G42" s="4" t="str">
        <x:v>曆年開工、不是竣工</x:v>
      </x:c>
      <x:c r="H42" s="4" t="str">
        <x:v>JP04</x:v>
      </x:c>
      <x:c r="I42" s="4" t="str">
        <x:v>https://www.mlit.go.jp/report/press/content/kencha25.pdf</x:v>
      </x:c>
      <x:c r="J42" s="4" t="str">
        <x:v>是</x:v>
      </x:c>
      <x:c r="K42" s="4" t="str">
        <x:v>是</x:v>
      </x:c>
      <x:c r="L42" s="4" t="str">
        <x:v>是</x:v>
      </x:c>
      <x:c r="M42" s="4" t="str">
        <x:v>是</x:v>
      </x:c>
      <x:c r="N42" s="4" t="str">
        <x:v>pass</x:v>
      </x:c>
      <x:c r="O42" s="4" t="str">
        <x:v>A</x:v>
      </x:c>
      <x:c r="P42" s="4" t="str">
        <x:v>是</x:v>
      </x:c>
      <x:c r="Q42" s="17" t="n">
        <x:v>740667</x:v>
      </x:c>
      <x:c r="R42" s="16" t="n">
        <x:v>2025</x:v>
      </x:c>
      <x:c r="S42" s="4" t="str">
        <x:v>【示意】曆年開工、不是竣工；獨立來源1；來源A級</x:v>
      </x:c>
      <x:c r="T42" s="4" t="str">
        <x:v>示意</x:v>
      </x:c>
      <x:c r="U42" s="16" t="n">
        <x:v>1</x:v>
      </x:c>
      <x:c r="V42" s="4" t="str">
        <x:v>低</x:v>
      </x:c>
      <x:c r="W42" s="4" t="str">
        <x:v>PDF p3與p15：令和7年（2025）住宅開工740,667戶，同比-6.5%，床面積56,885千m²。</x:v>
      </x:c>
      <x:c r="X42" s="4" t="str">
        <x:v>依整合協議：單一獨立機構，confidence改為低；來源品質與三角驗證分開。</x:v>
      </x:c>
      <x:c r="Y42" s="37" t="d">
        <x:v>2026-10-09T00:00:00.000Z</x:v>
      </x:c>
      <x:c r="Z42" s="4" t="str">
        <x:v>turn200view2</x:v>
      </x:c>
    </x:row>
    <x:row r="43" ht="30" customHeight="1">
      <x:c r="A43" s="4" t="str">
        <x:v>M0042</x:v>
      </x:c>
      <x:c r="B43" s="4" t="str">
        <x:v>JP</x:v>
      </x:c>
      <x:c r="C43" s="4" t="str">
        <x:v>新設住宅開工年增率</x:v>
      </x:c>
      <x:c r="D43" s="19" t="n">
        <x:v>-6.5</x:v>
      </x:c>
      <x:c r="E43" s="4" t="str">
        <x:v>%</x:v>
      </x:c>
      <x:c r="F43" s="16" t="n">
        <x:v>2025</x:v>
      </x:c>
      <x:c r="G43" s="4" t="str">
        <x:v>曆年戶數同比</x:v>
      </x:c>
      <x:c r="H43" s="4" t="str">
        <x:v>JP04</x:v>
      </x:c>
      <x:c r="I43" s="4" t="str">
        <x:v>https://www.mlit.go.jp/report/press/content/kencha25.pdf</x:v>
      </x:c>
      <x:c r="J43" s="4" t="str">
        <x:v>是</x:v>
      </x:c>
      <x:c r="K43" s="4" t="str">
        <x:v>是</x:v>
      </x:c>
      <x:c r="L43" s="4" t="str">
        <x:v>是</x:v>
      </x:c>
      <x:c r="M43" s="4" t="str">
        <x:v>是</x:v>
      </x:c>
      <x:c r="N43" s="4" t="str">
        <x:v>pass</x:v>
      </x:c>
      <x:c r="O43" s="4" t="str">
        <x:v>A</x:v>
      </x:c>
      <x:c r="P43" s="4" t="str">
        <x:v>是</x:v>
      </x:c>
      <x:c r="Q43" s="19" t="n">
        <x:v>-6.5</x:v>
      </x:c>
      <x:c r="R43" s="16" t="n">
        <x:v>2025</x:v>
      </x:c>
      <x:c r="S43" s="4" t="str">
        <x:v>【示意】曆年戶數同比；獨立來源1；來源A級</x:v>
      </x:c>
      <x:c r="T43" s="4" t="str">
        <x:v>示意</x:v>
      </x:c>
      <x:c r="U43" s="16" t="n">
        <x:v>1</x:v>
      </x:c>
      <x:c r="V43" s="4" t="str">
        <x:v>低</x:v>
      </x:c>
      <x:c r="W43" s="4" t="str">
        <x:v>PDF p3與p15：令和7年（2025）住宅開工740,667戶，同比-6.5%，床面積56,885千m²。</x:v>
      </x:c>
      <x:c r="X43" s="4" t="str">
        <x:v>依整合協議：單一獨立機構，confidence改為低；來源品質與三角驗證分開。</x:v>
      </x:c>
      <x:c r="Y43" s="37" t="d">
        <x:v>2026-10-09T00:00:00.000Z</x:v>
      </x:c>
      <x:c r="Z43" s="4" t="str">
        <x:v>turn200view2</x:v>
      </x:c>
    </x:row>
    <x:row r="44" ht="30" customHeight="1">
      <x:c r="A44" s="4" t="str">
        <x:v>M0043</x:v>
      </x:c>
      <x:c r="B44" s="4" t="str">
        <x:v>JP</x:v>
      </x:c>
      <x:c r="C44" s="4" t="str">
        <x:v>新設住宅開工面積</x:v>
      </x:c>
      <x:c r="D44" s="17" t="n">
        <x:v>56885000</x:v>
      </x:c>
      <x:c r="E44" s="4" t="str">
        <x:v>m²</x:v>
      </x:c>
      <x:c r="F44" s="16" t="n">
        <x:v>2025</x:v>
      </x:c>
      <x:c r="G44" s="4" t="str">
        <x:v>住宅著工床面積</x:v>
      </x:c>
      <x:c r="H44" s="4" t="str">
        <x:v>JP04</x:v>
      </x:c>
      <x:c r="I44" s="4" t="str">
        <x:v>https://www.mlit.go.jp/report/press/content/kencha25.pdf</x:v>
      </x:c>
      <x:c r="J44" s="4" t="str">
        <x:v>是</x:v>
      </x:c>
      <x:c r="K44" s="4" t="str">
        <x:v>是</x:v>
      </x:c>
      <x:c r="L44" s="4" t="str">
        <x:v>是</x:v>
      </x:c>
      <x:c r="M44" s="4" t="str">
        <x:v>是</x:v>
      </x:c>
      <x:c r="N44" s="4" t="str">
        <x:v>pass</x:v>
      </x:c>
      <x:c r="O44" s="4" t="str">
        <x:v>A</x:v>
      </x:c>
      <x:c r="P44" s="4" t="str">
        <x:v>是</x:v>
      </x:c>
      <x:c r="Q44" s="17" t="n">
        <x:v>56885000</x:v>
      </x:c>
      <x:c r="R44" s="16" t="n">
        <x:v>2025</x:v>
      </x:c>
      <x:c r="S44" s="4" t="str">
        <x:v>【示意】住宅著工床面積；獨立來源1；來源A級</x:v>
      </x:c>
      <x:c r="T44" s="4" t="str">
        <x:v>示意</x:v>
      </x:c>
      <x:c r="U44" s="16" t="n">
        <x:v>1</x:v>
      </x:c>
      <x:c r="V44" s="4" t="str">
        <x:v>低</x:v>
      </x:c>
      <x:c r="W44" s="4" t="str">
        <x:v>PDF p3與p15：令和7年（2025）住宅開工740,667戶，同比-6.5%，床面積56,885千m²。</x:v>
      </x:c>
      <x:c r="X44" s="4" t="str">
        <x:v>依整合協議：單一獨立機構，confidence改為低；來源品質與三角驗證分開。</x:v>
      </x:c>
      <x:c r="Y44" s="37" t="d">
        <x:v>2026-10-09T00:00:00.000Z</x:v>
      </x:c>
      <x:c r="Z44" s="4" t="str">
        <x:v>turn200view2</x:v>
      </x:c>
    </x:row>
    <x:row r="45" ht="38" customHeight="1">
      <x:c r="A45" s="4" t="str">
        <x:v>M0044</x:v>
      </x:c>
      <x:c r="B45" s="4" t="str">
        <x:v>JP</x:v>
      </x:c>
      <x:c r="C45" s="4" t="str">
        <x:v>育兒家庭翻修平均資金</x:v>
      </x:c>
      <x:c r="D45" s="17" t="n">
        <x:v>1490000</x:v>
      </x:c>
      <x:c r="E45" s="4" t="str">
        <x:v>JPY/案</x:v>
      </x:c>
      <x:c r="F45" s="16" t="str">
        <x:v>2025調查</x:v>
      </x:c>
      <x:c r="G45" s="4" t="str">
        <x:v>三大都市圈育兒家庭；2024-04至2025-03施工；包含小修非全屋平均</x:v>
      </x:c>
      <x:c r="H45" s="4" t="str">
        <x:v>JP05</x:v>
      </x:c>
      <x:c r="I45" s="4" t="str">
        <x:v>https://www.mlit.go.jp/report/press/content/002012180.pdf</x:v>
      </x:c>
      <x:c r="J45" s="4" t="str">
        <x:v>是</x:v>
      </x:c>
      <x:c r="K45" s="4" t="str">
        <x:v>是</x:v>
      </x:c>
      <x:c r="L45" s="4" t="str">
        <x:v>是</x:v>
      </x:c>
      <x:c r="M45" s="4" t="str">
        <x:v>是</x:v>
      </x:c>
      <x:c r="N45" s="4" t="str">
        <x:v>pass</x:v>
      </x:c>
      <x:c r="O45" s="4" t="str">
        <x:v>A</x:v>
      </x:c>
      <x:c r="P45" s="4" t="str">
        <x:v>是</x:v>
      </x:c>
      <x:c r="Q45" s="17" t="n">
        <x:v>1490000</x:v>
      </x:c>
      <x:c r="R45" s="16" t="str">
        <x:v>2025調查</x:v>
      </x:c>
      <x:c r="S45" s="4" t="str">
        <x:v>【示意】三大都市圈育兒家庭；2024-04至2025-03施工；包含小修非全屋平均；獨立來源1；來源A級</x:v>
      </x:c>
      <x:c r="T45" s="4" t="str">
        <x:v>示意</x:v>
      </x:c>
      <x:c r="U45" s="16" t="n">
        <x:v>1</x:v>
      </x:c>
      <x:c r="V45" s="4" t="str">
        <x:v>低</x:v>
      </x:c>
      <x:c r="W45" s="4" t="str">
        <x:v>PDF實際第370頁/印刷p364：2025調查子育て世帯翻修資金平均149萬円；第6頁：施工樣本期2024-04至2025-03、三大都市圈。</x:v>
      </x:c>
      <x:c r="X45" s="4" t="str">
        <x:v>依整合協議：單一獨立機構，confidence改為低；來源品質與三角驗證分開。</x:v>
      </x:c>
      <x:c r="Y45" s="37" t="d">
        <x:v>2026-10-09T00:00:00.000Z</x:v>
      </x:c>
      <x:c r="Z45" s="4" t="str">
        <x:v>turn207view5;turn219view3</x:v>
      </x:c>
    </x:row>
    <x:row r="46" ht="38" customHeight="1">
      <x:c r="A46" s="4" t="str">
        <x:v>M0045</x:v>
      </x:c>
      <x:c r="B46" s="4" t="str">
        <x:v>JP</x:v>
      </x:c>
      <x:c r="C46" s="4" t="str">
        <x:v>一般內裝無許可輕微工程門檻</x:v>
      </x:c>
      <x:c r="D46" s="17" t="n">
        <x:v>5000000</x:v>
      </x:c>
      <x:c r="E46" s="4" t="str">
        <x:v>JPY</x:v>
      </x:c>
      <x:c r="F46" s="16" t="n">
        <x:v>2026</x:v>
      </x:c>
      <x:c r="G46" s="4" t="str">
        <x:v>建築一式以外工程每件請負金額 &lt;5,000,000 JPY（含稅）；非其他法令豁免</x:v>
      </x:c>
      <x:c r="H46" s="4" t="str">
        <x:v>JP06</x:v>
      </x:c>
      <x:c r="I46" s="4" t="str">
        <x:v>https://www.mlit.go.jp/totikensangyo/const/1_6_bt_000080.html</x:v>
      </x:c>
      <x:c r="J46" s="4" t="str">
        <x:v>是</x:v>
      </x:c>
      <x:c r="K46" s="4" t="str">
        <x:v>是</x:v>
      </x:c>
      <x:c r="L46" s="4" t="str">
        <x:v>是</x:v>
      </x:c>
      <x:c r="M46" s="4" t="str">
        <x:v>是</x:v>
      </x:c>
      <x:c r="N46" s="4" t="str">
        <x:v>pass</x:v>
      </x:c>
      <x:c r="O46" s="4" t="str">
        <x:v>A</x:v>
      </x:c>
      <x:c r="P46" s="4" t="str">
        <x:v>是</x:v>
      </x:c>
      <x:c r="Q46" s="17" t="n">
        <x:v>5000000</x:v>
      </x:c>
      <x:c r="R46" s="16" t="str">
        <x:v>2026-10-09查詢現行說明</x:v>
      </x:c>
      <x:c r="S46" s="4" t="str">
        <x:v>【示意】建築一式以外工程每件請負金額 &lt;5,000,000 JPY（含稅）；非其他法令豁免；2026為查詢年，不代表首次施行年；獨立來源1；來源A級</x:v>
      </x:c>
      <x:c r="T46" s="4" t="str">
        <x:v>示意</x:v>
      </x:c>
      <x:c r="U46" s="16" t="n">
        <x:v>1</x:v>
      </x:c>
      <x:c r="V46" s="4" t="str">
        <x:v>低</x:v>
      </x:c>
      <x:c r="W46" s="4" t="str">
        <x:v>L24–43：建設業法第3條，一式以外輕微工程每件未滿500萬円，含消費稅；僅建設業許可例外。</x:v>
      </x:c>
      <x:c r="X46" s="4" t="str">
        <x:v>依整合協議：單一獨立機構，confidence改為低；來源品質與三角驗證分開。</x:v>
      </x:c>
      <x:c r="Y46" s="37" t="d">
        <x:v>2026-10-09T00:00:00.000Z</x:v>
      </x:c>
      <x:c r="Z46" s="4" t="str">
        <x:v>turn212view0</x:v>
      </x:c>
    </x:row>
    <x:row r="47" ht="38" customHeight="1">
      <x:c r="A47" s="4" t="str">
        <x:v>M0046</x:v>
      </x:c>
      <x:c r="B47" s="4" t="str">
        <x:v>JP</x:v>
      </x:c>
      <x:c r="C47" s="4" t="str">
        <x:v>一般建設業財務條件</x:v>
      </x:c>
      <x:c r="D47" s="17" t="n">
        <x:v>5000000</x:v>
      </x:c>
      <x:c r="E47" s="4" t="str">
        <x:v>JPY</x:v>
      </x:c>
      <x:c r="F47" s="16" t="n">
        <x:v>2026</x:v>
      </x:c>
      <x:c r="G47" s="4" t="str">
        <x:v>自有資本或資金籌措能力選項；另有技術與管理條件</x:v>
      </x:c>
      <x:c r="H47" s="4" t="str">
        <x:v>JP07</x:v>
      </x:c>
      <x:c r="I47" s="4" t="str">
        <x:v>https://www.mlit.go.jp/totikensangyo/const/1_6_bt_000082.html</x:v>
      </x:c>
      <x:c r="J47" s="4" t="str">
        <x:v>是</x:v>
      </x:c>
      <x:c r="K47" s="4" t="str">
        <x:v>是</x:v>
      </x:c>
      <x:c r="L47" s="4" t="str">
        <x:v>是</x:v>
      </x:c>
      <x:c r="M47" s="4" t="str">
        <x:v>是</x:v>
      </x:c>
      <x:c r="N47" s="4" t="str">
        <x:v>pass</x:v>
      </x:c>
      <x:c r="O47" s="4" t="str">
        <x:v>A</x:v>
      </x:c>
      <x:c r="P47" s="4" t="str">
        <x:v>是</x:v>
      </x:c>
      <x:c r="Q47" s="17" t="n">
        <x:v>5000000</x:v>
      </x:c>
      <x:c r="R47" s="16" t="str">
        <x:v>2026-10-09查詢現行說明</x:v>
      </x:c>
      <x:c r="S47" s="4" t="str">
        <x:v>【示意】自有資本或資金籌措能力選項；另有技術與管理條件；2026為查詢年，不代表首次施行年；獨立來源1；來源A級</x:v>
      </x:c>
      <x:c r="T47" s="4" t="str">
        <x:v>示意</x:v>
      </x:c>
      <x:c r="U47" s="16" t="n">
        <x:v>1</x:v>
      </x:c>
      <x:c r="V47" s="4" t="str">
        <x:v>低</x:v>
      </x:c>
      <x:c r="W47" s="4" t="str">
        <x:v>L188–196：一般建設業三擇一條件，自有資本500萬円以上或等額籌資能力、或許可前5年繼續經營；另有技術管理要件。</x:v>
      </x:c>
      <x:c r="X47" s="4" t="str">
        <x:v>依整合協議：單一獨立機構，confidence改為低；來源品質與三角驗證分開。</x:v>
      </x:c>
      <x:c r="Y47" s="37" t="d">
        <x:v>2026-10-09T00:00:00.000Z</x:v>
      </x:c>
      <x:c r="Z47" s="4" t="str">
        <x:v>turn219view1</x:v>
      </x:c>
    </x:row>
    <x:row r="48" ht="30" customHeight="1">
      <x:c r="A48" s="4" t="str">
        <x:v>M0047</x:v>
      </x:c>
      <x:c r="B48" s="4" t="str">
        <x:v>JP</x:v>
      </x:c>
      <x:c r="C48" s="4" t="str">
        <x:v>Nitori合併營收</x:v>
      </x:c>
      <x:c r="D48" s="17" t="n">
        <x:v>928828000000</x:v>
      </x:c>
      <x:c r="E48" s="4" t="str">
        <x:v>JPY</x:v>
      </x:c>
      <x:c r="F48" s="16" t="str">
        <x:v>FY2025-03</x:v>
      </x:c>
      <x:c r="G48" s="4" t="str">
        <x:v>IFRS全球家居零售等，不是日本住宅翻修</x:v>
      </x:c>
      <x:c r="H48" s="4" t="str">
        <x:v>JP11</x:v>
      </x:c>
      <x:c r="I48" s="4" t="str">
        <x:v>https://www.nitorihd.co.jp/ir/performance/pl.html</x:v>
      </x:c>
      <x:c r="J48" s="4" t="str">
        <x:v>是</x:v>
      </x:c>
      <x:c r="K48" s="4" t="str">
        <x:v>是</x:v>
      </x:c>
      <x:c r="L48" s="4" t="str">
        <x:v>是</x:v>
      </x:c>
      <x:c r="M48" s="4" t="str">
        <x:v>是</x:v>
      </x:c>
      <x:c r="N48" s="4" t="str">
        <x:v>pass</x:v>
      </x:c>
      <x:c r="O48" s="4" t="str">
        <x:v>A</x:v>
      </x:c>
      <x:c r="P48" s="4" t="str">
        <x:v>是</x:v>
      </x:c>
      <x:c r="Q48" s="17" t="n">
        <x:v>928828000000</x:v>
      </x:c>
      <x:c r="R48" s="16" t="str">
        <x:v>FY2025-03</x:v>
      </x:c>
      <x:c r="S48" s="4" t="str">
        <x:v>【示意】IFRS全球家居零售等，不是日本住宅翻修；獨立來源1；來源A級</x:v>
      </x:c>
      <x:c r="T48" s="4" t="str">
        <x:v>示意</x:v>
      </x:c>
      <x:c r="U48" s="16" t="n">
        <x:v>1</x:v>
      </x:c>
      <x:c r="V48" s="4" t="str">
        <x:v>低</x:v>
      </x:c>
      <x:c r="W48" s="4" t="str">
        <x:v>L42–59百萬円表：FY2025/3收入928,828；FY2026/3收入912,248，營業利益125,526。</x:v>
      </x:c>
      <x:c r="X48" s="4" t="str">
        <x:v>依整合協議：單一獨立機構，confidence改為低；來源品質與三角驗證分開。</x:v>
      </x:c>
      <x:c r="Y48" s="37" t="d">
        <x:v>2026-10-09T00:00:00.000Z</x:v>
      </x:c>
      <x:c r="Z48" s="4" t="str">
        <x:v>turn224view0</x:v>
      </x:c>
    </x:row>
    <x:row r="49" ht="30" customHeight="1">
      <x:c r="A49" s="4" t="str">
        <x:v>M0048</x:v>
      </x:c>
      <x:c r="B49" s="4" t="str">
        <x:v>JP</x:v>
      </x:c>
      <x:c r="C49" s="4" t="str">
        <x:v>Nitori合併營收</x:v>
      </x:c>
      <x:c r="D49" s="17" t="n">
        <x:v>912248000000</x:v>
      </x:c>
      <x:c r="E49" s="4" t="str">
        <x:v>JPY</x:v>
      </x:c>
      <x:c r="F49" s="16" t="str">
        <x:v>FY2026-03</x:v>
      </x:c>
      <x:c r="G49" s="4" t="str">
        <x:v>IFRS全球家居零售等</x:v>
      </x:c>
      <x:c r="H49" s="4" t="str">
        <x:v>JP11</x:v>
      </x:c>
      <x:c r="I49" s="4" t="str">
        <x:v>https://www.nitorihd.co.jp/ir/performance/pl.html</x:v>
      </x:c>
      <x:c r="J49" s="4" t="str">
        <x:v>是</x:v>
      </x:c>
      <x:c r="K49" s="4" t="str">
        <x:v>是</x:v>
      </x:c>
      <x:c r="L49" s="4" t="str">
        <x:v>是</x:v>
      </x:c>
      <x:c r="M49" s="4" t="str">
        <x:v>是</x:v>
      </x:c>
      <x:c r="N49" s="4" t="str">
        <x:v>pass</x:v>
      </x:c>
      <x:c r="O49" s="4" t="str">
        <x:v>A</x:v>
      </x:c>
      <x:c r="P49" s="4" t="str">
        <x:v>是</x:v>
      </x:c>
      <x:c r="Q49" s="17" t="n">
        <x:v>912248000000</x:v>
      </x:c>
      <x:c r="R49" s="16" t="str">
        <x:v>FY2026-03</x:v>
      </x:c>
      <x:c r="S49" s="4" t="str">
        <x:v>【示意】IFRS全球家居零售等；獨立來源1；來源A級</x:v>
      </x:c>
      <x:c r="T49" s="4" t="str">
        <x:v>示意</x:v>
      </x:c>
      <x:c r="U49" s="16" t="n">
        <x:v>1</x:v>
      </x:c>
      <x:c r="V49" s="4" t="str">
        <x:v>低</x:v>
      </x:c>
      <x:c r="W49" s="4" t="str">
        <x:v>L42–59百萬円表：FY2025/3收入928,828；FY2026/3收入912,248，營業利益125,526。</x:v>
      </x:c>
      <x:c r="X49" s="4" t="str">
        <x:v>依整合協議：單一獨立機構，confidence改為低；來源品質與三角驗證分開。</x:v>
      </x:c>
      <x:c r="Y49" s="37" t="d">
        <x:v>2026-10-09T00:00:00.000Z</x:v>
      </x:c>
      <x:c r="Z49" s="4" t="str">
        <x:v>turn224view0</x:v>
      </x:c>
    </x:row>
    <x:row r="50" ht="30" customHeight="1">
      <x:c r="A50" s="4" t="str">
        <x:v>M0049</x:v>
      </x:c>
      <x:c r="B50" s="4" t="str">
        <x:v>JP</x:v>
      </x:c>
      <x:c r="C50" s="4" t="str">
        <x:v>Nitori營業利益</x:v>
      </x:c>
      <x:c r="D50" s="17" t="n">
        <x:v>125526000000</x:v>
      </x:c>
      <x:c r="E50" s="4" t="str">
        <x:v>JPY</x:v>
      </x:c>
      <x:c r="F50" s="16" t="str">
        <x:v>FY2026-03</x:v>
      </x:c>
      <x:c r="G50" s="4" t="str">
        <x:v>IFRS全球集團</x:v>
      </x:c>
      <x:c r="H50" s="4" t="str">
        <x:v>JP11</x:v>
      </x:c>
      <x:c r="I50" s="4" t="str">
        <x:v>https://www.nitorihd.co.jp/ir/performance/pl.html</x:v>
      </x:c>
      <x:c r="J50" s="4" t="str">
        <x:v>是</x:v>
      </x:c>
      <x:c r="K50" s="4" t="str">
        <x:v>是</x:v>
      </x:c>
      <x:c r="L50" s="4" t="str">
        <x:v>是</x:v>
      </x:c>
      <x:c r="M50" s="4" t="str">
        <x:v>是</x:v>
      </x:c>
      <x:c r="N50" s="4" t="str">
        <x:v>pass</x:v>
      </x:c>
      <x:c r="O50" s="4" t="str">
        <x:v>A</x:v>
      </x:c>
      <x:c r="P50" s="4" t="str">
        <x:v>是</x:v>
      </x:c>
      <x:c r="Q50" s="17" t="n">
        <x:v>125526000000</x:v>
      </x:c>
      <x:c r="R50" s="16" t="str">
        <x:v>FY2026-03</x:v>
      </x:c>
      <x:c r="S50" s="4" t="str">
        <x:v>【示意】IFRS全球集團；獨立來源1；來源A級</x:v>
      </x:c>
      <x:c r="T50" s="4" t="str">
        <x:v>示意</x:v>
      </x:c>
      <x:c r="U50" s="16" t="n">
        <x:v>1</x:v>
      </x:c>
      <x:c r="V50" s="4" t="str">
        <x:v>低</x:v>
      </x:c>
      <x:c r="W50" s="4" t="str">
        <x:v>L42–59百萬円表：FY2025/3收入928,828；FY2026/3收入912,248，營業利益125,526。</x:v>
      </x:c>
      <x:c r="X50" s="4" t="str">
        <x:v>依整合協議：單一獨立機構，confidence改為低；來源品質與三角驗證分開。</x:v>
      </x:c>
      <x:c r="Y50" s="37" t="d">
        <x:v>2026-10-09T00:00:00.000Z</x:v>
      </x:c>
      <x:c r="Z50" s="4" t="str">
        <x:v>turn224view0</x:v>
      </x:c>
    </x:row>
    <x:row r="51" ht="30" customHeight="1">
      <x:c r="A51" s="4" t="str">
        <x:v>M0050</x:v>
      </x:c>
      <x:c r="B51" s="4" t="str">
        <x:v>JP</x:v>
      </x:c>
      <x:c r="C51" s="4" t="str">
        <x:v>KATITAS營收</x:v>
      </x:c>
      <x:c r="D51" s="17" t="n">
        <x:v>151800000000</x:v>
      </x:c>
      <x:c r="E51" s="4" t="str">
        <x:v>JPY</x:v>
      </x:c>
      <x:c r="F51" s="16" t="str">
        <x:v>FY2026-03</x:v>
      </x:c>
      <x:c r="G51" s="4" t="str">
        <x:v>買翻賣全屋售價收入，含物件取得價非純裝修</x:v>
      </x:c>
      <x:c r="H51" s="4" t="str">
        <x:v>JP12</x:v>
      </x:c>
      <x:c r="I51" s="4" t="str">
        <x:v>https://katitas.co.jp/ir/business.html</x:v>
      </x:c>
      <x:c r="J51" s="4" t="str">
        <x:v>是</x:v>
      </x:c>
      <x:c r="K51" s="4" t="str">
        <x:v>是</x:v>
      </x:c>
      <x:c r="L51" s="4" t="str">
        <x:v>是</x:v>
      </x:c>
      <x:c r="M51" s="4" t="str">
        <x:v>是</x:v>
      </x:c>
      <x:c r="N51" s="4" t="str">
        <x:v>pass</x:v>
      </x:c>
      <x:c r="O51" s="4" t="str">
        <x:v>A</x:v>
      </x:c>
      <x:c r="P51" s="4" t="str">
        <x:v>是</x:v>
      </x:c>
      <x:c r="Q51" s="17" t="n">
        <x:v>151800000000</x:v>
      </x:c>
      <x:c r="R51" s="16" t="str">
        <x:v>FY2026-03</x:v>
      </x:c>
      <x:c r="S51" s="4" t="str">
        <x:v>【示意】買翻賣全屋售價收入，含物件取得價非純裝修；獨立來源1；來源A級</x:v>
      </x:c>
      <x:c r="T51" s="4" t="str">
        <x:v>示意</x:v>
      </x:c>
      <x:c r="U51" s="16" t="n">
        <x:v>1</x:v>
      </x:c>
      <x:c r="V51" s="4" t="str">
        <x:v>低</x:v>
      </x:c>
      <x:c r="W51" s="4" t="str">
        <x:v>L81–88：2026年3月期販売8,380件、売上1,518億円、営業182億円；IR摘要圓整。</x:v>
      </x:c>
      <x:c r="X51" s="4" t="str">
        <x:v>依整合協議：單一獨立機構，confidence改為低；來源品質與三角驗證分開。</x:v>
      </x:c>
      <x:c r="Y51" s="37" t="d">
        <x:v>2026-10-09T00:00:00.000Z</x:v>
      </x:c>
      <x:c r="Z51" s="4" t="str">
        <x:v>turn212view3</x:v>
      </x:c>
    </x:row>
    <x:row r="52" ht="30" customHeight="1">
      <x:c r="A52" s="4" t="str">
        <x:v>M0051</x:v>
      </x:c>
      <x:c r="B52" s="4" t="str">
        <x:v>JP</x:v>
      </x:c>
      <x:c r="C52" s="4" t="str">
        <x:v>KATITAS營業利益</x:v>
      </x:c>
      <x:c r="D52" s="17" t="n">
        <x:v>18200000000</x:v>
      </x:c>
      <x:c r="E52" s="4" t="str">
        <x:v>JPY</x:v>
      </x:c>
      <x:c r="F52" s="16" t="str">
        <x:v>FY2026-03</x:v>
      </x:c>
      <x:c r="G52" s="4" t="str">
        <x:v>官方IR摘要取整數</x:v>
      </x:c>
      <x:c r="H52" s="4" t="str">
        <x:v>JP12</x:v>
      </x:c>
      <x:c r="I52" s="4" t="str">
        <x:v>https://katitas.co.jp/ir/business.html</x:v>
      </x:c>
      <x:c r="J52" s="4" t="str">
        <x:v>是</x:v>
      </x:c>
      <x:c r="K52" s="4" t="str">
        <x:v>是</x:v>
      </x:c>
      <x:c r="L52" s="4" t="str">
        <x:v>是</x:v>
      </x:c>
      <x:c r="M52" s="4" t="str">
        <x:v>是</x:v>
      </x:c>
      <x:c r="N52" s="4" t="str">
        <x:v>pass</x:v>
      </x:c>
      <x:c r="O52" s="4" t="str">
        <x:v>A</x:v>
      </x:c>
      <x:c r="P52" s="4" t="str">
        <x:v>是</x:v>
      </x:c>
      <x:c r="Q52" s="17" t="n">
        <x:v>18200000000</x:v>
      </x:c>
      <x:c r="R52" s="16" t="str">
        <x:v>FY2026-03</x:v>
      </x:c>
      <x:c r="S52" s="4" t="str">
        <x:v>【示意】官方IR摘要取整數；獨立來源1；來源A級</x:v>
      </x:c>
      <x:c r="T52" s="4" t="str">
        <x:v>示意</x:v>
      </x:c>
      <x:c r="U52" s="16" t="n">
        <x:v>1</x:v>
      </x:c>
      <x:c r="V52" s="4" t="str">
        <x:v>低</x:v>
      </x:c>
      <x:c r="W52" s="4" t="str">
        <x:v>L81–88：2026年3月期販売8,380件、売上1,518億円、営業182億円；IR摘要圓整。</x:v>
      </x:c>
      <x:c r="X52" s="4" t="str">
        <x:v>依整合協議：單一獨立機構，confidence改為低；來源品質與三角驗證分開。</x:v>
      </x:c>
      <x:c r="Y52" s="37" t="d">
        <x:v>2026-10-09T00:00:00.000Z</x:v>
      </x:c>
      <x:c r="Z52" s="4" t="str">
        <x:v>turn212view3</x:v>
      </x:c>
    </x:row>
    <x:row r="53" ht="30" customHeight="1">
      <x:c r="A53" s="4" t="str">
        <x:v>M0052</x:v>
      </x:c>
      <x:c r="B53" s="4" t="str">
        <x:v>JP</x:v>
      </x:c>
      <x:c r="C53" s="4" t="str">
        <x:v>KATITAS售屋件數</x:v>
      </x:c>
      <x:c r="D53" s="17" t="n">
        <x:v>8380</x:v>
      </x:c>
      <x:c r="E53" s="4" t="str">
        <x:v>件</x:v>
      </x:c>
      <x:c r="F53" s="16" t="str">
        <x:v>FY2026-03</x:v>
      </x:c>
      <x:c r="G53" s="4" t="str">
        <x:v>集團再生住宅銷售</x:v>
      </x:c>
      <x:c r="H53" s="4" t="str">
        <x:v>JP12</x:v>
      </x:c>
      <x:c r="I53" s="4" t="str">
        <x:v>https://katitas.co.jp/ir/business.html</x:v>
      </x:c>
      <x:c r="J53" s="4" t="str">
        <x:v>是</x:v>
      </x:c>
      <x:c r="K53" s="4" t="str">
        <x:v>是</x:v>
      </x:c>
      <x:c r="L53" s="4" t="str">
        <x:v>是</x:v>
      </x:c>
      <x:c r="M53" s="4" t="str">
        <x:v>是</x:v>
      </x:c>
      <x:c r="N53" s="4" t="str">
        <x:v>pass</x:v>
      </x:c>
      <x:c r="O53" s="4" t="str">
        <x:v>A</x:v>
      </x:c>
      <x:c r="P53" s="4" t="str">
        <x:v>是</x:v>
      </x:c>
      <x:c r="Q53" s="17" t="n">
        <x:v>8380</x:v>
      </x:c>
      <x:c r="R53" s="16" t="str">
        <x:v>FY2026-03</x:v>
      </x:c>
      <x:c r="S53" s="4" t="str">
        <x:v>【示意】集團再生住宅銷售；獨立來源1；來源A級</x:v>
      </x:c>
      <x:c r="T53" s="4" t="str">
        <x:v>示意</x:v>
      </x:c>
      <x:c r="U53" s="16" t="n">
        <x:v>1</x:v>
      </x:c>
      <x:c r="V53" s="4" t="str">
        <x:v>低</x:v>
      </x:c>
      <x:c r="W53" s="4" t="str">
        <x:v>L81–88：2026年3月期販売8,380件、売上1,518億円、営業182億円；IR摘要圓整。</x:v>
      </x:c>
      <x:c r="X53" s="4" t="str">
        <x:v>依整合協議：單一獨立機構，confidence改為低；來源品質與三角驗證分開。</x:v>
      </x:c>
      <x:c r="Y53" s="37" t="d">
        <x:v>2026-10-09T00:00:00.000Z</x:v>
      </x:c>
      <x:c r="Z53" s="4" t="str">
        <x:v>turn212view3</x:v>
      </x:c>
    </x:row>
    <x:row r="54" ht="38" customHeight="1">
      <x:c r="A54" s="4" t="str">
        <x:v>M0053</x:v>
      </x:c>
      <x:c r="B54" s="4" t="str">
        <x:v>JP</x:v>
      </x:c>
      <x:c r="C54" s="4" t="str">
        <x:v>RENOVERU客製60m²價格</x:v>
      </x:c>
      <x:c r="D54" s="14" t="str">
        <x:v>15000000–21000000</x:v>
      </x:c>
      <x:c r="E54" s="4" t="str">
        <x:v>JPY/案</x:v>
      </x:c>
      <x:c r="F54" s="16" t="str">
        <x:v>2026查詢</x:v>
      </x:c>
      <x:c r="G54" s="4" t="str">
        <x:v>首都圈公司客戶實績，非全國均價；稅別未明</x:v>
      </x:c>
      <x:c r="H54" s="4" t="str">
        <x:v>JP13</x:v>
      </x:c>
      <x:c r="I54" s="4" t="str">
        <x:v>https://www.renoveru.jp/contents/price</x:v>
      </x:c>
      <x:c r="J54" s="4" t="str">
        <x:v>是</x:v>
      </x:c>
      <x:c r="K54" s="4" t="str">
        <x:v>是</x:v>
      </x:c>
      <x:c r="L54" s="4" t="str">
        <x:v>是</x:v>
      </x:c>
      <x:c r="M54" s="4" t="str">
        <x:v>是</x:v>
      </x:c>
      <x:c r="N54" s="4" t="str">
        <x:v>pass</x:v>
      </x:c>
      <x:c r="O54" s="4" t="str">
        <x:v>C</x:v>
      </x:c>
      <x:c r="P54" s="4" t="str">
        <x:v>是</x:v>
      </x:c>
      <x:c r="Q54" s="14" t="str">
        <x:v>15000000–21000000</x:v>
      </x:c>
      <x:c r="R54" s="16" t="str">
        <x:v>2026查詢</x:v>
      </x:c>
      <x:c r="S54" s="4" t="str">
        <x:v>【示意】首都圈公司客戶實績，非全國均價；稅別未明；獨立來源1；來源C級</x:v>
      </x:c>
      <x:c r="T54" s="4" t="str">
        <x:v>示意</x:v>
      </x:c>
      <x:c r="U54" s="16" t="n">
        <x:v>1</x:v>
      </x:c>
      <x:c r="V54" s="4" t="str">
        <x:v>低</x:v>
      </x:c>
      <x:c r="W54" s="4" t="str">
        <x:v>L51–78首都圈公司案例：60m²1500–2100萬円、The R70m²1100–1300萬円；無統計樣本截止年，2026只為檢索年。</x:v>
      </x:c>
      <x:c r="X54" s="4" t="str">
        <x:v>依整合協議：單一獨立機構，confidence改為低；來源品質與三角驗證分開。 年份已寫查詢，不視為2026年度成交實績；企業自報參考區間。</x:v>
      </x:c>
      <x:c r="Y54" s="37" t="d">
        <x:v>2026-10-09T00:00:00.000Z</x:v>
      </x:c>
      <x:c r="Z54" s="4" t="str">
        <x:v>turn230view0</x:v>
      </x:c>
    </x:row>
    <x:row r="55" ht="38" customHeight="1">
      <x:c r="A55" s="4" t="str">
        <x:v>M0054</x:v>
      </x:c>
      <x:c r="B55" s="4" t="str">
        <x:v>JP</x:v>
      </x:c>
      <x:c r="C55" s="4" t="str">
        <x:v>RENOVERU標準70m²價格</x:v>
      </x:c>
      <x:c r="D55" s="14" t="str">
        <x:v>11000000–13000000</x:v>
      </x:c>
      <x:c r="E55" s="4" t="str">
        <x:v>JPY/案</x:v>
      </x:c>
      <x:c r="F55" s="16" t="str">
        <x:v>2026查詢</x:v>
      </x:c>
      <x:c r="G55" s="4" t="str">
        <x:v>The R產品；非市場基本價</x:v>
      </x:c>
      <x:c r="H55" s="4" t="str">
        <x:v>JP13</x:v>
      </x:c>
      <x:c r="I55" s="4" t="str">
        <x:v>https://www.renoveru.jp/contents/price</x:v>
      </x:c>
      <x:c r="J55" s="4" t="str">
        <x:v>是</x:v>
      </x:c>
      <x:c r="K55" s="4" t="str">
        <x:v>是</x:v>
      </x:c>
      <x:c r="L55" s="4" t="str">
        <x:v>是</x:v>
      </x:c>
      <x:c r="M55" s="4" t="str">
        <x:v>是</x:v>
      </x:c>
      <x:c r="N55" s="4" t="str">
        <x:v>pass</x:v>
      </x:c>
      <x:c r="O55" s="4" t="str">
        <x:v>C</x:v>
      </x:c>
      <x:c r="P55" s="4" t="str">
        <x:v>是</x:v>
      </x:c>
      <x:c r="Q55" s="14" t="str">
        <x:v>11000000–13000000</x:v>
      </x:c>
      <x:c r="R55" s="16" t="str">
        <x:v>2026查詢</x:v>
      </x:c>
      <x:c r="S55" s="4" t="str">
        <x:v>【示意】The R產品；非市場基本價；獨立來源1；來源C級</x:v>
      </x:c>
      <x:c r="T55" s="4" t="str">
        <x:v>示意</x:v>
      </x:c>
      <x:c r="U55" s="16" t="n">
        <x:v>1</x:v>
      </x:c>
      <x:c r="V55" s="4" t="str">
        <x:v>低</x:v>
      </x:c>
      <x:c r="W55" s="4" t="str">
        <x:v>L51–78首都圈公司案例：60m²1500–2100萬円、The R70m²1100–1300萬円；無統計樣本截止年，2026只為檢索年。</x:v>
      </x:c>
      <x:c r="X55" s="4" t="str">
        <x:v>依整合協議：單一獨立機構，confidence改為低；來源品質與三角驗證分開。 年份已寫查詢，不視為2026年度成交實績；企業自報參考區間。</x:v>
      </x:c>
      <x:c r="Y55" s="37" t="d">
        <x:v>2026-10-09T00:00:00.000Z</x:v>
      </x:c>
      <x:c r="Z55" s="4" t="str">
        <x:v>turn230view0</x:v>
      </x:c>
    </x:row>
    <x:row r="56" ht="38" customHeight="1">
      <x:c r="A56" s="4" t="str">
        <x:v>M0055</x:v>
      </x:c>
      <x:c r="B56" s="4" t="str">
        <x:v>JP</x:v>
      </x:c>
      <x:c r="C56" s="4" t="str">
        <x:v>SHUKEN全屋翻修實績</x:v>
      </x:c>
      <x:c r="D56" s="14" t="str">
        <x:v>180000–200000</x:v>
      </x:c>
      <x:c r="E56" s="4" t="str">
        <x:v>JPY/m²</x:v>
      </x:c>
      <x:c r="F56" s="16" t="n">
        <x:v>2025</x:v>
      </x:c>
      <x:c r="G56" s="4" t="str">
        <x:v>單一業者主流成交帶；非全國抽樣</x:v>
      </x:c>
      <x:c r="H56" s="4" t="str">
        <x:v>JP14</x:v>
      </x:c>
      <x:c r="I56" s="4" t="str">
        <x:v>https://shuken-renovation.jp/yomimono/column/no824/</x:v>
      </x:c>
      <x:c r="J56" s="4" t="str">
        <x:v>是</x:v>
      </x:c>
      <x:c r="K56" s="4" t="str">
        <x:v>是</x:v>
      </x:c>
      <x:c r="L56" s="4" t="str">
        <x:v>否</x:v>
      </x:c>
      <x:c r="M56" s="4" t="str">
        <x:v>是</x:v>
      </x:c>
      <x:c r="N56" s="4" t="str">
        <x:v>partial</x:v>
      </x:c>
      <x:c r="O56" s="4" t="str">
        <x:v>D</x:v>
      </x:c>
      <x:c r="P56" s="4" t="str">
        <x:v>否</x:v>
      </x:c>
      <x:c r="Q56" s="14" t="str"/>
      <x:c r="R56" s="16" t="str"/>
      <x:c r="S56" s="4" t="str"/>
      <x:c r="T56" s="4" t="str">
        <x:v>不採用</x:v>
      </x:c>
      <x:c r="U56" s="16" t="n">
        <x:v>1</x:v>
      </x:c>
      <x:c r="V56" s="4" t="str">
        <x:v>低</x:v>
      </x:c>
      <x:c r="W56" s="4" t="str">
        <x:v>L166：公司實績試算中心18–20萬円/m²；HTML公開日2025-12-01，但未載成交樣本年份。依協議部落格D，不採市場定量。</x:v>
      </x:c>
      <x:c r="X56" s="4" t="str">
        <x:v>依整合協議：單一獨立機構，confidence改為低；來源品質與三角驗證分開。</x:v>
      </x:c>
      <x:c r="Y56" s="37" t="d">
        <x:v>2026-10-09T00:00:00.000Z</x:v>
      </x:c>
      <x:c r="Z56" s="4" t="str">
        <x:v>turn241view1;local-download:JP14.html</x:v>
      </x:c>
    </x:row>
    <x:row r="57" ht="38" customHeight="1">
      <x:c r="A57" s="4" t="str">
        <x:v>M0056</x:v>
      </x:c>
      <x:c r="B57" s="4" t="str">
        <x:v>JP</x:v>
      </x:c>
      <x:c r="C57" s="4" t="str">
        <x:v>積水ハウス集團翻修營收</x:v>
      </x:c>
      <x:c r="D57" s="17" t="n">
        <x:v>183870000000</x:v>
      </x:c>
      <x:c r="E57" s="4" t="str">
        <x:v>JPY</x:v>
      </x:c>
      <x:c r="F57" s="16" t="str">
        <x:v>2025榜單</x:v>
      </x:c>
      <x:c r="G57" s="4" t="str">
        <x:v>Nikka新聞稿轉引產業新聞調查，決算基期依原榜</x:v>
      </x:c>
      <x:c r="H57" s="4" t="str">
        <x:v>JP15</x:v>
      </x:c>
      <x:c r="I57" s="4" t="str">
        <x:v>https://prtimes.jp/main/html/rd/p/000000232.000074598.html</x:v>
      </x:c>
      <x:c r="J57" s="4" t="str">
        <x:v>是</x:v>
      </x:c>
      <x:c r="K57" s="4" t="str">
        <x:v>是</x:v>
      </x:c>
      <x:c r="L57" s="4" t="str">
        <x:v>是</x:v>
      </x:c>
      <x:c r="M57" s="4" t="str">
        <x:v>是</x:v>
      </x:c>
      <x:c r="N57" s="4" t="str">
        <x:v>pass</x:v>
      </x:c>
      <x:c r="O57" s="4" t="str">
        <x:v>C</x:v>
      </x:c>
      <x:c r="P57" s="4" t="str">
        <x:v>是</x:v>
      </x:c>
      <x:c r="Q57" s="17" t="n">
        <x:v>183870000000</x:v>
      </x:c>
      <x:c r="R57" s="16" t="str">
        <x:v>2025榜單</x:v>
      </x:c>
      <x:c r="S57" s="4" t="str">
        <x:v>【示意】Nikka新聞稿轉引產業新聞調查，決算基期依原榜；獨立來源1；來源C級</x:v>
      </x:c>
      <x:c r="T57" s="4" t="str">
        <x:v>示意</x:v>
      </x:c>
      <x:c r="U57" s="16" t="n">
        <x:v>1</x:v>
      </x:c>
      <x:c r="V57" s="4" t="str">
        <x:v>低</x:v>
      </x:c>
      <x:c r="W57" s="4" t="str">
        <x:v>L30/45：2025-10-16發稿，2025榜單積水1838億7000萬円、大和1786億1000萬円；下載HTML h2明載全國113店（令和7年10月時點）。公司新聞稿轉引排行。</x:v>
      </x:c>
      <x:c r="X57" s="4" t="str">
        <x:v>依整合協議：單一獨立機構，confidence改為低；來源品質與三角驗證分開。</x:v>
      </x:c>
      <x:c r="Y57" s="37" t="d">
        <x:v>2026-10-09T00:00:00.000Z</x:v>
      </x:c>
      <x:c r="Z57" s="4" t="str">
        <x:v>turn236view1;local-download:JP15.html</x:v>
      </x:c>
    </x:row>
    <x:row r="58" ht="38" customHeight="1">
      <x:c r="A58" s="4" t="str">
        <x:v>M0057</x:v>
      </x:c>
      <x:c r="B58" s="4" t="str">
        <x:v>JP</x:v>
      </x:c>
      <x:c r="C58" s="4" t="str">
        <x:v>大和ハウス集團翻修營收</x:v>
      </x:c>
      <x:c r="D58" s="17" t="n">
        <x:v>178610000000</x:v>
      </x:c>
      <x:c r="E58" s="4" t="str">
        <x:v>JPY</x:v>
      </x:c>
      <x:c r="F58" s="16" t="str">
        <x:v>2025榜單</x:v>
      </x:c>
      <x:c r="G58" s="4" t="str">
        <x:v>同上，不等同集團總營收</x:v>
      </x:c>
      <x:c r="H58" s="4" t="str">
        <x:v>JP15</x:v>
      </x:c>
      <x:c r="I58" s="4" t="str">
        <x:v>https://prtimes.jp/main/html/rd/p/000000232.000074598.html</x:v>
      </x:c>
      <x:c r="J58" s="4" t="str">
        <x:v>是</x:v>
      </x:c>
      <x:c r="K58" s="4" t="str">
        <x:v>是</x:v>
      </x:c>
      <x:c r="L58" s="4" t="str">
        <x:v>是</x:v>
      </x:c>
      <x:c r="M58" s="4" t="str">
        <x:v>是</x:v>
      </x:c>
      <x:c r="N58" s="4" t="str">
        <x:v>pass</x:v>
      </x:c>
      <x:c r="O58" s="4" t="str">
        <x:v>C</x:v>
      </x:c>
      <x:c r="P58" s="4" t="str">
        <x:v>是</x:v>
      </x:c>
      <x:c r="Q58" s="17" t="n">
        <x:v>178610000000</x:v>
      </x:c>
      <x:c r="R58" s="16" t="str">
        <x:v>2025榜單</x:v>
      </x:c>
      <x:c r="S58" s="4" t="str">
        <x:v>【示意】同上，不等同集團總營收；獨立來源1；來源C級</x:v>
      </x:c>
      <x:c r="T58" s="4" t="str">
        <x:v>示意</x:v>
      </x:c>
      <x:c r="U58" s="16" t="n">
        <x:v>1</x:v>
      </x:c>
      <x:c r="V58" s="4" t="str">
        <x:v>低</x:v>
      </x:c>
      <x:c r="W58" s="4" t="str">
        <x:v>L30/45：2025-10-16發稿，2025榜單積水1838億7000萬円、大和1786億1000萬円；下載HTML h2明載全國113店（令和7年10月時點）。公司新聞稿轉引排行。</x:v>
      </x:c>
      <x:c r="X58" s="4" t="str">
        <x:v>依整合協議：單一獨立機構，confidence改為低；來源品質與三角驗證分開。</x:v>
      </x:c>
      <x:c r="Y58" s="37" t="d">
        <x:v>2026-10-09T00:00:00.000Z</x:v>
      </x:c>
      <x:c r="Z58" s="4" t="str">
        <x:v>turn236view1;local-download:JP15.html</x:v>
      </x:c>
    </x:row>
    <x:row r="59" ht="38" customHeight="1">
      <x:c r="A59" s="4" t="str">
        <x:v>M0058</x:v>
      </x:c>
      <x:c r="B59" s="4" t="str">
        <x:v>JP</x:v>
      </x:c>
      <x:c r="C59" s="4" t="str">
        <x:v>Nikka店數</x:v>
      </x:c>
      <x:c r="D59" s="17" t="n">
        <x:v>113</x:v>
      </x:c>
      <x:c r="E59" s="4" t="str">
        <x:v>店</x:v>
      </x:c>
      <x:c r="F59" s="16" t="str">
        <x:v>2025-10</x:v>
      </x:c>
      <x:c r="G59" s="4" t="str">
        <x:v>全國門店</x:v>
      </x:c>
      <x:c r="H59" s="4" t="str">
        <x:v>JP15</x:v>
      </x:c>
      <x:c r="I59" s="4" t="str">
        <x:v>https://prtimes.jp/main/html/rd/p/000000232.000074598.html</x:v>
      </x:c>
      <x:c r="J59" s="4" t="str">
        <x:v>是</x:v>
      </x:c>
      <x:c r="K59" s="4" t="str">
        <x:v>是</x:v>
      </x:c>
      <x:c r="L59" s="4" t="str">
        <x:v>是</x:v>
      </x:c>
      <x:c r="M59" s="4" t="str">
        <x:v>是</x:v>
      </x:c>
      <x:c r="N59" s="4" t="str">
        <x:v>pass</x:v>
      </x:c>
      <x:c r="O59" s="4" t="str">
        <x:v>C</x:v>
      </x:c>
      <x:c r="P59" s="4" t="str">
        <x:v>是</x:v>
      </x:c>
      <x:c r="Q59" s="17" t="n">
        <x:v>113</x:v>
      </x:c>
      <x:c r="R59" s="16" t="str">
        <x:v>2025-10</x:v>
      </x:c>
      <x:c r="S59" s="4" t="str">
        <x:v>【示意】全國門店；獨立來源1；來源C級</x:v>
      </x:c>
      <x:c r="T59" s="4" t="str">
        <x:v>示意</x:v>
      </x:c>
      <x:c r="U59" s="16" t="n">
        <x:v>1</x:v>
      </x:c>
      <x:c r="V59" s="4" t="str">
        <x:v>低</x:v>
      </x:c>
      <x:c r="W59" s="4" t="str">
        <x:v>L30/45：2025-10-16發稿，2025榜單積水1838億7000萬円、大和1786億1000萬円；下載HTML h2明載全國113店（令和7年10月時點）。公司新聞稿轉引排行。</x:v>
      </x:c>
      <x:c r="X59" s="4" t="str">
        <x:v>依整合協議：單一獨立機構，confidence改為低；來源品質與三角驗證分開。</x:v>
      </x:c>
      <x:c r="Y59" s="37" t="d">
        <x:v>2026-10-09T00:00:00.000Z</x:v>
      </x:c>
      <x:c r="Z59" s="4" t="str">
        <x:v>turn236view1;local-download:JP15.html</x:v>
      </x:c>
    </x:row>
    <x:row r="60" ht="52" customHeight="1">
      <x:c r="A60" s="4" t="str">
        <x:v>M0059</x:v>
      </x:c>
      <x:c r="B60" s="4" t="str">
        <x:v>JP</x:v>
      </x:c>
      <x:c r="C60" s="4" t="str">
        <x:v>SUUMO排名收錄公司</x:v>
      </x:c>
      <x:c r="D60" s="17" t="n">
        <x:v>932</x:v>
      </x:c>
      <x:c r="E60" s="4" t="str">
        <x:v>家</x:v>
      </x:c>
      <x:c r="F60" s="16" t="str">
        <x:v>2026-09</x:v>
      </x:c>
      <x:c r="G60" s="4" t="str">
        <x:v>平台流量排行樣本，不等同全國公司家數</x:v>
      </x:c>
      <x:c r="H60" s="4" t="str">
        <x:v>JP16</x:v>
      </x:c>
      <x:c r="I60" s="4" t="str">
        <x:v>https://suumo.jp/remodel/rank/kaisha/</x:v>
      </x:c>
      <x:c r="J60" s="4" t="str">
        <x:v>是</x:v>
      </x:c>
      <x:c r="K60" s="4" t="str">
        <x:v>是</x:v>
      </x:c>
      <x:c r="L60" s="4" t="str">
        <x:v>否</x:v>
      </x:c>
      <x:c r="M60" s="4" t="str">
        <x:v>是</x:v>
      </x:c>
      <x:c r="N60" s="4" t="str">
        <x:v>partial</x:v>
      </x:c>
      <x:c r="O60" s="4" t="str">
        <x:v>C</x:v>
      </x:c>
      <x:c r="P60" s="4" t="str">
        <x:v>是</x:v>
      </x:c>
      <x:c r="Q60" s="17" t="n">
        <x:v>932</x:v>
      </x:c>
      <x:c r="R60" s="16" t="str">
        <x:v>2026-09-02至2026-10-06</x:v>
      </x:c>
      <x:c r="S60" s="4" t="str">
        <x:v>【示意】SUUMO頁面名為2026年9月排行；按各社頁面アクセス數，932社為該排行樣本；獨立來源1；來源C級；查核限制：L34/81–85：932家公司、頁面標2026年9月榜、集計2026-09-02至10-06；アクセス排行榜不是營收／成交排行。</x:v>
      </x:c>
      <x:c r="T60" s="4" t="str">
        <x:v>示意</x:v>
      </x:c>
      <x:c r="U60" s="16" t="n">
        <x:v>1</x:v>
      </x:c>
      <x:c r="V60" s="4" t="str">
        <x:v>低</x:v>
      </x:c>
      <x:c r="W60" s="4" t="str">
        <x:v>L34/81–85：932家公司、頁面標2026年9月榜、集計2026-09-02至10-06；アクセス排行榜不是營收／成交排行。</x:v>
      </x:c>
      <x:c r="X60" s="4" t="str">
        <x:v>依整合協議：單一獨立機構，confidence改為低；來源品質與三角驗證分開。</x:v>
      </x:c>
      <x:c r="Y60" s="37" t="d">
        <x:v>2026-10-09T00:00:00.000Z</x:v>
      </x:c>
      <x:c r="Z60" s="4" t="str">
        <x:v>turn230view3</x:v>
      </x:c>
    </x:row>
    <x:row r="61" ht="30" customHeight="1">
      <x:c r="A61" s="4" t="str">
        <x:v>M0060</x:v>
      </x:c>
      <x:c r="B61" s="4" t="str">
        <x:v>JP</x:v>
      </x:c>
      <x:c r="C61" s="4" t="str">
        <x:v>TOTOリモデルクラブ</x:v>
      </x:c>
      <x:c r="D61" s="17" t="n">
        <x:v>5000</x:v>
      </x:c>
      <x:c r="E61" s="4" t="str">
        <x:v>工事店約</x:v>
      </x:c>
      <x:c r="F61" s="16" t="n">
        <x:v>2025</x:v>
      </x:c>
      <x:c r="G61" s="4" t="str">
        <x:v>志願加盟協作網絡，非直營店</x:v>
      </x:c>
      <x:c r="H61" s="4" t="str">
        <x:v>JP17</x:v>
      </x:c>
      <x:c r="I61" s="4" t="str">
        <x:v>https://jp.toto.com/assets/files/report2025_52-60.pdf</x:v>
      </x:c>
      <x:c r="J61" s="4" t="str">
        <x:v>是</x:v>
      </x:c>
      <x:c r="K61" s="4" t="str">
        <x:v>是</x:v>
      </x:c>
      <x:c r="L61" s="4" t="str">
        <x:v>是</x:v>
      </x:c>
      <x:c r="M61" s="4" t="str">
        <x:v>是</x:v>
      </x:c>
      <x:c r="N61" s="4" t="str">
        <x:v>pass</x:v>
      </x:c>
      <x:c r="O61" s="4" t="str">
        <x:v>A</x:v>
      </x:c>
      <x:c r="P61" s="4" t="str">
        <x:v>是</x:v>
      </x:c>
      <x:c r="Q61" s="17" t="n">
        <x:v>5000</x:v>
      </x:c>
      <x:c r="R61" s="16" t="n">
        <x:v>2025</x:v>
      </x:c>
      <x:c r="S61" s="4" t="str">
        <x:v>【示意】志願加盟協作網絡，非直營店；獨立來源1；來源A級</x:v>
      </x:c>
      <x:c r="T61" s="4" t="str">
        <x:v>示意</x:v>
      </x:c>
      <x:c r="U61" s="16" t="n">
        <x:v>1</x:v>
      </x:c>
      <x:c r="V61" s="4" t="str">
        <x:v>低</x:v>
      </x:c>
      <x:c r="W61" s="4" t="str">
        <x:v>TOTO統合報告2025 PDF第1頁L37–38：リモデルクラブ約5,000店，協作網絡非直營。</x:v>
      </x:c>
      <x:c r="X61" s="4" t="str">
        <x:v>依整合協議：單一獨立機構，confidence改為低；來源品質與三角驗證分開。</x:v>
      </x:c>
      <x:c r="Y61" s="37" t="d">
        <x:v>2026-10-09T00:00:00.000Z</x:v>
      </x:c>
      <x:c r="Z61" s="4" t="str">
        <x:v>turn236view0</x:v>
      </x:c>
    </x:row>
    <x:row r="62" ht="38" customHeight="1">
      <x:c r="A62" s="4" t="str">
        <x:v>M0061</x:v>
      </x:c>
      <x:c r="B62" s="4" t="str">
        <x:v>JP</x:v>
      </x:c>
      <x:c r="C62" s="4" t="str">
        <x:v>公共工事設計勞務單價</x:v>
      </x:c>
      <x:c r="D62" s="17" t="n">
        <x:v>25834</x:v>
      </x:c>
      <x:c r="E62" s="4" t="str">
        <x:v>JPY/日</x:v>
      </x:c>
      <x:c r="F62" s="16" t="n">
        <x:v>2026</x:v>
      </x:c>
      <x:c r="G62" s="4" t="str">
        <x:v>全職種全國加權平均；非室裝木工實領/報價</x:v>
      </x:c>
      <x:c r="H62" s="4" t="str">
        <x:v>JP18</x:v>
      </x:c>
      <x:c r="I62" s="4" t="str">
        <x:v>https://www.mlit.go.jp/report/press/tochi_fudousan_kensetsugyo14_hh_000001_00337.html</x:v>
      </x:c>
      <x:c r="J62" s="4" t="str">
        <x:v>是</x:v>
      </x:c>
      <x:c r="K62" s="4" t="str">
        <x:v>是</x:v>
      </x:c>
      <x:c r="L62" s="4" t="str">
        <x:v>是</x:v>
      </x:c>
      <x:c r="M62" s="4" t="str">
        <x:v>是</x:v>
      </x:c>
      <x:c r="N62" s="4" t="str">
        <x:v>pass</x:v>
      </x:c>
      <x:c r="O62" s="4" t="str">
        <x:v>A</x:v>
      </x:c>
      <x:c r="P62" s="4" t="str">
        <x:v>是</x:v>
      </x:c>
      <x:c r="Q62" s="17" t="n">
        <x:v>25834</x:v>
      </x:c>
      <x:c r="R62" s="16" t="n">
        <x:v>2026</x:v>
      </x:c>
      <x:c r="S62" s="4" t="str">
        <x:v>【示意】全職種全國加權平均；非室裝木工實領/報價；獨立來源1；來源A級</x:v>
      </x:c>
      <x:c r="T62" s="4" t="str">
        <x:v>示意</x:v>
      </x:c>
      <x:c r="U62" s="16" t="n">
        <x:v>1</x:v>
      </x:c>
      <x:c r="V62" s="4" t="str">
        <x:v>低</x:v>
      </x:c>
      <x:c r="W62" s="4" t="str">
        <x:v>2026-02-17公告L13–21：2026年3月適用，加權全職種25,834円，單純平均同比+4.5%；不含事業主必要經費。</x:v>
      </x:c>
      <x:c r="X62" s="4" t="str">
        <x:v>依整合協議：單一獨立機構，confidence改為低；來源品質與三角驗證分開。</x:v>
      </x:c>
      <x:c r="Y62" s="37" t="d">
        <x:v>2026-10-09T00:00:00.000Z</x:v>
      </x:c>
      <x:c r="Z62" s="4" t="str">
        <x:v>turn224view2</x:v>
      </x:c>
    </x:row>
    <x:row r="63" ht="38" customHeight="1">
      <x:c r="A63" s="4" t="str">
        <x:v>M0062</x:v>
      </x:c>
      <x:c r="B63" s="4" t="str">
        <x:v>JP</x:v>
      </x:c>
      <x:c r="C63" s="4" t="str">
        <x:v>公共工事設計勞務單價年增</x:v>
      </x:c>
      <x:c r="D63" s="19" t="n">
        <x:v>4.5</x:v>
      </x:c>
      <x:c r="E63" s="4" t="str">
        <x:v>%</x:v>
      </x:c>
      <x:c r="F63" s="16" t="n">
        <x:v>2026</x:v>
      </x:c>
      <x:c r="G63" s="4" t="str">
        <x:v>全職種單純平均同比；與加權單價口徑不同</x:v>
      </x:c>
      <x:c r="H63" s="4" t="str">
        <x:v>JP18</x:v>
      </x:c>
      <x:c r="I63" s="4" t="str">
        <x:v>https://www.mlit.go.jp/report/press/tochi_fudousan_kensetsugyo14_hh_000001_00337.html</x:v>
      </x:c>
      <x:c r="J63" s="4" t="str">
        <x:v>是</x:v>
      </x:c>
      <x:c r="K63" s="4" t="str">
        <x:v>是</x:v>
      </x:c>
      <x:c r="L63" s="4" t="str">
        <x:v>是</x:v>
      </x:c>
      <x:c r="M63" s="4" t="str">
        <x:v>是</x:v>
      </x:c>
      <x:c r="N63" s="4" t="str">
        <x:v>pass</x:v>
      </x:c>
      <x:c r="O63" s="4" t="str">
        <x:v>A</x:v>
      </x:c>
      <x:c r="P63" s="4" t="str">
        <x:v>是</x:v>
      </x:c>
      <x:c r="Q63" s="19" t="n">
        <x:v>4.5</x:v>
      </x:c>
      <x:c r="R63" s="16" t="n">
        <x:v>2026</x:v>
      </x:c>
      <x:c r="S63" s="4" t="str">
        <x:v>【示意】全職種單純平均同比；與加權單價口徑不同；獨立來源1；來源A級</x:v>
      </x:c>
      <x:c r="T63" s="4" t="str">
        <x:v>示意</x:v>
      </x:c>
      <x:c r="U63" s="16" t="n">
        <x:v>1</x:v>
      </x:c>
      <x:c r="V63" s="4" t="str">
        <x:v>低</x:v>
      </x:c>
      <x:c r="W63" s="4" t="str">
        <x:v>2026-02-17公告L13–21：2026年3月適用，加權全職種25,834円，單純平均同比+4.5%；不含事業主必要經費。</x:v>
      </x:c>
      <x:c r="X63" s="4" t="str">
        <x:v>依整合協議：單一獨立機構，confidence改為低；來源品質與三角驗證分開。</x:v>
      </x:c>
      <x:c r="Y63" s="37" t="d">
        <x:v>2026-10-09T00:00:00.000Z</x:v>
      </x:c>
      <x:c r="Z63" s="4" t="str">
        <x:v>turn224view2</x:v>
      </x:c>
    </x:row>
    <x:row r="64" ht="30" customHeight="1">
      <x:c r="A64" s="4" t="str">
        <x:v>M0063</x:v>
      </x:c>
      <x:c r="B64" s="4" t="str">
        <x:v>JP</x:v>
      </x:c>
      <x:c r="C64" s="4" t="str">
        <x:v>先進窗戶翻修每戶補助上限</x:v>
      </x:c>
      <x:c r="D64" s="17" t="n">
        <x:v>1000000</x:v>
      </x:c>
      <x:c r="E64" s="4" t="str">
        <x:v>JPY/戶</x:v>
      </x:c>
      <x:c r="F64" s="16" t="n">
        <x:v>2026</x:v>
      </x:c>
      <x:c r="G64" s="4" t="str">
        <x:v>符合工項和產品資格、有預算額度</x:v>
      </x:c>
      <x:c r="H64" s="4" t="str">
        <x:v>JP19</x:v>
      </x:c>
      <x:c r="I64" s="4" t="str">
        <x:v>https://jutaku-shoene2026.mlit.go.jp/about/reform.html</x:v>
      </x:c>
      <x:c r="J64" s="4" t="str">
        <x:v>是</x:v>
      </x:c>
      <x:c r="K64" s="4" t="str">
        <x:v>是</x:v>
      </x:c>
      <x:c r="L64" s="4" t="str">
        <x:v>是</x:v>
      </x:c>
      <x:c r="M64" s="4" t="str">
        <x:v>是</x:v>
      </x:c>
      <x:c r="N64" s="4" t="str">
        <x:v>pass</x:v>
      </x:c>
      <x:c r="O64" s="4" t="str">
        <x:v>A</x:v>
      </x:c>
      <x:c r="P64" s="4" t="str">
        <x:v>是</x:v>
      </x:c>
      <x:c r="Q64" s="17" t="n">
        <x:v>1000000</x:v>
      </x:c>
      <x:c r="R64" s="16" t="n">
        <x:v>2026</x:v>
      </x:c>
      <x:c r="S64" s="4" t="str">
        <x:v>【示意】符合工項和產品資格、有預算額度；獨立來源1；來源A級</x:v>
      </x:c>
      <x:c r="T64" s="4" t="str">
        <x:v>示意</x:v>
      </x:c>
      <x:c r="U64" s="16" t="n">
        <x:v>1</x:v>
      </x:c>
      <x:c r="V64" s="4" t="str">
        <x:v>低</x:v>
      </x:c>
      <x:c r="W64" s="4" t="str">
        <x:v>L57：窗戶翻修預算1,125億円；L92：住宅每戶100萬円上限；政策預算不是支出。</x:v>
      </x:c>
      <x:c r="X64" s="4" t="str">
        <x:v>依整合協議：單一獨立機構，confidence改為低；來源品質與三角驗證分開。</x:v>
      </x:c>
      <x:c r="Y64" s="37" t="d">
        <x:v>2026-10-09T00:00:00.000Z</x:v>
      </x:c>
      <x:c r="Z64" s="4" t="str">
        <x:v>turn230view5;turn224view10</x:v>
      </x:c>
    </x:row>
    <x:row r="65" ht="30" customHeight="1">
      <x:c r="A65" s="4" t="str">
        <x:v>M0064</x:v>
      </x:c>
      <x:c r="B65" s="4" t="str">
        <x:v>JP</x:v>
      </x:c>
      <x:c r="C65" s="4" t="str">
        <x:v>窗戶翻修補助總預算</x:v>
      </x:c>
      <x:c r="D65" s="17" t="n">
        <x:v>112500000000</x:v>
      </x:c>
      <x:c r="E65" s="4" t="str">
        <x:v>JPY</x:v>
      </x:c>
      <x:c r="F65" s="16" t="n">
        <x:v>2026</x:v>
      </x:c>
      <x:c r="G65" s="4" t="str">
        <x:v>環境省先進的窗戶翻修事業預算，非已實際支出</x:v>
      </x:c>
      <x:c r="H65" s="4" t="str">
        <x:v>JP19</x:v>
      </x:c>
      <x:c r="I65" s="4" t="str">
        <x:v>https://jutaku-shoene2026.mlit.go.jp/about/reform.html</x:v>
      </x:c>
      <x:c r="J65" s="4" t="str">
        <x:v>是</x:v>
      </x:c>
      <x:c r="K65" s="4" t="str">
        <x:v>是</x:v>
      </x:c>
      <x:c r="L65" s="4" t="str">
        <x:v>是</x:v>
      </x:c>
      <x:c r="M65" s="4" t="str">
        <x:v>是</x:v>
      </x:c>
      <x:c r="N65" s="4" t="str">
        <x:v>pass</x:v>
      </x:c>
      <x:c r="O65" s="4" t="str">
        <x:v>A</x:v>
      </x:c>
      <x:c r="P65" s="4" t="str">
        <x:v>是</x:v>
      </x:c>
      <x:c r="Q65" s="17" t="n">
        <x:v>112500000000</x:v>
      </x:c>
      <x:c r="R65" s="16" t="n">
        <x:v>2026</x:v>
      </x:c>
      <x:c r="S65" s="4" t="str">
        <x:v>【示意】環境省先進的窗戶翻修事業預算，非已實際支出；獨立來源1；來源A級</x:v>
      </x:c>
      <x:c r="T65" s="4" t="str">
        <x:v>示意</x:v>
      </x:c>
      <x:c r="U65" s="16" t="n">
        <x:v>1</x:v>
      </x:c>
      <x:c r="V65" s="4" t="str">
        <x:v>低</x:v>
      </x:c>
      <x:c r="W65" s="4" t="str">
        <x:v>L57：窗戶翻修預算1,125億円；L92：住宅每戶100萬円上限；政策預算不是支出。</x:v>
      </x:c>
      <x:c r="X65" s="4" t="str">
        <x:v>依整合協議：單一獨立機構，confidence改為低；來源品質與三角驗證分開。</x:v>
      </x:c>
      <x:c r="Y65" s="37" t="d">
        <x:v>2026-10-09T00:00:00.000Z</x:v>
      </x:c>
      <x:c r="Z65" s="4" t="str">
        <x:v>turn230view5;turn224view10</x:v>
      </x:c>
    </x:row>
    <x:row r="66" ht="38" customHeight="1">
      <x:c r="A66" s="4" t="str">
        <x:v>M0065</x:v>
      </x:c>
      <x:c r="B66" s="4" t="str">
        <x:v>JP</x:v>
      </x:c>
      <x:c r="C66" s="4" t="str">
        <x:v>人均GDP</x:v>
      </x:c>
      <x:c r="D66" s="21" t="n">
        <x:v>35951.045</x:v>
      </x:c>
      <x:c r="E66" s="4" t="str">
        <x:v>USD/人</x:v>
      </x:c>
      <x:c r="F66" s="16" t="n">
        <x:v>2025</x:v>
      </x:c>
      <x:c r="G66" s="4" t="str">
        <x:v>名目、現價美元；WDI 2025歷史數列，可能修訂，非家庭可支配所得</x:v>
      </x:c>
      <x:c r="H66" s="4" t="str">
        <x:v>MJP</x:v>
      </x:c>
      <x:c r="I66" s="4" t="str">
        <x:v>https://data.worldbank.org/country/japan</x:v>
      </x:c>
      <x:c r="J66" s="4" t="str">
        <x:v>是</x:v>
      </x:c>
      <x:c r="K66" s="4" t="str">
        <x:v>是</x:v>
      </x:c>
      <x:c r="L66" s="4" t="str">
        <x:v>是</x:v>
      </x:c>
      <x:c r="M66" s="4" t="str">
        <x:v>是</x:v>
      </x:c>
      <x:c r="N66" s="4" t="str">
        <x:v>pass</x:v>
      </x:c>
      <x:c r="O66" s="4" t="str">
        <x:v>A</x:v>
      </x:c>
      <x:c r="P66" s="4" t="str">
        <x:v>是</x:v>
      </x:c>
      <x:c r="Q66" s="21" t="n">
        <x:v>35951.045</x:v>
      </x:c>
      <x:c r="R66" s="16" t="n">
        <x:v>2025</x:v>
      </x:c>
      <x:c r="S66" s="4" t="str">
        <x:v>【示意】名目、現價美元；WDI 2025歷史數列，可能修訂，非家庭可支配所得；獨立來源1；來源A級</x:v>
      </x:c>
      <x:c r="T66" s="4" t="str">
        <x:v>示意</x:v>
      </x:c>
      <x:c r="U66" s="16" t="n">
        <x:v>1</x:v>
      </x:c>
      <x:c r="V66" s="4" t="str">
        <x:v>低</x:v>
      </x:c>
      <x:c r="W66" s="4" t="str">
        <x:v>WDI國家頁Latest value(2025)：人均GDP=35951.045 USD/人；人口=123366734 人；GDP=4440000000000.0 USD。GDP和CN/IN人口按頁面取整，不提高精度。</x:v>
      </x:c>
      <x:c r="X66" s="4" t="str">
        <x:v>單一獨立原始機構，依協議第4條低信心示意；A/B來源等級不等於已三角驗證。</x:v>
      </x:c>
      <x:c r="Y66" s="37" t="d">
        <x:v>2026-10-09T00:00:00.000Z</x:v>
      </x:c>
      <x:c r="Z66" s="4" t="str">
        <x:v>turn215view0</x:v>
      </x:c>
    </x:row>
    <x:row r="67" ht="38" customHeight="1">
      <x:c r="A67" s="4" t="str">
        <x:v>M0066</x:v>
      </x:c>
      <x:c r="B67" s="4" t="str">
        <x:v>JP</x:v>
      </x:c>
      <x:c r="C67" s="4" t="str">
        <x:v>人口</x:v>
      </x:c>
      <x:c r="D67" s="17" t="n">
        <x:v>123366734</x:v>
      </x:c>
      <x:c r="E67" s="4" t="str">
        <x:v>人</x:v>
      </x:c>
      <x:c r="F67" s="16" t="n">
        <x:v>2025</x:v>
      </x:c>
      <x:c r="G67" s="4" t="str">
        <x:v>WDI 2025；CN、IN為頁面billion顯示的四捨五入值，其餘依顯示人數</x:v>
      </x:c>
      <x:c r="H67" s="4" t="str">
        <x:v>MJP</x:v>
      </x:c>
      <x:c r="I67" s="4" t="str">
        <x:v>https://data.worldbank.org/country/japan</x:v>
      </x:c>
      <x:c r="J67" s="4" t="str">
        <x:v>是</x:v>
      </x:c>
      <x:c r="K67" s="4" t="str">
        <x:v>是</x:v>
      </x:c>
      <x:c r="L67" s="4" t="str">
        <x:v>是</x:v>
      </x:c>
      <x:c r="M67" s="4" t="str">
        <x:v>是</x:v>
      </x:c>
      <x:c r="N67" s="4" t="str">
        <x:v>pass</x:v>
      </x:c>
      <x:c r="O67" s="4" t="str">
        <x:v>A</x:v>
      </x:c>
      <x:c r="P67" s="4" t="str">
        <x:v>是</x:v>
      </x:c>
      <x:c r="Q67" s="17" t="n">
        <x:v>123366734</x:v>
      </x:c>
      <x:c r="R67" s="16" t="n">
        <x:v>2025</x:v>
      </x:c>
      <x:c r="S67" s="4" t="str">
        <x:v>【示意】WDI 2025；CN、IN為頁面billion顯示的四捨五入值，其餘依顯示人數；獨立來源1；來源A級</x:v>
      </x:c>
      <x:c r="T67" s="4" t="str">
        <x:v>示意</x:v>
      </x:c>
      <x:c r="U67" s="16" t="n">
        <x:v>1</x:v>
      </x:c>
      <x:c r="V67" s="4" t="str">
        <x:v>低</x:v>
      </x:c>
      <x:c r="W67" s="4" t="str">
        <x:v>WDI國家頁Latest value(2025)：人均GDP=35951.045 USD/人；人口=123366734 人；GDP=4440000000000.0 USD。GDP和CN/IN人口按頁面取整，不提高精度。</x:v>
      </x:c>
      <x:c r="X67" s="4" t="str">
        <x:v>單一獨立原始機構，依協議第4條低信心示意；A/B來源等級不等於已三角驗證。</x:v>
      </x:c>
      <x:c r="Y67" s="37" t="d">
        <x:v>2026-10-09T00:00:00.000Z</x:v>
      </x:c>
      <x:c r="Z67" s="4" t="str">
        <x:v>turn215view0</x:v>
      </x:c>
    </x:row>
    <x:row r="68" ht="38" customHeight="1">
      <x:c r="A68" s="4" t="str">
        <x:v>M0067</x:v>
      </x:c>
      <x:c r="B68" s="4" t="str">
        <x:v>JP</x:v>
      </x:c>
      <x:c r="C68" s="4" t="str">
        <x:v>GDP</x:v>
      </x:c>
      <x:c r="D68" s="17" t="n">
        <x:v>4440000000000</x:v>
      </x:c>
      <x:c r="E68" s="4" t="str">
        <x:v>USD</x:v>
      </x:c>
      <x:c r="F68" s="16" t="n">
        <x:v>2025</x:v>
      </x:c>
      <x:c r="G68" s="4" t="str">
        <x:v>WDI 2025現價；頁面billion/trillion四捨五入值</x:v>
      </x:c>
      <x:c r="H68" s="4" t="str">
        <x:v>MJP</x:v>
      </x:c>
      <x:c r="I68" s="4" t="str">
        <x:v>https://data.worldbank.org/country/japan</x:v>
      </x:c>
      <x:c r="J68" s="4" t="str">
        <x:v>是</x:v>
      </x:c>
      <x:c r="K68" s="4" t="str">
        <x:v>是</x:v>
      </x:c>
      <x:c r="L68" s="4" t="str">
        <x:v>是</x:v>
      </x:c>
      <x:c r="M68" s="4" t="str">
        <x:v>是</x:v>
      </x:c>
      <x:c r="N68" s="4" t="str">
        <x:v>pass</x:v>
      </x:c>
      <x:c r="O68" s="4" t="str">
        <x:v>A</x:v>
      </x:c>
      <x:c r="P68" s="4" t="str">
        <x:v>是</x:v>
      </x:c>
      <x:c r="Q68" s="17" t="n">
        <x:v>4440000000000</x:v>
      </x:c>
      <x:c r="R68" s="16" t="n">
        <x:v>2025</x:v>
      </x:c>
      <x:c r="S68" s="4" t="str">
        <x:v>【示意】WDI 2025現價；頁面billion/trillion四捨五入值；獨立來源1；來源A級</x:v>
      </x:c>
      <x:c r="T68" s="4" t="str">
        <x:v>示意</x:v>
      </x:c>
      <x:c r="U68" s="16" t="n">
        <x:v>1</x:v>
      </x:c>
      <x:c r="V68" s="4" t="str">
        <x:v>低</x:v>
      </x:c>
      <x:c r="W68" s="4" t="str">
        <x:v>WDI國家頁Latest value(2025)：人均GDP=35951.045 USD/人；人口=123366734 人；GDP=4440000000000.0 USD。GDP和CN/IN人口按頁面取整，不提高精度。</x:v>
      </x:c>
      <x:c r="X68" s="4" t="str">
        <x:v>單一獨立原始機構，依協議第4條低信心示意；A/B來源等級不等於已三角驗證。</x:v>
      </x:c>
      <x:c r="Y68" s="37" t="d">
        <x:v>2026-10-09T00:00:00.000Z</x:v>
      </x:c>
      <x:c r="Z68" s="4" t="str">
        <x:v>turn215view0</x:v>
      </x:c>
    </x:row>
    <x:row r="69" ht="38" customHeight="1">
      <x:c r="A69" s="4" t="str">
        <x:v>M0068</x:v>
      </x:c>
      <x:c r="B69" s="4" t="str">
        <x:v>JP</x:v>
      </x:c>
      <x:c r="C69" s="4" t="str">
        <x:v>東京商辦裝修成本</x:v>
      </x:c>
      <x:c r="D69" s="20" t="n">
        <x:v>2314.24073959259</x:v>
      </x:c>
      <x:c r="E69" s="4" t="str">
        <x:v>USD/m²</x:v>
      </x:c>
      <x:c r="F69" s="16" t="n">
        <x:v>2026</x:v>
      </x:c>
      <x:c r="G69" s="4" t="str">
        <x:v>C&amp;W 2026商辦fit-out，價格基準2025年12月；USD/ft²÷0.09290304，非住宅報價，報告自身匯率</x:v>
      </x:c>
      <x:c r="H69" s="4" t="str">
        <x:v>X02</x:v>
      </x:c>
      <x:c r="I69" s="4" t="str">
        <x:v>https://digital.cushmanwakefield.com/fitoutcostguide-03-2026-apac-regional-en-content-pds-office/30-31/</x:v>
      </x:c>
      <x:c r="J69" s="4" t="str">
        <x:v>是</x:v>
      </x:c>
      <x:c r="K69" s="4" t="str">
        <x:v>是</x:v>
      </x:c>
      <x:c r="L69" s="4" t="str">
        <x:v>是</x:v>
      </x:c>
      <x:c r="M69" s="4" t="str">
        <x:v>是</x:v>
      </x:c>
      <x:c r="N69" s="4" t="str">
        <x:v>pass</x:v>
      </x:c>
      <x:c r="O69" s="4" t="str">
        <x:v>B</x:v>
      </x:c>
      <x:c r="P69" s="4" t="str">
        <x:v>是</x:v>
      </x:c>
      <x:c r="Q69" s="20" t="n">
        <x:v>2314.24073959259</x:v>
      </x:c>
      <x:c r="R69" s="16" t="n">
        <x:v>2026</x:v>
      </x:c>
      <x:c r="S69" s="4" t="str">
        <x:v>【示意】C&amp;W 2026商辦fit-out，價格基準2025年12月；USD/ft²÷0.09290304，非住宅報價，報告自身匯率；獨立來源1；來源B級</x:v>
      </x:c>
      <x:c r="T69" s="4" t="str">
        <x:v>示意</x:v>
      </x:c>
      <x:c r="U69" s="16" t="n">
        <x:v>1</x:v>
      </x:c>
      <x:c r="V69" s="4" t="str">
        <x:v>低</x:v>
      </x:c>
      <x:c r="W69" s="4" t="str">
        <x:v>成本頁逐城讀USD/ft²；配合X11方法頁確定價格2025-12，報告2026。 東京=215USD/ft²，除0.09290304得2314.24073959259USD/m²；原幣1198726JPY/坪。</x:v>
      </x:c>
      <x:c r="X69" s="4" t="str">
        <x:v>單一獨立原始機構，依協議第4條低信心示意；A/B來源等級不等於已三角驗證。</x:v>
      </x:c>
      <x:c r="Y69" s="37" t="d">
        <x:v>2026-10-09T00:00:00.000Z</x:v>
      </x:c>
      <x:c r="Z69" s="4" t="str">
        <x:v>turn202view1</x:v>
      </x:c>
    </x:row>
    <x:row r="70" ht="38" customHeight="1">
      <x:c r="A70" s="4" t="str">
        <x:v>M0069</x:v>
      </x:c>
      <x:c r="B70" s="4" t="str">
        <x:v>JP</x:v>
      </x:c>
      <x:c r="C70" s="4" t="str">
        <x:v>MUJI營收</x:v>
      </x:c>
      <x:c r="D70" s="17" t="n">
        <x:v>784629</x:v>
      </x:c>
      <x:c r="E70" s="4" t="str">
        <x:v>百萬JPY</x:v>
      </x:c>
      <x:c r="F70" s="16" t="str">
        <x:v>FY2025-08</x:v>
      </x:c>
      <x:c r="G70" s="4" t="str">
        <x:v>良品計畫全球合併；生活雜貨含多項商品，不等於家具市場</x:v>
      </x:c>
      <x:c r="H70" s="4" t="str">
        <x:v>X06</x:v>
      </x:c>
      <x:c r="I70" s="4" t="str">
        <x:v>https://www.ryohin-keikaku.jp/pdf/corporate/overview/2025-2026_jp.pdf</x:v>
      </x:c>
      <x:c r="J70" s="4" t="str">
        <x:v>是</x:v>
      </x:c>
      <x:c r="K70" s="4" t="str">
        <x:v>是</x:v>
      </x:c>
      <x:c r="L70" s="4" t="str">
        <x:v>是</x:v>
      </x:c>
      <x:c r="M70" s="4" t="str">
        <x:v>是</x:v>
      </x:c>
      <x:c r="N70" s="4" t="str">
        <x:v>pass</x:v>
      </x:c>
      <x:c r="O70" s="4" t="str">
        <x:v>C</x:v>
      </x:c>
      <x:c r="P70" s="4" t="str">
        <x:v>是</x:v>
      </x:c>
      <x:c r="Q70" s="17" t="n">
        <x:v>784629</x:v>
      </x:c>
      <x:c r="R70" s="16" t="str">
        <x:v>FY2025-08</x:v>
      </x:c>
      <x:c r="S70" s="4" t="str">
        <x:v>【示意】良品計畫全球合併；生活雜貨含多項商品，不等於家具市場；獨立來源1；來源C級</x:v>
      </x:c>
      <x:c r="T70" s="4" t="str">
        <x:v>示意</x:v>
      </x:c>
      <x:c r="U70" s="16" t="n">
        <x:v>1</x:v>
      </x:c>
      <x:c r="V70" s="4" t="str">
        <x:v>低</x:v>
      </x:c>
      <x:c r="W70" s="4" t="str">
        <x:v>PDF第4頁營收7,846億29百萬円；第8頁生活雜貨3,681億84百萬円、營業利益738億円（已取整），FY2025-08。</x:v>
      </x:c>
      <x:c r="X70" s="4" t="str">
        <x:v>單一獨立原始機構，依協議第4條低信心示意；A/B來源等級不等於已三角驗證。</x:v>
      </x:c>
      <x:c r="Y70" s="37" t="d">
        <x:v>2026-10-09T00:00:00.000Z</x:v>
      </x:c>
      <x:c r="Z70" s="4" t="str">
        <x:v>turn252view0</x:v>
      </x:c>
    </x:row>
    <x:row r="71" ht="38" customHeight="1">
      <x:c r="A71" s="4" t="str">
        <x:v>M0070</x:v>
      </x:c>
      <x:c r="B71" s="4" t="str">
        <x:v>JP</x:v>
      </x:c>
      <x:c r="C71" s="4" t="str">
        <x:v>MUJI營業利益</x:v>
      </x:c>
      <x:c r="D71" s="17" t="n">
        <x:v>73800</x:v>
      </x:c>
      <x:c r="E71" s="4" t="str">
        <x:v>百萬JPY</x:v>
      </x:c>
      <x:c r="F71" s="16" t="str">
        <x:v>FY2025-08</x:v>
      </x:c>
      <x:c r="G71" s="4" t="str">
        <x:v>良品計畫全球合併；生活雜貨含多項商品，不等於家具市場</x:v>
      </x:c>
      <x:c r="H71" s="4" t="str">
        <x:v>X06</x:v>
      </x:c>
      <x:c r="I71" s="4" t="str">
        <x:v>https://www.ryohin-keikaku.jp/pdf/corporate/overview/2025-2026_jp.pdf</x:v>
      </x:c>
      <x:c r="J71" s="4" t="str">
        <x:v>是</x:v>
      </x:c>
      <x:c r="K71" s="4" t="str">
        <x:v>是</x:v>
      </x:c>
      <x:c r="L71" s="4" t="str">
        <x:v>是</x:v>
      </x:c>
      <x:c r="M71" s="4" t="str">
        <x:v>是</x:v>
      </x:c>
      <x:c r="N71" s="4" t="str">
        <x:v>pass</x:v>
      </x:c>
      <x:c r="O71" s="4" t="str">
        <x:v>C</x:v>
      </x:c>
      <x:c r="P71" s="4" t="str">
        <x:v>是</x:v>
      </x:c>
      <x:c r="Q71" s="17" t="n">
        <x:v>73800</x:v>
      </x:c>
      <x:c r="R71" s="16" t="str">
        <x:v>FY2025-08</x:v>
      </x:c>
      <x:c r="S71" s="4" t="str">
        <x:v>【示意】良品計畫全球合併；生活雜貨含多項商品，不等於家具市場；原公司簡介為738億日圓約數，換成百萬單位不代表精度到百萬；獨立來源1；來源C級</x:v>
      </x:c>
      <x:c r="T71" s="4" t="str">
        <x:v>示意</x:v>
      </x:c>
      <x:c r="U71" s="16" t="n">
        <x:v>1</x:v>
      </x:c>
      <x:c r="V71" s="4" t="str">
        <x:v>低</x:v>
      </x:c>
      <x:c r="W71" s="4" t="str">
        <x:v>PDF第4頁營收7,846億29百萬円；第8頁生活雜貨3,681億84百萬円、營業利益738億円（已取整），FY2025-08。</x:v>
      </x:c>
      <x:c r="X71" s="4" t="str">
        <x:v>單一獨立原始機構，依協議第4條低信心示意；A/B來源等級不等於已三角驗證。</x:v>
      </x:c>
      <x:c r="Y71" s="37" t="d">
        <x:v>2026-10-09T00:00:00.000Z</x:v>
      </x:c>
      <x:c r="Z71" s="4" t="str">
        <x:v>turn252view0</x:v>
      </x:c>
    </x:row>
    <x:row r="72" ht="38" customHeight="1">
      <x:c r="A72" s="4" t="str">
        <x:v>M0071</x:v>
      </x:c>
      <x:c r="B72" s="4" t="str">
        <x:v>JP</x:v>
      </x:c>
      <x:c r="C72" s="4" t="str">
        <x:v>MUJI生活雜貨銷售</x:v>
      </x:c>
      <x:c r="D72" s="17" t="n">
        <x:v>368184</x:v>
      </x:c>
      <x:c r="E72" s="4" t="str">
        <x:v>百萬JPY</x:v>
      </x:c>
      <x:c r="F72" s="16" t="str">
        <x:v>FY2025-08</x:v>
      </x:c>
      <x:c r="G72" s="4" t="str">
        <x:v>良品計畫全球合併；生活雜貨含多項商品，不等於家具市場</x:v>
      </x:c>
      <x:c r="H72" s="4" t="str">
        <x:v>X06</x:v>
      </x:c>
      <x:c r="I72" s="4" t="str">
        <x:v>https://www.ryohin-keikaku.jp/pdf/corporate/overview/2025-2026_jp.pdf</x:v>
      </x:c>
      <x:c r="J72" s="4" t="str">
        <x:v>是</x:v>
      </x:c>
      <x:c r="K72" s="4" t="str">
        <x:v>是</x:v>
      </x:c>
      <x:c r="L72" s="4" t="str">
        <x:v>是</x:v>
      </x:c>
      <x:c r="M72" s="4" t="str">
        <x:v>是</x:v>
      </x:c>
      <x:c r="N72" s="4" t="str">
        <x:v>pass</x:v>
      </x:c>
      <x:c r="O72" s="4" t="str">
        <x:v>C</x:v>
      </x:c>
      <x:c r="P72" s="4" t="str">
        <x:v>是</x:v>
      </x:c>
      <x:c r="Q72" s="17" t="n">
        <x:v>368184</x:v>
      </x:c>
      <x:c r="R72" s="16" t="str">
        <x:v>FY2025-08</x:v>
      </x:c>
      <x:c r="S72" s="4" t="str">
        <x:v>【示意】良品計畫全球合併；生活雜貨含多項商品，不等於家具市場；獨立來源1；來源C級</x:v>
      </x:c>
      <x:c r="T72" s="4" t="str">
        <x:v>示意</x:v>
      </x:c>
      <x:c r="U72" s="16" t="n">
        <x:v>1</x:v>
      </x:c>
      <x:c r="V72" s="4" t="str">
        <x:v>低</x:v>
      </x:c>
      <x:c r="W72" s="4" t="str">
        <x:v>PDF第4頁營收7,846億29百萬円；第8頁生活雜貨3,681億84百萬円、營業利益738億円（已取整），FY2025-08。</x:v>
      </x:c>
      <x:c r="X72" s="4" t="str">
        <x:v>單一獨立原始機構，依協議第4條低信心示意；A/B來源等級不等於已三角驗證。</x:v>
      </x:c>
      <x:c r="Y72" s="37" t="d">
        <x:v>2026-10-09T00:00:00.000Z</x:v>
      </x:c>
      <x:c r="Z72" s="4" t="str">
        <x:v>turn252view0</x:v>
      </x:c>
    </x:row>
    <x:row r="73" ht="52" customHeight="1">
      <x:c r="A73" s="4" t="str">
        <x:v>M0072</x:v>
      </x:c>
      <x:c r="B73" s="4" t="str">
        <x:v>KR</x:v>
      </x:c>
      <x:c r="C73" s="4" t="str">
        <x:v>人口</x:v>
      </x:c>
      <x:c r="D73" s="18" t="n">
        <x:v>51.82</x:v>
      </x:c>
      <x:c r="E73" s="4" t="str">
        <x:v>百萬人</x:v>
      </x:c>
      <x:c r="F73" s="16" t="n">
        <x:v>2025</x:v>
      </x:c>
      <x:c r="G73" s="4" t="str">
        <x:v>2025-11-01人口普查；含外籍</x:v>
      </x:c>
      <x:c r="H73" s="4" t="str">
        <x:v>KR01</x:v>
      </x:c>
      <x:c r="I73" s="4" t="str">
        <x:v>https://eiec.kdi.re.kr/policy/materialView.do?num=284799</x:v>
      </x:c>
      <x:c r="J73" s="4" t="str">
        <x:v>是</x:v>
      </x:c>
      <x:c r="K73" s="4" t="str">
        <x:v>是</x:v>
      </x:c>
      <x:c r="L73" s="4" t="str">
        <x:v>是</x:v>
      </x:c>
      <x:c r="M73" s="4" t="str">
        <x:v>是</x:v>
      </x:c>
      <x:c r="N73" s="4" t="str">
        <x:v>pass</x:v>
      </x:c>
      <x:c r="O73" s="4" t="str">
        <x:v>A</x:v>
      </x:c>
      <x:c r="P73" s="4" t="str">
        <x:v>是</x:v>
      </x:c>
      <x:c r="Q73" s="18" t="n">
        <x:v>51.82</x:v>
      </x:c>
      <x:c r="R73" s="16" t="n">
        <x:v>2025</x:v>
      </x:c>
      <x:c r="S73" s="4" t="str">
        <x:v>【示意】2025-11-01人口普查；含外籍；獨立來源1；來源A級</x:v>
      </x:c>
      <x:c r="T73" s="4" t="str">
        <x:v>示意</x:v>
      </x:c>
      <x:c r="U73" s="16" t="n">
        <x:v>1</x:v>
      </x:c>
      <x:c r="V73" s="4" t="str">
        <x:v>低</x:v>
      </x:c>
      <x:c r="W73" s="4" t="str">
        <x:v>L355–370；2025-11-01 普查，人口 5,182 萬、65+ 1,072 萬／20.7%、住宅 2,018 萬、公寓 65.8%、20+ 56.0%、30+ 30.6%、單人戶 824 萬／36.6%。 逐列核對值：51.82 百萬人；原單位換算見定義。</x:v>
      </x:c>
      <x:c r="X73" s="4" t="str">
        <x:v>數字核對通過不等於三角驗證；單一原始機構，按協議低信心示意。</x:v>
      </x:c>
      <x:c r="Y73" s="37" t="d">
        <x:v>2026-10-09T00:00:00.000Z</x:v>
      </x:c>
      <x:c r="Z73" s="4" t="str">
        <x:v>turn164view0</x:v>
      </x:c>
    </x:row>
    <x:row r="74" ht="52" customHeight="1">
      <x:c r="A74" s="4" t="str">
        <x:v>M0073</x:v>
      </x:c>
      <x:c r="B74" s="4" t="str">
        <x:v>KR</x:v>
      </x:c>
      <x:c r="C74" s="4" t="str">
        <x:v>65歲以上人口</x:v>
      </x:c>
      <x:c r="D74" s="18" t="n">
        <x:v>10.72</x:v>
      </x:c>
      <x:c r="E74" s="4" t="str">
        <x:v>百萬人</x:v>
      </x:c>
      <x:c r="F74" s="16" t="n">
        <x:v>2025</x:v>
      </x:c>
      <x:c r="G74" s="4" t="str">
        <x:v>人口普查</x:v>
      </x:c>
      <x:c r="H74" s="4" t="str">
        <x:v>KR01</x:v>
      </x:c>
      <x:c r="I74" s="4" t="str">
        <x:v>https://eiec.kdi.re.kr/policy/materialView.do?num=284799</x:v>
      </x:c>
      <x:c r="J74" s="4" t="str">
        <x:v>是</x:v>
      </x:c>
      <x:c r="K74" s="4" t="str">
        <x:v>是</x:v>
      </x:c>
      <x:c r="L74" s="4" t="str">
        <x:v>是</x:v>
      </x:c>
      <x:c r="M74" s="4" t="str">
        <x:v>是</x:v>
      </x:c>
      <x:c r="N74" s="4" t="str">
        <x:v>pass</x:v>
      </x:c>
      <x:c r="O74" s="4" t="str">
        <x:v>A</x:v>
      </x:c>
      <x:c r="P74" s="4" t="str">
        <x:v>是</x:v>
      </x:c>
      <x:c r="Q74" s="18" t="n">
        <x:v>10.72</x:v>
      </x:c>
      <x:c r="R74" s="16" t="n">
        <x:v>2025</x:v>
      </x:c>
      <x:c r="S74" s="4" t="str">
        <x:v>【示意】人口普查；獨立來源1；來源A級</x:v>
      </x:c>
      <x:c r="T74" s="4" t="str">
        <x:v>示意</x:v>
      </x:c>
      <x:c r="U74" s="16" t="n">
        <x:v>1</x:v>
      </x:c>
      <x:c r="V74" s="4" t="str">
        <x:v>低</x:v>
      </x:c>
      <x:c r="W74" s="4" t="str">
        <x:v>L355–370；2025-11-01 普查，人口 5,182 萬、65+ 1,072 萬／20.7%、住宅 2,018 萬、公寓 65.8%、20+ 56.0%、30+ 30.6%、單人戶 824 萬／36.6%。 逐列核對值：10.72 百萬人；原單位換算見定義。</x:v>
      </x:c>
      <x:c r="X74" s="4" t="str">
        <x:v>數字核對通過不等於三角驗證；單一原始機構，按協議低信心示意。</x:v>
      </x:c>
      <x:c r="Y74" s="37" t="d">
        <x:v>2026-10-09T00:00:00.000Z</x:v>
      </x:c>
      <x:c r="Z74" s="4" t="str">
        <x:v>turn164view0</x:v>
      </x:c>
    </x:row>
    <x:row r="75" ht="52" customHeight="1">
      <x:c r="A75" s="4" t="str">
        <x:v>M0074</x:v>
      </x:c>
      <x:c r="B75" s="4" t="str">
        <x:v>KR</x:v>
      </x:c>
      <x:c r="C75" s="4" t="str">
        <x:v>65歲以上占比</x:v>
      </x:c>
      <x:c r="D75" s="19" t="n">
        <x:v>20.7</x:v>
      </x:c>
      <x:c r="E75" s="4" t="str">
        <x:v>%</x:v>
      </x:c>
      <x:c r="F75" s="16" t="n">
        <x:v>2025</x:v>
      </x:c>
      <x:c r="G75" s="4" t="str">
        <x:v>人口普查</x:v>
      </x:c>
      <x:c r="H75" s="4" t="str">
        <x:v>KR01</x:v>
      </x:c>
      <x:c r="I75" s="4" t="str">
        <x:v>https://eiec.kdi.re.kr/policy/materialView.do?num=284799</x:v>
      </x:c>
      <x:c r="J75" s="4" t="str">
        <x:v>是</x:v>
      </x:c>
      <x:c r="K75" s="4" t="str">
        <x:v>是</x:v>
      </x:c>
      <x:c r="L75" s="4" t="str">
        <x:v>是</x:v>
      </x:c>
      <x:c r="M75" s="4" t="str">
        <x:v>是</x:v>
      </x:c>
      <x:c r="N75" s="4" t="str">
        <x:v>pass</x:v>
      </x:c>
      <x:c r="O75" s="4" t="str">
        <x:v>A</x:v>
      </x:c>
      <x:c r="P75" s="4" t="str">
        <x:v>是</x:v>
      </x:c>
      <x:c r="Q75" s="19" t="n">
        <x:v>20.7</x:v>
      </x:c>
      <x:c r="R75" s="16" t="n">
        <x:v>2025</x:v>
      </x:c>
      <x:c r="S75" s="4" t="str">
        <x:v>【示意】人口普查；獨立來源1；來源A級</x:v>
      </x:c>
      <x:c r="T75" s="4" t="str">
        <x:v>示意</x:v>
      </x:c>
      <x:c r="U75" s="16" t="n">
        <x:v>1</x:v>
      </x:c>
      <x:c r="V75" s="4" t="str">
        <x:v>低</x:v>
      </x:c>
      <x:c r="W75" s="4" t="str">
        <x:v>L355–370；2025-11-01 普查，人口 5,182 萬、65+ 1,072 萬／20.7%、住宅 2,018 萬、公寓 65.8%、20+ 56.0%、30+ 30.6%、單人戶 824 萬／36.6%。 逐列核對值：20.7 %；原單位換算見定義。</x:v>
      </x:c>
      <x:c r="X75" s="4" t="str">
        <x:v>數字核對通過不等於三角驗證；單一原始機構，按協議低信心示意。</x:v>
      </x:c>
      <x:c r="Y75" s="37" t="d">
        <x:v>2026-10-09T00:00:00.000Z</x:v>
      </x:c>
      <x:c r="Z75" s="4" t="str">
        <x:v>turn164view0</x:v>
      </x:c>
    </x:row>
    <x:row r="76" ht="52" customHeight="1">
      <x:c r="A76" s="4" t="str">
        <x:v>M0075</x:v>
      </x:c>
      <x:c r="B76" s="4" t="str">
        <x:v>KR</x:v>
      </x:c>
      <x:c r="C76" s="4" t="str">
        <x:v>住宅存量</x:v>
      </x:c>
      <x:c r="D76" s="18" t="n">
        <x:v>20.18</x:v>
      </x:c>
      <x:c r="E76" s="4" t="str">
        <x:v>百萬戶</x:v>
      </x:c>
      <x:c r="F76" s="16" t="n">
        <x:v>2025</x:v>
      </x:c>
      <x:c r="G76" s="4" t="str">
        <x:v>不含住宅以外居所</x:v>
      </x:c>
      <x:c r="H76" s="4" t="str">
        <x:v>KR01</x:v>
      </x:c>
      <x:c r="I76" s="4" t="str">
        <x:v>https://eiec.kdi.re.kr/policy/materialView.do?num=284799</x:v>
      </x:c>
      <x:c r="J76" s="4" t="str">
        <x:v>是</x:v>
      </x:c>
      <x:c r="K76" s="4" t="str">
        <x:v>是</x:v>
      </x:c>
      <x:c r="L76" s="4" t="str">
        <x:v>是</x:v>
      </x:c>
      <x:c r="M76" s="4" t="str">
        <x:v>是</x:v>
      </x:c>
      <x:c r="N76" s="4" t="str">
        <x:v>pass</x:v>
      </x:c>
      <x:c r="O76" s="4" t="str">
        <x:v>A</x:v>
      </x:c>
      <x:c r="P76" s="4" t="str">
        <x:v>是</x:v>
      </x:c>
      <x:c r="Q76" s="18" t="n">
        <x:v>20.18</x:v>
      </x:c>
      <x:c r="R76" s="16" t="n">
        <x:v>2025</x:v>
      </x:c>
      <x:c r="S76" s="4" t="str">
        <x:v>【示意】不含住宅以外居所；獨立來源1；來源A級</x:v>
      </x:c>
      <x:c r="T76" s="4" t="str">
        <x:v>示意</x:v>
      </x:c>
      <x:c r="U76" s="16" t="n">
        <x:v>1</x:v>
      </x:c>
      <x:c r="V76" s="4" t="str">
        <x:v>低</x:v>
      </x:c>
      <x:c r="W76" s="4" t="str">
        <x:v>L355–370；2025-11-01 普查，人口 5,182 萬、65+ 1,072 萬／20.7%、住宅 2,018 萬、公寓 65.8%、20+ 56.0%、30+ 30.6%、單人戶 824 萬／36.6%。 逐列核對值：20.18 百萬戶；原單位換算見定義。</x:v>
      </x:c>
      <x:c r="X76" s="4" t="str">
        <x:v>數字核對通過不等於三角驗證；單一原始機構，按協議低信心示意。</x:v>
      </x:c>
      <x:c r="Y76" s="37" t="d">
        <x:v>2026-10-09T00:00:00.000Z</x:v>
      </x:c>
      <x:c r="Z76" s="4" t="str">
        <x:v>turn164view0</x:v>
      </x:c>
    </x:row>
    <x:row r="77" ht="52" customHeight="1">
      <x:c r="A77" s="4" t="str">
        <x:v>M0076</x:v>
      </x:c>
      <x:c r="B77" s="4" t="str">
        <x:v>KR</x:v>
      </x:c>
      <x:c r="C77" s="4" t="str">
        <x:v>公寓住宅占比</x:v>
      </x:c>
      <x:c r="D77" s="19" t="n">
        <x:v>65.8</x:v>
      </x:c>
      <x:c r="E77" s="4" t="str">
        <x:v>%</x:v>
      </x:c>
      <x:c r="F77" s="16" t="n">
        <x:v>2025</x:v>
      </x:c>
      <x:c r="G77" s="4" t="str">
        <x:v>公寓戶數／住宅總戶数</x:v>
      </x:c>
      <x:c r="H77" s="4" t="str">
        <x:v>KR01</x:v>
      </x:c>
      <x:c r="I77" s="4" t="str">
        <x:v>https://eiec.kdi.re.kr/policy/materialView.do?num=284799</x:v>
      </x:c>
      <x:c r="J77" s="4" t="str">
        <x:v>是</x:v>
      </x:c>
      <x:c r="K77" s="4" t="str">
        <x:v>是</x:v>
      </x:c>
      <x:c r="L77" s="4" t="str">
        <x:v>是</x:v>
      </x:c>
      <x:c r="M77" s="4" t="str">
        <x:v>是</x:v>
      </x:c>
      <x:c r="N77" s="4" t="str">
        <x:v>pass</x:v>
      </x:c>
      <x:c r="O77" s="4" t="str">
        <x:v>A</x:v>
      </x:c>
      <x:c r="P77" s="4" t="str">
        <x:v>是</x:v>
      </x:c>
      <x:c r="Q77" s="19" t="n">
        <x:v>65.8</x:v>
      </x:c>
      <x:c r="R77" s="16" t="n">
        <x:v>2025</x:v>
      </x:c>
      <x:c r="S77" s="4" t="str">
        <x:v>【示意】公寓戶數／住宅總戶数；獨立來源1；來源A級</x:v>
      </x:c>
      <x:c r="T77" s="4" t="str">
        <x:v>示意</x:v>
      </x:c>
      <x:c r="U77" s="16" t="n">
        <x:v>1</x:v>
      </x:c>
      <x:c r="V77" s="4" t="str">
        <x:v>低</x:v>
      </x:c>
      <x:c r="W77" s="4" t="str">
        <x:v>L355–370；2025-11-01 普查，人口 5,182 萬、65+ 1,072 萬／20.7%、住宅 2,018 萬、公寓 65.8%、20+ 56.0%、30+ 30.6%、單人戶 824 萬／36.6%。 逐列核對值：65.8 %；原單位換算見定義。</x:v>
      </x:c>
      <x:c r="X77" s="4" t="str">
        <x:v>數字核對通過不等於三角驗證；單一原始機構，按協議低信心示意。</x:v>
      </x:c>
      <x:c r="Y77" s="37" t="d">
        <x:v>2026-10-09T00:00:00.000Z</x:v>
      </x:c>
      <x:c r="Z77" s="4" t="str">
        <x:v>turn164view0</x:v>
      </x:c>
    </x:row>
    <x:row r="78" ht="52" customHeight="1">
      <x:c r="A78" s="4" t="str">
        <x:v>M0077</x:v>
      </x:c>
      <x:c r="B78" s="4" t="str">
        <x:v>KR</x:v>
      </x:c>
      <x:c r="C78" s="4" t="str">
        <x:v>20年以上屋齡占比</x:v>
      </x:c>
      <x:c r="D78" s="17" t="n">
        <x:v>56</x:v>
      </x:c>
      <x:c r="E78" s="4" t="str">
        <x:v>%</x:v>
      </x:c>
      <x:c r="F78" s="16" t="n">
        <x:v>2025</x:v>
      </x:c>
      <x:c r="G78" s="4" t="str">
        <x:v>住宅存量</x:v>
      </x:c>
      <x:c r="H78" s="4" t="str">
        <x:v>KR01</x:v>
      </x:c>
      <x:c r="I78" s="4" t="str">
        <x:v>https://eiec.kdi.re.kr/policy/materialView.do?num=284799</x:v>
      </x:c>
      <x:c r="J78" s="4" t="str">
        <x:v>是</x:v>
      </x:c>
      <x:c r="K78" s="4" t="str">
        <x:v>是</x:v>
      </x:c>
      <x:c r="L78" s="4" t="str">
        <x:v>是</x:v>
      </x:c>
      <x:c r="M78" s="4" t="str">
        <x:v>是</x:v>
      </x:c>
      <x:c r="N78" s="4" t="str">
        <x:v>pass</x:v>
      </x:c>
      <x:c r="O78" s="4" t="str">
        <x:v>A</x:v>
      </x:c>
      <x:c r="P78" s="4" t="str">
        <x:v>是</x:v>
      </x:c>
      <x:c r="Q78" s="17" t="n">
        <x:v>56</x:v>
      </x:c>
      <x:c r="R78" s="16" t="n">
        <x:v>2025</x:v>
      </x:c>
      <x:c r="S78" s="4" t="str">
        <x:v>【示意】住宅存量；獨立來源1；來源A級</x:v>
      </x:c>
      <x:c r="T78" s="4" t="str">
        <x:v>示意</x:v>
      </x:c>
      <x:c r="U78" s="16" t="n">
        <x:v>1</x:v>
      </x:c>
      <x:c r="V78" s="4" t="str">
        <x:v>低</x:v>
      </x:c>
      <x:c r="W78" s="4" t="str">
        <x:v>L355–370；2025-11-01 普查，人口 5,182 萬、65+ 1,072 萬／20.7%、住宅 2,018 萬、公寓 65.8%、20+ 56.0%、30+ 30.6%、單人戶 824 萬／36.6%。 逐列核對值：56 %；原單位換算見定義。</x:v>
      </x:c>
      <x:c r="X78" s="4" t="str">
        <x:v>數字核對通過不等於三角驗證；單一原始機構，按協議低信心示意。</x:v>
      </x:c>
      <x:c r="Y78" s="37" t="d">
        <x:v>2026-10-09T00:00:00.000Z</x:v>
      </x:c>
      <x:c r="Z78" s="4" t="str">
        <x:v>turn164view0</x:v>
      </x:c>
    </x:row>
    <x:row r="79" ht="52" customHeight="1">
      <x:c r="A79" s="4" t="str">
        <x:v>M0078</x:v>
      </x:c>
      <x:c r="B79" s="4" t="str">
        <x:v>KR</x:v>
      </x:c>
      <x:c r="C79" s="4" t="str">
        <x:v>30年以上屋齡占比</x:v>
      </x:c>
      <x:c r="D79" s="19" t="n">
        <x:v>30.6</x:v>
      </x:c>
      <x:c r="E79" s="4" t="str">
        <x:v>%</x:v>
      </x:c>
      <x:c r="F79" s="16" t="n">
        <x:v>2025</x:v>
      </x:c>
      <x:c r="G79" s="4" t="str">
        <x:v>住宅存量</x:v>
      </x:c>
      <x:c r="H79" s="4" t="str">
        <x:v>KR01</x:v>
      </x:c>
      <x:c r="I79" s="4" t="str">
        <x:v>https://eiec.kdi.re.kr/policy/materialView.do?num=284799</x:v>
      </x:c>
      <x:c r="J79" s="4" t="str">
        <x:v>是</x:v>
      </x:c>
      <x:c r="K79" s="4" t="str">
        <x:v>是</x:v>
      </x:c>
      <x:c r="L79" s="4" t="str">
        <x:v>是</x:v>
      </x:c>
      <x:c r="M79" s="4" t="str">
        <x:v>是</x:v>
      </x:c>
      <x:c r="N79" s="4" t="str">
        <x:v>pass</x:v>
      </x:c>
      <x:c r="O79" s="4" t="str">
        <x:v>A</x:v>
      </x:c>
      <x:c r="P79" s="4" t="str">
        <x:v>是</x:v>
      </x:c>
      <x:c r="Q79" s="19" t="n">
        <x:v>30.6</x:v>
      </x:c>
      <x:c r="R79" s="16" t="n">
        <x:v>2025</x:v>
      </x:c>
      <x:c r="S79" s="4" t="str">
        <x:v>【示意】住宅存量；獨立來源1；來源A級</x:v>
      </x:c>
      <x:c r="T79" s="4" t="str">
        <x:v>示意</x:v>
      </x:c>
      <x:c r="U79" s="16" t="n">
        <x:v>1</x:v>
      </x:c>
      <x:c r="V79" s="4" t="str">
        <x:v>低</x:v>
      </x:c>
      <x:c r="W79" s="4" t="str">
        <x:v>L355–370；2025-11-01 普查，人口 5,182 萬、65+ 1,072 萬／20.7%、住宅 2,018 萬、公寓 65.8%、20+ 56.0%、30+ 30.6%、單人戶 824 萬／36.6%。 逐列核對值：30.6 %；原單位換算見定義。</x:v>
      </x:c>
      <x:c r="X79" s="4" t="str">
        <x:v>數字核對通過不等於三角驗證；單一原始機構，按協議低信心示意。</x:v>
      </x:c>
      <x:c r="Y79" s="37" t="d">
        <x:v>2026-10-09T00:00:00.000Z</x:v>
      </x:c>
      <x:c r="Z79" s="4" t="str">
        <x:v>turn164view0</x:v>
      </x:c>
    </x:row>
    <x:row r="80" ht="52" customHeight="1">
      <x:c r="A80" s="4" t="str">
        <x:v>M0079</x:v>
      </x:c>
      <x:c r="B80" s="4" t="str">
        <x:v>KR</x:v>
      </x:c>
      <x:c r="C80" s="4" t="str">
        <x:v>單人戶</x:v>
      </x:c>
      <x:c r="D80" s="18" t="n">
        <x:v>8.24</x:v>
      </x:c>
      <x:c r="E80" s="4" t="str">
        <x:v>百萬戶</x:v>
      </x:c>
      <x:c r="F80" s="16" t="n">
        <x:v>2025</x:v>
      </x:c>
      <x:c r="G80" s="4" t="str">
        <x:v>一般家戶</x:v>
      </x:c>
      <x:c r="H80" s="4" t="str">
        <x:v>KR01</x:v>
      </x:c>
      <x:c r="I80" s="4" t="str">
        <x:v>https://eiec.kdi.re.kr/policy/materialView.do?num=284799</x:v>
      </x:c>
      <x:c r="J80" s="4" t="str">
        <x:v>是</x:v>
      </x:c>
      <x:c r="K80" s="4" t="str">
        <x:v>是</x:v>
      </x:c>
      <x:c r="L80" s="4" t="str">
        <x:v>是</x:v>
      </x:c>
      <x:c r="M80" s="4" t="str">
        <x:v>是</x:v>
      </x:c>
      <x:c r="N80" s="4" t="str">
        <x:v>pass</x:v>
      </x:c>
      <x:c r="O80" s="4" t="str">
        <x:v>A</x:v>
      </x:c>
      <x:c r="P80" s="4" t="str">
        <x:v>是</x:v>
      </x:c>
      <x:c r="Q80" s="18" t="n">
        <x:v>8.24</x:v>
      </x:c>
      <x:c r="R80" s="16" t="n">
        <x:v>2025</x:v>
      </x:c>
      <x:c r="S80" s="4" t="str">
        <x:v>【示意】一般家戶；獨立來源1；來源A級</x:v>
      </x:c>
      <x:c r="T80" s="4" t="str">
        <x:v>示意</x:v>
      </x:c>
      <x:c r="U80" s="16" t="n">
        <x:v>1</x:v>
      </x:c>
      <x:c r="V80" s="4" t="str">
        <x:v>低</x:v>
      </x:c>
      <x:c r="W80" s="4" t="str">
        <x:v>L355–370；2025-11-01 普查，人口 5,182 萬、65+ 1,072 萬／20.7%、住宅 2,018 萬、公寓 65.8%、20+ 56.0%、30+ 30.6%、單人戶 824 萬／36.6%。 逐列核對值：8.24 百萬戶；原單位換算見定義。</x:v>
      </x:c>
      <x:c r="X80" s="4" t="str">
        <x:v>數字核對通過不等於三角驗證；單一原始機構，按協議低信心示意。</x:v>
      </x:c>
      <x:c r="Y80" s="37" t="d">
        <x:v>2026-10-09T00:00:00.000Z</x:v>
      </x:c>
      <x:c r="Z80" s="4" t="str">
        <x:v>turn164view0</x:v>
      </x:c>
    </x:row>
    <x:row r="81" ht="52" customHeight="1">
      <x:c r="A81" s="4" t="str">
        <x:v>M0080</x:v>
      </x:c>
      <x:c r="B81" s="4" t="str">
        <x:v>KR</x:v>
      </x:c>
      <x:c r="C81" s="4" t="str">
        <x:v>單人戶占比</x:v>
      </x:c>
      <x:c r="D81" s="19" t="n">
        <x:v>36.6</x:v>
      </x:c>
      <x:c r="E81" s="4" t="str">
        <x:v>%</x:v>
      </x:c>
      <x:c r="F81" s="16" t="n">
        <x:v>2025</x:v>
      </x:c>
      <x:c r="G81" s="4" t="str">
        <x:v>一般家戶</x:v>
      </x:c>
      <x:c r="H81" s="4" t="str">
        <x:v>KR01</x:v>
      </x:c>
      <x:c r="I81" s="4" t="str">
        <x:v>https://eiec.kdi.re.kr/policy/materialView.do?num=284799</x:v>
      </x:c>
      <x:c r="J81" s="4" t="str">
        <x:v>是</x:v>
      </x:c>
      <x:c r="K81" s="4" t="str">
        <x:v>是</x:v>
      </x:c>
      <x:c r="L81" s="4" t="str">
        <x:v>是</x:v>
      </x:c>
      <x:c r="M81" s="4" t="str">
        <x:v>是</x:v>
      </x:c>
      <x:c r="N81" s="4" t="str">
        <x:v>pass</x:v>
      </x:c>
      <x:c r="O81" s="4" t="str">
        <x:v>A</x:v>
      </x:c>
      <x:c r="P81" s="4" t="str">
        <x:v>是</x:v>
      </x:c>
      <x:c r="Q81" s="19" t="n">
        <x:v>36.6</x:v>
      </x:c>
      <x:c r="R81" s="16" t="n">
        <x:v>2025</x:v>
      </x:c>
      <x:c r="S81" s="4" t="str">
        <x:v>【示意】一般家戶；獨立來源1；來源A級</x:v>
      </x:c>
      <x:c r="T81" s="4" t="str">
        <x:v>示意</x:v>
      </x:c>
      <x:c r="U81" s="16" t="n">
        <x:v>1</x:v>
      </x:c>
      <x:c r="V81" s="4" t="str">
        <x:v>低</x:v>
      </x:c>
      <x:c r="W81" s="4" t="str">
        <x:v>L355–370；2025-11-01 普查，人口 5,182 萬、65+ 1,072 萬／20.7%、住宅 2,018 萬、公寓 65.8%、20+ 56.0%、30+ 30.6%、單人戶 824 萬／36.6%。 逐列核對值：36.6 %；原單位換算見定義。</x:v>
      </x:c>
      <x:c r="X81" s="4" t="str">
        <x:v>數字核對通過不等於三角驗證；單一原始機構，按協議低信心示意。</x:v>
      </x:c>
      <x:c r="Y81" s="37" t="d">
        <x:v>2026-10-09T00:00:00.000Z</x:v>
      </x:c>
      <x:c r="Z81" s="4" t="str">
        <x:v>turn164view0</x:v>
      </x:c>
    </x:row>
    <x:row r="82" ht="38" customHeight="1">
      <x:c r="A82" s="4" t="str">
        <x:v>M0081</x:v>
      </x:c>
      <x:c r="B82" s="4" t="str">
        <x:v>KR</x:v>
      </x:c>
      <x:c r="C82" s="4" t="str">
        <x:v>30年以上屋齡占比</x:v>
      </x:c>
      <x:c r="D82" s="17" t="n">
        <x:v>28</x:v>
      </x:c>
      <x:c r="E82" s="4" t="str">
        <x:v>%</x:v>
      </x:c>
      <x:c r="F82" s="16" t="n">
        <x:v>2024</x:v>
      </x:c>
      <x:c r="G82" s="4" t="str">
        <x:v>住宅存量；2024基期</x:v>
      </x:c>
      <x:c r="H82" s="4" t="str">
        <x:v>KR02</x:v>
      </x:c>
      <x:c r="I82" s="4" t="str">
        <x:v>https://www.korea.kr/news/policyNewsView.do?newsId=156721680</x:v>
      </x:c>
      <x:c r="J82" s="4" t="str">
        <x:v>是</x:v>
      </x:c>
      <x:c r="K82" s="4" t="str">
        <x:v>是</x:v>
      </x:c>
      <x:c r="L82" s="4" t="str">
        <x:v>是</x:v>
      </x:c>
      <x:c r="M82" s="4" t="str">
        <x:v>是</x:v>
      </x:c>
      <x:c r="N82" s="4" t="str">
        <x:v>pass</x:v>
      </x:c>
      <x:c r="O82" s="4" t="str">
        <x:v>A</x:v>
      </x:c>
      <x:c r="P82" s="4" t="str">
        <x:v>是</x:v>
      </x:c>
      <x:c r="Q82" s="17" t="n">
        <x:v>28</x:v>
      </x:c>
      <x:c r="R82" s="16" t="n">
        <x:v>2024</x:v>
      </x:c>
      <x:c r="S82" s="4" t="str">
        <x:v>【示意】住宅存量；2024基期；獨立來源1；來源A級</x:v>
      </x:c>
      <x:c r="T82" s="4" t="str">
        <x:v>示意</x:v>
      </x:c>
      <x:c r="U82" s="16" t="n">
        <x:v>1</x:v>
      </x:c>
      <x:c r="V82" s="4" t="str">
        <x:v>低</x:v>
      </x:c>
      <x:c r="W82" s="4" t="str">
        <x:v>L247–255；2024-11-01 總住宅 1,987 萬，排除 officetel 等非住宅居所；30 年以上 28.0%。 逐列核對值：28 %；原單位換算見定義。</x:v>
      </x:c>
      <x:c r="X82" s="4" t="str">
        <x:v>數字核對通過不等於三角驗證；單一原始機構，按協議低信心示意。</x:v>
      </x:c>
      <x:c r="Y82" s="37" t="d">
        <x:v>2026-10-09T00:00:00.000Z</x:v>
      </x:c>
      <x:c r="Z82" s="4" t="str">
        <x:v>turn165view1</x:v>
      </x:c>
    </x:row>
    <x:row r="83" ht="38" customHeight="1">
      <x:c r="A83" s="4" t="str">
        <x:v>M0082</x:v>
      </x:c>
      <x:c r="B83" s="4" t="str">
        <x:v>KR</x:v>
      </x:c>
      <x:c r="C83" s="4" t="str">
        <x:v>住宅存量</x:v>
      </x:c>
      <x:c r="D83" s="18" t="n">
        <x:v>19.87</x:v>
      </x:c>
      <x:c r="E83" s="4" t="str">
        <x:v>百萬戶</x:v>
      </x:c>
      <x:c r="F83" s="16" t="n">
        <x:v>2024</x:v>
      </x:c>
      <x:c r="G83" s="4" t="str">
        <x:v>不含officetel等非住宅居所</x:v>
      </x:c>
      <x:c r="H83" s="4" t="str">
        <x:v>KR02</x:v>
      </x:c>
      <x:c r="I83" s="4" t="str">
        <x:v>https://www.korea.kr/news/policyNewsView.do?newsId=156721680</x:v>
      </x:c>
      <x:c r="J83" s="4" t="str">
        <x:v>是</x:v>
      </x:c>
      <x:c r="K83" s="4" t="str">
        <x:v>是</x:v>
      </x:c>
      <x:c r="L83" s="4" t="str">
        <x:v>是</x:v>
      </x:c>
      <x:c r="M83" s="4" t="str">
        <x:v>是</x:v>
      </x:c>
      <x:c r="N83" s="4" t="str">
        <x:v>pass</x:v>
      </x:c>
      <x:c r="O83" s="4" t="str">
        <x:v>A</x:v>
      </x:c>
      <x:c r="P83" s="4" t="str">
        <x:v>是</x:v>
      </x:c>
      <x:c r="Q83" s="18" t="n">
        <x:v>19.87</x:v>
      </x:c>
      <x:c r="R83" s="16" t="n">
        <x:v>2024</x:v>
      </x:c>
      <x:c r="S83" s="4" t="str">
        <x:v>【示意】不含officetel等非住宅居所；獨立來源1；來源A級</x:v>
      </x:c>
      <x:c r="T83" s="4" t="str">
        <x:v>示意</x:v>
      </x:c>
      <x:c r="U83" s="16" t="n">
        <x:v>1</x:v>
      </x:c>
      <x:c r="V83" s="4" t="str">
        <x:v>低</x:v>
      </x:c>
      <x:c r="W83" s="4" t="str">
        <x:v>L247–255；2024-11-01 總住宅 1,987 萬，排除 officetel 等非住宅居所；30 年以上 28.0%。 逐列核對值：19.87 百萬戶；原單位換算見定義。</x:v>
      </x:c>
      <x:c r="X83" s="4" t="str">
        <x:v>數字核對通過不等於三角驗證；單一原始機構，按協議低信心示意。</x:v>
      </x:c>
      <x:c r="Y83" s="37" t="d">
        <x:v>2026-10-09T00:00:00.000Z</x:v>
      </x:c>
      <x:c r="Z83" s="4" t="str">
        <x:v>turn165view1</x:v>
      </x:c>
    </x:row>
    <x:row r="84" ht="52" customHeight="1">
      <x:c r="A84" s="4" t="str">
        <x:v>M0083</x:v>
      </x:c>
      <x:c r="B84" s="4" t="str">
        <x:v>KR</x:v>
      </x:c>
      <x:c r="C84" s="4" t="str">
        <x:v>Hanssem合併營收</x:v>
      </x:c>
      <x:c r="D84" s="17" t="n">
        <x:v>1744538</x:v>
      </x:c>
      <x:c r="E84" s="4" t="str">
        <x:v>百萬KRW</x:v>
      </x:c>
      <x:c r="F84" s="16" t="n">
        <x:v>2025</x:v>
      </x:c>
      <x:c r="G84" s="4" t="str">
        <x:v>家具、Rehaus、特販等全集團；非純住宅翻修</x:v>
      </x:c>
      <x:c r="H84" s="4" t="str">
        <x:v>KR03</x:v>
      </x:c>
      <x:c r="I84" s="4" t="str">
        <x:v>https://company.hanssem.com/ir/financials/highlights</x:v>
      </x:c>
      <x:c r="J84" s="4" t="str">
        <x:v>是</x:v>
      </x:c>
      <x:c r="K84" s="4" t="str">
        <x:v>是</x:v>
      </x:c>
      <x:c r="L84" s="4" t="str">
        <x:v>是</x:v>
      </x:c>
      <x:c r="M84" s="4" t="str">
        <x:v>是</x:v>
      </x:c>
      <x:c r="N84" s="4" t="str">
        <x:v>pass</x:v>
      </x:c>
      <x:c r="O84" s="4" t="str">
        <x:v>C</x:v>
      </x:c>
      <x:c r="P84" s="4" t="str">
        <x:v>是</x:v>
      </x:c>
      <x:c r="Q84" s="17" t="n">
        <x:v>1744538</x:v>
      </x:c>
      <x:c r="R84" s="16" t="n">
        <x:v>2025</x:v>
      </x:c>
      <x:c r="S84" s="4" t="str">
        <x:v>【示意】家具、Rehaus、特販等全集團；非純住宅翻修；獨立來源1；來源C級</x:v>
      </x:c>
      <x:c r="T84" s="4" t="str">
        <x:v>示意</x:v>
      </x:c>
      <x:c r="U84" s="16" t="n">
        <x:v>1</x:v>
      </x:c>
      <x:c r="V84" s="4" t="str">
        <x:v>低</x:v>
      </x:c>
      <x:c r="W84" s="4" t="str">
        <x:v>L68–76 官方合併損益摘要，單位百萬韓元，2025／2024 欄收入 1,744,538／1,908,391，2025 營業利益 18,491。1.06% 為自行計算。未另開審計年報，依公司自報從嚴列 C。 逐列核對值：1744538 百萬KRW；原單位換算見定義。</x:v>
      </x:c>
      <x:c r="X84" s="4" t="str">
        <x:v>數字核對通過不等於三角驗證；單一原始機構，按協議低信心示意。</x:v>
      </x:c>
      <x:c r="Y84" s="37" t="d">
        <x:v>2026-10-09T00:00:00.000Z</x:v>
      </x:c>
      <x:c r="Z84" s="4" t="str">
        <x:v>turn165view2</x:v>
      </x:c>
    </x:row>
    <x:row r="85" ht="52" customHeight="1">
      <x:c r="A85" s="4" t="str">
        <x:v>M0084</x:v>
      </x:c>
      <x:c r="B85" s="4" t="str">
        <x:v>KR</x:v>
      </x:c>
      <x:c r="C85" s="4" t="str">
        <x:v>Hanssem合併營業利益</x:v>
      </x:c>
      <x:c r="D85" s="17" t="n">
        <x:v>18491</x:v>
      </x:c>
      <x:c r="E85" s="4" t="str">
        <x:v>百萬KRW</x:v>
      </x:c>
      <x:c r="F85" s="16" t="n">
        <x:v>2025</x:v>
      </x:c>
      <x:c r="G85" s="4" t="str">
        <x:v>集團營業利益</x:v>
      </x:c>
      <x:c r="H85" s="4" t="str">
        <x:v>KR03</x:v>
      </x:c>
      <x:c r="I85" s="4" t="str">
        <x:v>https://company.hanssem.com/ir/financials/highlights</x:v>
      </x:c>
      <x:c r="J85" s="4" t="str">
        <x:v>是</x:v>
      </x:c>
      <x:c r="K85" s="4" t="str">
        <x:v>是</x:v>
      </x:c>
      <x:c r="L85" s="4" t="str">
        <x:v>是</x:v>
      </x:c>
      <x:c r="M85" s="4" t="str">
        <x:v>是</x:v>
      </x:c>
      <x:c r="N85" s="4" t="str">
        <x:v>pass</x:v>
      </x:c>
      <x:c r="O85" s="4" t="str">
        <x:v>C</x:v>
      </x:c>
      <x:c r="P85" s="4" t="str">
        <x:v>是</x:v>
      </x:c>
      <x:c r="Q85" s="17" t="n">
        <x:v>18491</x:v>
      </x:c>
      <x:c r="R85" s="16" t="n">
        <x:v>2025</x:v>
      </x:c>
      <x:c r="S85" s="4" t="str">
        <x:v>【示意】集團營業利益；獨立來源1；來源C級</x:v>
      </x:c>
      <x:c r="T85" s="4" t="str">
        <x:v>示意</x:v>
      </x:c>
      <x:c r="U85" s="16" t="n">
        <x:v>1</x:v>
      </x:c>
      <x:c r="V85" s="4" t="str">
        <x:v>低</x:v>
      </x:c>
      <x:c r="W85" s="4" t="str">
        <x:v>L68–76 官方合併損益摘要，單位百萬韓元，2025／2024 欄收入 1,744,538／1,908,391，2025 營業利益 18,491。1.06% 為自行計算。未另開審計年報，依公司自報從嚴列 C。 逐列核對值：18491 百萬KRW；原單位換算見定義。</x:v>
      </x:c>
      <x:c r="X85" s="4" t="str">
        <x:v>數字核對通過不等於三角驗證；單一原始機構，按協議低信心示意。</x:v>
      </x:c>
      <x:c r="Y85" s="37" t="d">
        <x:v>2026-10-09T00:00:00.000Z</x:v>
      </x:c>
      <x:c r="Z85" s="4" t="str">
        <x:v>turn165view2</x:v>
      </x:c>
    </x:row>
    <x:row r="86" ht="52" customHeight="1">
      <x:c r="A86" s="4" t="str">
        <x:v>M0085</x:v>
      </x:c>
      <x:c r="B86" s="4" t="str">
        <x:v>KR</x:v>
      </x:c>
      <x:c r="C86" s="4" t="str">
        <x:v>Hanssem合併营收</x:v>
      </x:c>
      <x:c r="D86" s="17" t="n">
        <x:v>1908391</x:v>
      </x:c>
      <x:c r="E86" s="4" t="str">
        <x:v>百萬KRW</x:v>
      </x:c>
      <x:c r="F86" s="16" t="n">
        <x:v>2024</x:v>
      </x:c>
      <x:c r="G86" s="4" t="str">
        <x:v>同口徑比較</x:v>
      </x:c>
      <x:c r="H86" s="4" t="str">
        <x:v>KR03</x:v>
      </x:c>
      <x:c r="I86" s="4" t="str">
        <x:v>https://company.hanssem.com/ir/financials/highlights</x:v>
      </x:c>
      <x:c r="J86" s="4" t="str">
        <x:v>是</x:v>
      </x:c>
      <x:c r="K86" s="4" t="str">
        <x:v>是</x:v>
      </x:c>
      <x:c r="L86" s="4" t="str">
        <x:v>是</x:v>
      </x:c>
      <x:c r="M86" s="4" t="str">
        <x:v>是</x:v>
      </x:c>
      <x:c r="N86" s="4" t="str">
        <x:v>pass</x:v>
      </x:c>
      <x:c r="O86" s="4" t="str">
        <x:v>C</x:v>
      </x:c>
      <x:c r="P86" s="4" t="str">
        <x:v>是</x:v>
      </x:c>
      <x:c r="Q86" s="17" t="n">
        <x:v>1908391</x:v>
      </x:c>
      <x:c r="R86" s="16" t="n">
        <x:v>2024</x:v>
      </x:c>
      <x:c r="S86" s="4" t="str">
        <x:v>【示意】同口徑比較；獨立來源1；來源C級</x:v>
      </x:c>
      <x:c r="T86" s="4" t="str">
        <x:v>示意</x:v>
      </x:c>
      <x:c r="U86" s="16" t="n">
        <x:v>1</x:v>
      </x:c>
      <x:c r="V86" s="4" t="str">
        <x:v>低</x:v>
      </x:c>
      <x:c r="W86" s="4" t="str">
        <x:v>L68–76 官方合併損益摘要，單位百萬韓元，2025／2024 欄收入 1,744,538／1,908,391，2025 營業利益 18,491。1.06% 為自行計算。未另開審計年報，依公司自報從嚴列 C。 逐列核對值：1908391 百萬KRW；原單位換算見定義。</x:v>
      </x:c>
      <x:c r="X86" s="4" t="str">
        <x:v>數字核對通過不等於三角驗證；單一原始機構，按協議低信心示意。</x:v>
      </x:c>
      <x:c r="Y86" s="37" t="d">
        <x:v>2026-10-09T00:00:00.000Z</x:v>
      </x:c>
      <x:c r="Z86" s="4" t="str">
        <x:v>turn165view2</x:v>
      </x:c>
    </x:row>
    <x:row r="87" ht="52" customHeight="1">
      <x:c r="A87" s="4" t="str">
        <x:v>M0086</x:v>
      </x:c>
      <x:c r="B87" s="4" t="str">
        <x:v>KR</x:v>
      </x:c>
      <x:c r="C87" s="4" t="str">
        <x:v>Hanssem合併營業利益率</x:v>
      </x:c>
      <x:c r="D87" s="18" t="n">
        <x:v>1.06</x:v>
      </x:c>
      <x:c r="E87" s="4" t="str">
        <x:v>%</x:v>
      </x:c>
      <x:c r="F87" s="16" t="n">
        <x:v>2025</x:v>
      </x:c>
      <x:c r="G87" s="4" t="str">
        <x:v>研究計算：18491／1744538×100；非工程毛利</x:v>
      </x:c>
      <x:c r="H87" s="4" t="str">
        <x:v>KR03</x:v>
      </x:c>
      <x:c r="I87" s="4" t="str">
        <x:v>https://company.hanssem.com/ir/financials/highlights</x:v>
      </x:c>
      <x:c r="J87" s="4" t="str">
        <x:v>是</x:v>
      </x:c>
      <x:c r="K87" s="4" t="str">
        <x:v>是</x:v>
      </x:c>
      <x:c r="L87" s="4" t="str">
        <x:v>是</x:v>
      </x:c>
      <x:c r="M87" s="4" t="str">
        <x:v>是</x:v>
      </x:c>
      <x:c r="N87" s="4" t="str">
        <x:v>pass</x:v>
      </x:c>
      <x:c r="O87" s="4" t="str">
        <x:v>C</x:v>
      </x:c>
      <x:c r="P87" s="4" t="str">
        <x:v>是</x:v>
      </x:c>
      <x:c r="Q87" s="18" t="n">
        <x:v>1.06</x:v>
      </x:c>
      <x:c r="R87" s="16" t="n">
        <x:v>2025</x:v>
      </x:c>
      <x:c r="S87" s="4" t="str">
        <x:v>【示意】研究計算：18491／1744538×100；非工程毛利；獨立來源1；來源C級</x:v>
      </x:c>
      <x:c r="T87" s="4" t="str">
        <x:v>示意</x:v>
      </x:c>
      <x:c r="U87" s="16" t="n">
        <x:v>1</x:v>
      </x:c>
      <x:c r="V87" s="4" t="str">
        <x:v>低</x:v>
      </x:c>
      <x:c r="W87" s="4" t="str">
        <x:v>L68–76 官方合併損益摘要，單位百萬韓元，2025／2024 欄收入 1,744,538／1,908,391，2025 營業利益 18,491。1.06% 為自行計算。未另開審計年報，依公司自報從嚴列 C。 逐列核對值：1.06 %；原單位換算見定義。</x:v>
      </x:c>
      <x:c r="X87" s="4" t="str">
        <x:v>數字核對通過不等於三角驗證；單一原始機構，按協議低信心示意。</x:v>
      </x:c>
      <x:c r="Y87" s="37" t="d">
        <x:v>2026-10-09T00:00:00.000Z</x:v>
      </x:c>
      <x:c r="Z87" s="4" t="str">
        <x:v>turn165view2</x:v>
      </x:c>
    </x:row>
    <x:row r="88" ht="52" customHeight="1">
      <x:c r="A88" s="4" t="str">
        <x:v>M0087</x:v>
      </x:c>
      <x:c r="B88" s="4" t="str">
        <x:v>KR</x:v>
      </x:c>
      <x:c r="C88" s="4" t="str">
        <x:v>오늘의집營收</x:v>
      </x:c>
      <x:c r="D88" s="17" t="n">
        <x:v>321500</x:v>
      </x:c>
      <x:c r="E88" s="4" t="str">
        <x:v>百萬KRW</x:v>
      </x:c>
      <x:c r="F88" s="16" t="n">
        <x:v>2025</x:v>
      </x:c>
      <x:c r="G88" s="4" t="str">
        <x:v>Bucketplace營收，非GMV</x:v>
      </x:c>
      <x:c r="H88" s="4" t="str">
        <x:v>KR04</x:v>
      </x:c>
      <x:c r="I88" s="4" t="str">
        <x:v>https://ohstory.io/press/pressrelease/15242</x:v>
      </x:c>
      <x:c r="J88" s="4" t="str">
        <x:v>是</x:v>
      </x:c>
      <x:c r="K88" s="4" t="str">
        <x:v>是</x:v>
      </x:c>
      <x:c r="L88" s="4" t="str">
        <x:v>是</x:v>
      </x:c>
      <x:c r="M88" s="4" t="str">
        <x:v>是</x:v>
      </x:c>
      <x:c r="N88" s="4" t="str">
        <x:v>pass</x:v>
      </x:c>
      <x:c r="O88" s="4" t="str">
        <x:v>C</x:v>
      </x:c>
      <x:c r="P88" s="4" t="str">
        <x:v>是</x:v>
      </x:c>
      <x:c r="Q88" s="17" t="n">
        <x:v>321500</x:v>
      </x:c>
      <x:c r="R88" s="16" t="n">
        <x:v>2025</x:v>
      </x:c>
      <x:c r="S88" s="4" t="str">
        <x:v>【示意】Bucketplace營收，非GMV；獨立來源1；來源C級</x:v>
      </x:c>
      <x:c r="T88" s="4" t="str">
        <x:v>示意</x:v>
      </x:c>
      <x:c r="U88" s="16" t="n">
        <x:v>1</x:v>
      </x:c>
      <x:c r="V88" s="4" t="str">
        <x:v>低</x:v>
      </x:c>
      <x:c r="W88" s="4" t="str">
        <x:v>L46、51–52；2026-04-14 發布 2025 結果：收入 3,215 億韓元、年增約 11.7%、施工交易收入 3.5 倍以上、合作夥伴約 400 家。公司新聞稿，非交易額。 逐列核對值：321500 百萬KRW；原單位換算見定義。</x:v>
      </x:c>
      <x:c r="X88" s="4" t="str">
        <x:v>數字核對通過不等於三角驗證；單一原始機構，按協議低信心示意。</x:v>
      </x:c>
      <x:c r="Y88" s="37" t="d">
        <x:v>2026-10-09T00:00:00.000Z</x:v>
      </x:c>
      <x:c r="Z88" s="4" t="str">
        <x:v>turn167view0</x:v>
      </x:c>
    </x:row>
    <x:row r="89" ht="52" customHeight="1">
      <x:c r="A89" s="4" t="str">
        <x:v>M0088</x:v>
      </x:c>
      <x:c r="B89" s="4" t="str">
        <x:v>KR</x:v>
      </x:c>
      <x:c r="C89" s="4" t="str">
        <x:v>오늘의집營收年增</x:v>
      </x:c>
      <x:c r="D89" s="19" t="n">
        <x:v>11.7</x:v>
      </x:c>
      <x:c r="E89" s="4" t="str">
        <x:v>%</x:v>
      </x:c>
      <x:c r="F89" s="16" t="n">
        <x:v>2025</x:v>
      </x:c>
      <x:c r="G89" s="4" t="str">
        <x:v>公司公告約值</x:v>
      </x:c>
      <x:c r="H89" s="4" t="str">
        <x:v>KR04</x:v>
      </x:c>
      <x:c r="I89" s="4" t="str">
        <x:v>https://ohstory.io/press/pressrelease/15242</x:v>
      </x:c>
      <x:c r="J89" s="4" t="str">
        <x:v>是</x:v>
      </x:c>
      <x:c r="K89" s="4" t="str">
        <x:v>是</x:v>
      </x:c>
      <x:c r="L89" s="4" t="str">
        <x:v>是</x:v>
      </x:c>
      <x:c r="M89" s="4" t="str">
        <x:v>是</x:v>
      </x:c>
      <x:c r="N89" s="4" t="str">
        <x:v>pass</x:v>
      </x:c>
      <x:c r="O89" s="4" t="str">
        <x:v>C</x:v>
      </x:c>
      <x:c r="P89" s="4" t="str">
        <x:v>是</x:v>
      </x:c>
      <x:c r="Q89" s="19" t="n">
        <x:v>11.7</x:v>
      </x:c>
      <x:c r="R89" s="16" t="n">
        <x:v>2025</x:v>
      </x:c>
      <x:c r="S89" s="4" t="str">
        <x:v>【示意】公司公告約值；獨立來源1；來源C級</x:v>
      </x:c>
      <x:c r="T89" s="4" t="str">
        <x:v>示意</x:v>
      </x:c>
      <x:c r="U89" s="16" t="n">
        <x:v>1</x:v>
      </x:c>
      <x:c r="V89" s="4" t="str">
        <x:v>低</x:v>
      </x:c>
      <x:c r="W89" s="4" t="str">
        <x:v>L46、51–52；2026-04-14 發布 2025 結果：收入 3,215 億韓元、年增約 11.7%、施工交易收入 3.5 倍以上、合作夥伴約 400 家。公司新聞稿，非交易額。 逐列核對值：11.7 %；原單位換算見定義。</x:v>
      </x:c>
      <x:c r="X89" s="4" t="str">
        <x:v>數字核對通過不等於三角驗證；單一原始機構，按協議低信心示意。</x:v>
      </x:c>
      <x:c r="Y89" s="37" t="d">
        <x:v>2026-10-09T00:00:00.000Z</x:v>
      </x:c>
      <x:c r="Z89" s="4" t="str">
        <x:v>turn167view0</x:v>
      </x:c>
    </x:row>
    <x:row r="90" ht="52" customHeight="1">
      <x:c r="A90" s="4" t="str">
        <x:v>M0089</x:v>
      </x:c>
      <x:c r="B90" s="4" t="str">
        <x:v>KR</x:v>
      </x:c>
      <x:c r="C90" s="4" t="str">
        <x:v>오늘의집施工交易營收增長</x:v>
      </x:c>
      <x:c r="D90" s="14" t="str">
        <x:v>&gt;3.5</x:v>
      </x:c>
      <x:c r="E90" s="4" t="str">
        <x:v>倍</x:v>
      </x:c>
      <x:c r="F90" s="16" t="n">
        <x:v>2025</x:v>
      </x:c>
      <x:c r="G90" s="4" t="str">
        <x:v>施工交易營收較2024；非市場成長率</x:v>
      </x:c>
      <x:c r="H90" s="4" t="str">
        <x:v>KR04</x:v>
      </x:c>
      <x:c r="I90" s="4" t="str">
        <x:v>https://ohstory.io/press/pressrelease/15242</x:v>
      </x:c>
      <x:c r="J90" s="4" t="str">
        <x:v>是</x:v>
      </x:c>
      <x:c r="K90" s="4" t="str">
        <x:v>是</x:v>
      </x:c>
      <x:c r="L90" s="4" t="str">
        <x:v>是</x:v>
      </x:c>
      <x:c r="M90" s="4" t="str">
        <x:v>是</x:v>
      </x:c>
      <x:c r="N90" s="4" t="str">
        <x:v>pass</x:v>
      </x:c>
      <x:c r="O90" s="4" t="str">
        <x:v>C</x:v>
      </x:c>
      <x:c r="P90" s="4" t="str">
        <x:v>是</x:v>
      </x:c>
      <x:c r="Q90" s="14" t="str">
        <x:v>&gt;3.5</x:v>
      </x:c>
      <x:c r="R90" s="16" t="n">
        <x:v>2025</x:v>
      </x:c>
      <x:c r="S90" s="4" t="str">
        <x:v>【示意】施工交易營收較2024；非市場成長率；獨立來源1；來源C級</x:v>
      </x:c>
      <x:c r="T90" s="4" t="str">
        <x:v>示意</x:v>
      </x:c>
      <x:c r="U90" s="16" t="n">
        <x:v>1</x:v>
      </x:c>
      <x:c r="V90" s="4" t="str">
        <x:v>低</x:v>
      </x:c>
      <x:c r="W90" s="4" t="str">
        <x:v>L46、51–52；2026-04-14 發布 2025 結果：收入 3,215 億韓元、年增約 11.7%、施工交易收入 3.5 倍以上、合作夥伴約 400 家。公司新聞稿，非交易額。 逐列核對值：&gt;3.5 倍；原單位換算見定義。</x:v>
      </x:c>
      <x:c r="X90" s="4" t="str">
        <x:v>數字核對通過不等於三角驗證；單一原始機構，按協議低信心示意。</x:v>
      </x:c>
      <x:c r="Y90" s="37" t="d">
        <x:v>2026-10-09T00:00:00.000Z</x:v>
      </x:c>
      <x:c r="Z90" s="4" t="str">
        <x:v>turn167view0</x:v>
      </x:c>
    </x:row>
    <x:row r="91" ht="52" customHeight="1">
      <x:c r="A91" s="4" t="str">
        <x:v>M0090</x:v>
      </x:c>
      <x:c r="B91" s="4" t="str">
        <x:v>KR</x:v>
      </x:c>
      <x:c r="C91" s="4" t="str">
        <x:v>오늘의집 Standard合作業者</x:v>
      </x:c>
      <x:c r="D91" s="17" t="n">
        <x:v>400</x:v>
      </x:c>
      <x:c r="E91" s="4" t="str">
        <x:v>家</x:v>
      </x:c>
      <x:c r="F91" s="16" t="n">
        <x:v>2025</x:v>
      </x:c>
      <x:c r="G91" s="4" t="str">
        <x:v>約數，公司自報</x:v>
      </x:c>
      <x:c r="H91" s="4" t="str">
        <x:v>KR04</x:v>
      </x:c>
      <x:c r="I91" s="4" t="str">
        <x:v>https://ohstory.io/press/pressrelease/15242</x:v>
      </x:c>
      <x:c r="J91" s="4" t="str">
        <x:v>是</x:v>
      </x:c>
      <x:c r="K91" s="4" t="str">
        <x:v>是</x:v>
      </x:c>
      <x:c r="L91" s="4" t="str">
        <x:v>是</x:v>
      </x:c>
      <x:c r="M91" s="4" t="str">
        <x:v>是</x:v>
      </x:c>
      <x:c r="N91" s="4" t="str">
        <x:v>pass</x:v>
      </x:c>
      <x:c r="O91" s="4" t="str">
        <x:v>C</x:v>
      </x:c>
      <x:c r="P91" s="4" t="str">
        <x:v>是</x:v>
      </x:c>
      <x:c r="Q91" s="17" t="n">
        <x:v>400</x:v>
      </x:c>
      <x:c r="R91" s="16" t="n">
        <x:v>2025</x:v>
      </x:c>
      <x:c r="S91" s="4" t="str">
        <x:v>【示意】約數，公司自報；獨立來源1；來源C級</x:v>
      </x:c>
      <x:c r="T91" s="4" t="str">
        <x:v>示意</x:v>
      </x:c>
      <x:c r="U91" s="16" t="n">
        <x:v>1</x:v>
      </x:c>
      <x:c r="V91" s="4" t="str">
        <x:v>低</x:v>
      </x:c>
      <x:c r="W91" s="4" t="str">
        <x:v>L46、51–52；2026-04-14 發布 2025 結果：收入 3,215 億韓元、年增約 11.7%、施工交易收入 3.5 倍以上、合作夥伴約 400 家。公司新聞稿，非交易額。 逐列核對值：400 家；原單位換算見定義。</x:v>
      </x:c>
      <x:c r="X91" s="4" t="str">
        <x:v>數字核對通過不等於三角驗證；單一原始機構，按協議低信心示意。</x:v>
      </x:c>
      <x:c r="Y91" s="37" t="d">
        <x:v>2026-10-09T00:00:00.000Z</x:v>
      </x:c>
      <x:c r="Z91" s="4" t="str">
        <x:v>turn167view0</x:v>
      </x:c>
    </x:row>
    <x:row r="92" ht="52" customHeight="1">
      <x:c r="A92" s="4" t="str">
        <x:v>M0091</x:v>
      </x:c>
      <x:c r="B92" s="4" t="str">
        <x:v>KR</x:v>
      </x:c>
      <x:c r="C92" s="4" t="str">
        <x:v>實內建築承包登記資本門檻</x:v>
      </x:c>
      <x:c r="D92" s="17" t="n">
        <x:v>150000000</x:v>
      </x:c>
      <x:c r="E92" s="4" t="str">
        <x:v>KRW</x:v>
      </x:c>
      <x:c r="F92" s="16" t="str">
        <x:v>2022修訂版</x:v>
      </x:c>
      <x:c r="G92" s="4" t="str">
        <x:v>歷史法規附表；非2026最新確認，須專業複核</x:v>
      </x:c>
      <x:c r="H92" s="4" t="str">
        <x:v>KR05</x:v>
      </x:c>
      <x:c r="I92" s="4" t="str">
        <x:v>https://www.law.go.kr/LSW/flDownload.do?bylClsCd=110201&amp;flSeq=129840259&amp;gubun=</x:v>
      </x:c>
      <x:c r="J92" s="4" t="str">
        <x:v>是</x:v>
      </x:c>
      <x:c r="K92" s="4" t="str">
        <x:v>是</x:v>
      </x:c>
      <x:c r="L92" s="4" t="str">
        <x:v>是</x:v>
      </x:c>
      <x:c r="M92" s="4" t="str">
        <x:v>是</x:v>
      </x:c>
      <x:c r="N92" s="4" t="str">
        <x:v>pass</x:v>
      </x:c>
      <x:c r="O92" s="4" t="str">
        <x:v>A</x:v>
      </x:c>
      <x:c r="P92" s="4" t="str">
        <x:v>是</x:v>
      </x:c>
      <x:c r="Q92" s="17" t="n">
        <x:v>150000000</x:v>
      </x:c>
      <x:c r="R92" s="16" t="str">
        <x:v>2022修訂版</x:v>
      </x:c>
      <x:c r="S92" s="4" t="str">
        <x:v>【示意】歷史法規附表；非2026最新確認，須專業複核；獨立來源1；來源A級</x:v>
      </x:c>
      <x:c r="T92" s="4" t="str">
        <x:v>示意</x:v>
      </x:c>
      <x:c r="U92" s="16" t="n">
        <x:v>1</x:v>
      </x:c>
      <x:c r="V92" s="4" t="str">
        <x:v>低</x:v>
      </x:c>
      <x:c r="W92" s="4" t="str">
        <x:v>PDF 第 3 頁（零基 P2）L131–149；實內建築工程登記人員 2 人以上、資本 1 億 5 千萬韓元以上；封面明列 2022-02-17 修正版。僅證實歷史條文，不證實 2026 全部現行資格。 逐列核對值：150000000 KRW；原單位換算見定義。</x:v>
      </x:c>
      <x:c r="X92" s="4" t="str">
        <x:v>數字核對通過不等於三角驗證；單一原始機構，按協議低信心示意。 舊法或旧清單版本需當地專業人士確認；不把歷史條文視為當期完整准入意見。</x:v>
      </x:c>
      <x:c r="Y92" s="37" t="d">
        <x:v>2026-10-09T00:00:00.000Z</x:v>
      </x:c>
      <x:c r="Z92" s="4" t="str">
        <x:v>turn167view1</x:v>
      </x:c>
    </x:row>
    <x:row r="93" ht="52" customHeight="1">
      <x:c r="A93" s="4" t="str">
        <x:v>M0092</x:v>
      </x:c>
      <x:c r="B93" s="4" t="str">
        <x:v>KR</x:v>
      </x:c>
      <x:c r="C93" s="4" t="str">
        <x:v>實內建築承包登記技術人員</x:v>
      </x:c>
      <x:c r="D93" s="17" t="n">
        <x:v>2</x:v>
      </x:c>
      <x:c r="E93" s="4" t="str">
        <x:v>人以上</x:v>
      </x:c>
      <x:c r="F93" s="16" t="str">
        <x:v>2022修訂版</x:v>
      </x:c>
      <x:c r="G93" s="4" t="str">
        <x:v>歷史法規附表；須專業複核</x:v>
      </x:c>
      <x:c r="H93" s="4" t="str">
        <x:v>KR05</x:v>
      </x:c>
      <x:c r="I93" s="4" t="str">
        <x:v>https://www.law.go.kr/LSW/flDownload.do?bylClsCd=110201&amp;flSeq=129840259&amp;gubun=</x:v>
      </x:c>
      <x:c r="J93" s="4" t="str">
        <x:v>是</x:v>
      </x:c>
      <x:c r="K93" s="4" t="str">
        <x:v>是</x:v>
      </x:c>
      <x:c r="L93" s="4" t="str">
        <x:v>是</x:v>
      </x:c>
      <x:c r="M93" s="4" t="str">
        <x:v>是</x:v>
      </x:c>
      <x:c r="N93" s="4" t="str">
        <x:v>pass</x:v>
      </x:c>
      <x:c r="O93" s="4" t="str">
        <x:v>A</x:v>
      </x:c>
      <x:c r="P93" s="4" t="str">
        <x:v>是</x:v>
      </x:c>
      <x:c r="Q93" s="17" t="n">
        <x:v>2</x:v>
      </x:c>
      <x:c r="R93" s="16" t="str">
        <x:v>2022修訂版</x:v>
      </x:c>
      <x:c r="S93" s="4" t="str">
        <x:v>【示意】歷史法規附表；須專業複核；獨立來源1；來源A級</x:v>
      </x:c>
      <x:c r="T93" s="4" t="str">
        <x:v>示意</x:v>
      </x:c>
      <x:c r="U93" s="16" t="n">
        <x:v>1</x:v>
      </x:c>
      <x:c r="V93" s="4" t="str">
        <x:v>低</x:v>
      </x:c>
      <x:c r="W93" s="4" t="str">
        <x:v>PDF 第 3 頁（零基 P2）L131–149；實內建築工程登記人員 2 人以上、資本 1 億 5 千萬韓元以上；封面明列 2022-02-17 修正版。僅證實歷史條文，不證實 2026 全部現行資格。 逐列核對值：2 人以上；原單位換算見定義。</x:v>
      </x:c>
      <x:c r="X93" s="4" t="str">
        <x:v>數字核對通過不等於三角驗證；單一原始機構，按協議低信心示意。 舊法或旧清單版本需當地專業人士確認；不把歷史條文視為當期完整准入意見。</x:v>
      </x:c>
      <x:c r="Y93" s="37" t="d">
        <x:v>2026-10-09T00:00:00.000Z</x:v>
      </x:c>
      <x:c r="Z93" s="4" t="str">
        <x:v>turn167view1</x:v>
      </x:c>
    </x:row>
    <x:row r="94" ht="38" customHeight="1">
      <x:c r="A94" s="4" t="str">
        <x:v>M0093</x:v>
      </x:c>
      <x:c r="B94" s="4" t="str">
        <x:v>KR</x:v>
      </x:c>
      <x:c r="C94" s="4" t="str">
        <x:v>FDI認定通常最低投資</x:v>
      </x:c>
      <x:c r="D94" s="17" t="n">
        <x:v>100000000</x:v>
      </x:c>
      <x:c r="E94" s="4" t="str">
        <x:v>KRW</x:v>
      </x:c>
      <x:c r="F94" s="16" t="str">
        <x:v>查閱2026</x:v>
      </x:c>
      <x:c r="G94" s="4" t="str">
        <x:v>投資額與10%持股並列之FDI認定，不等於一般公司成立門檻</x:v>
      </x:c>
      <x:c r="H94" s="4" t="str">
        <x:v>KR06</x:v>
      </x:c>
      <x:c r="I94" s="4" t="str">
        <x:v>https://www.investkorea.org/ik-en/cntnts/i-334/web.do</x:v>
      </x:c>
      <x:c r="J94" s="4" t="str">
        <x:v>是</x:v>
      </x:c>
      <x:c r="K94" s="4" t="str">
        <x:v>是</x:v>
      </x:c>
      <x:c r="L94" s="4" t="str">
        <x:v>是</x:v>
      </x:c>
      <x:c r="M94" s="4" t="str">
        <x:v>是</x:v>
      </x:c>
      <x:c r="N94" s="4" t="str">
        <x:v>pass</x:v>
      </x:c>
      <x:c r="O94" s="4" t="str">
        <x:v>A</x:v>
      </x:c>
      <x:c r="P94" s="4" t="str">
        <x:v>是</x:v>
      </x:c>
      <x:c r="Q94" s="17" t="n">
        <x:v>100000000</x:v>
      </x:c>
      <x:c r="R94" s="16" t="str">
        <x:v>查閱2026</x:v>
      </x:c>
      <x:c r="S94" s="4" t="str">
        <x:v>【示意】投資額與10%持股並列之FDI認定，不等於一般公司成立門檻；獨立來源1；來源A級</x:v>
      </x:c>
      <x:c r="T94" s="4" t="str">
        <x:v>示意</x:v>
      </x:c>
      <x:c r="U94" s="16" t="n">
        <x:v>1</x:v>
      </x:c>
      <x:c r="V94" s="4" t="str">
        <x:v>低</x:v>
      </x:c>
      <x:c r="W94" s="4" t="str">
        <x:v>L290–294；FDI 定義最低 1 億韓元及持股 10% 以上；負面清單 L311、319 明引 2018 公告，不能當 2026 完整法遵清單。 逐列核對值：100000000 KRW；原單位換算見定義。</x:v>
      </x:c>
      <x:c r="X94" s="4" t="str">
        <x:v>數字核對通過不等於三角驗證；單一原始機構，按協議低信心示意。 舊法或旧清單版本需當地專業人士確認；不把歷史條文視為當期完整准入意見。</x:v>
      </x:c>
      <x:c r="Y94" s="37" t="d">
        <x:v>2026-10-09T00:00:00.000Z</x:v>
      </x:c>
      <x:c r="Z94" s="4" t="str">
        <x:v>turn172view3</x:v>
      </x:c>
    </x:row>
    <x:row r="95" ht="52" customHeight="1">
      <x:c r="A95" s="4" t="str">
        <x:v>M0094</x:v>
      </x:c>
      <x:c r="B95" s="4" t="str">
        <x:v>KR</x:v>
      </x:c>
      <x:c r="C95" s="4" t="str">
        <x:v>名目GDP</x:v>
      </x:c>
      <x:c r="D95" s="19" t="n">
        <x:v>2676.7</x:v>
      </x:c>
      <x:c r="E95" s="4" t="str">
        <x:v>兆KRW</x:v>
      </x:c>
      <x:c r="F95" s="16" t="n">
        <x:v>2025</x:v>
      </x:c>
      <x:c r="G95" s="4" t="str">
        <x:v>2025國民帳暫定</x:v>
      </x:c>
      <x:c r="H95" s="4" t="str">
        <x:v>KR08</x:v>
      </x:c>
      <x:c r="I95" s="4" t="str">
        <x:v>https://www.bok.or.kr/portal/bbs/B0000501/view.do?depth=201264&amp;menuNo=201264&amp;nttId=10098382&amp;oldMenuNo=201150&amp;programType=newsData&amp;relate=Y</x:v>
      </x:c>
      <x:c r="J95" s="4" t="str">
        <x:v>是</x:v>
      </x:c>
      <x:c r="K95" s="4" t="str">
        <x:v>是</x:v>
      </x:c>
      <x:c r="L95" s="4" t="str">
        <x:v>是</x:v>
      </x:c>
      <x:c r="M95" s="4" t="str">
        <x:v>是</x:v>
      </x:c>
      <x:c r="N95" s="4" t="str">
        <x:v>pass</x:v>
      </x:c>
      <x:c r="O95" s="4" t="str">
        <x:v>A</x:v>
      </x:c>
      <x:c r="P95" s="4" t="str">
        <x:v>是</x:v>
      </x:c>
      <x:c r="Q95" s="19" t="n">
        <x:v>2676.7</x:v>
      </x:c>
      <x:c r="R95" s="16" t="n">
        <x:v>2025</x:v>
      </x:c>
      <x:c r="S95" s="4" t="str">
        <x:v>【示意】2025國民帳暫定；獨立來源1；來源A級</x:v>
      </x:c>
      <x:c r="T95" s="4" t="str">
        <x:v>示意</x:v>
      </x:c>
      <x:c r="U95" s="16" t="n">
        <x:v>1</x:v>
      </x:c>
      <x:c r="V95" s="4" t="str">
        <x:v>低</x:v>
      </x:c>
      <x:c r="W95" s="4" t="str">
        <x:v>L854–897；2026-06-09 發布，2025 實質 GDP +1.1%、名目 GDP 2,676.7 兆韓元、每人 GNI 36,963 美元。 逐列核對值：2676.7 兆KRW；原單位換算見定義。</x:v>
      </x:c>
      <x:c r="X95" s="4" t="str">
        <x:v>數字核對通過不等於三角驗證；單一原始機構，按協議低信心示意。</x:v>
      </x:c>
      <x:c r="Y95" s="37" t="d">
        <x:v>2026-10-09T00:00:00.000Z</x:v>
      </x:c>
      <x:c r="Z95" s="4" t="str">
        <x:v>turn172view0</x:v>
      </x:c>
    </x:row>
    <x:row r="96" ht="52" customHeight="1">
      <x:c r="A96" s="4" t="str">
        <x:v>M0095</x:v>
      </x:c>
      <x:c r="B96" s="4" t="str">
        <x:v>KR</x:v>
      </x:c>
      <x:c r="C96" s="4" t="str">
        <x:v>人均GNI</x:v>
      </x:c>
      <x:c r="D96" s="17" t="n">
        <x:v>36963</x:v>
      </x:c>
      <x:c r="E96" s="4" t="str">
        <x:v>USD／人</x:v>
      </x:c>
      <x:c r="F96" s="16" t="n">
        <x:v>2025</x:v>
      </x:c>
      <x:c r="G96" s="4" t="str">
        <x:v>GNI不是GDP，不填入GDP比較欄</x:v>
      </x:c>
      <x:c r="H96" s="4" t="str">
        <x:v>KR08</x:v>
      </x:c>
      <x:c r="I96" s="4" t="str">
        <x:v>https://www.bok.or.kr/portal/bbs/B0000501/view.do?depth=201264&amp;menuNo=201264&amp;nttId=10098382&amp;oldMenuNo=201150&amp;programType=newsData&amp;relate=Y</x:v>
      </x:c>
      <x:c r="J96" s="4" t="str">
        <x:v>是</x:v>
      </x:c>
      <x:c r="K96" s="4" t="str">
        <x:v>是</x:v>
      </x:c>
      <x:c r="L96" s="4" t="str">
        <x:v>是</x:v>
      </x:c>
      <x:c r="M96" s="4" t="str">
        <x:v>是</x:v>
      </x:c>
      <x:c r="N96" s="4" t="str">
        <x:v>pass</x:v>
      </x:c>
      <x:c r="O96" s="4" t="str">
        <x:v>A</x:v>
      </x:c>
      <x:c r="P96" s="4" t="str">
        <x:v>是</x:v>
      </x:c>
      <x:c r="Q96" s="17" t="n">
        <x:v>36963</x:v>
      </x:c>
      <x:c r="R96" s="16" t="n">
        <x:v>2025</x:v>
      </x:c>
      <x:c r="S96" s="4" t="str">
        <x:v>【示意】GNI不是GDP，不填入GDP比較欄；獨立來源1；來源A級</x:v>
      </x:c>
      <x:c r="T96" s="4" t="str">
        <x:v>示意</x:v>
      </x:c>
      <x:c r="U96" s="16" t="n">
        <x:v>1</x:v>
      </x:c>
      <x:c r="V96" s="4" t="str">
        <x:v>低</x:v>
      </x:c>
      <x:c r="W96" s="4" t="str">
        <x:v>L854–897；2026-06-09 發布，2025 實質 GDP +1.1%、名目 GDP 2,676.7 兆韓元、每人 GNI 36,963 美元。 逐列核對值：36963 USD／人；原單位換算見定義。</x:v>
      </x:c>
      <x:c r="X96" s="4" t="str">
        <x:v>數字核對通過不等於三角驗證；單一原始機構，按協議低信心示意。</x:v>
      </x:c>
      <x:c r="Y96" s="37" t="d">
        <x:v>2026-10-09T00:00:00.000Z</x:v>
      </x:c>
      <x:c r="Z96" s="4" t="str">
        <x:v>turn172view0</x:v>
      </x:c>
    </x:row>
    <x:row r="97" ht="52" customHeight="1">
      <x:c r="A97" s="4" t="str">
        <x:v>M0096</x:v>
      </x:c>
      <x:c r="B97" s="4" t="str">
        <x:v>KR</x:v>
      </x:c>
      <x:c r="C97" s="4" t="str">
        <x:v>實質GDP成長</x:v>
      </x:c>
      <x:c r="D97" s="19" t="n">
        <x:v>1.1</x:v>
      </x:c>
      <x:c r="E97" s="4" t="str">
        <x:v>%</x:v>
      </x:c>
      <x:c r="F97" s="16" t="n">
        <x:v>2025</x:v>
      </x:c>
      <x:c r="G97" s="4" t="str">
        <x:v>2025國民帳暫定</x:v>
      </x:c>
      <x:c r="H97" s="4" t="str">
        <x:v>KR08</x:v>
      </x:c>
      <x:c r="I97" s="4" t="str">
        <x:v>https://www.bok.or.kr/portal/bbs/B0000501/view.do?depth=201264&amp;menuNo=201264&amp;nttId=10098382&amp;oldMenuNo=201150&amp;programType=newsData&amp;relate=Y</x:v>
      </x:c>
      <x:c r="J97" s="4" t="str">
        <x:v>是</x:v>
      </x:c>
      <x:c r="K97" s="4" t="str">
        <x:v>是</x:v>
      </x:c>
      <x:c r="L97" s="4" t="str">
        <x:v>是</x:v>
      </x:c>
      <x:c r="M97" s="4" t="str">
        <x:v>是</x:v>
      </x:c>
      <x:c r="N97" s="4" t="str">
        <x:v>pass</x:v>
      </x:c>
      <x:c r="O97" s="4" t="str">
        <x:v>A</x:v>
      </x:c>
      <x:c r="P97" s="4" t="str">
        <x:v>是</x:v>
      </x:c>
      <x:c r="Q97" s="19" t="n">
        <x:v>1.1</x:v>
      </x:c>
      <x:c r="R97" s="16" t="n">
        <x:v>2025</x:v>
      </x:c>
      <x:c r="S97" s="4" t="str">
        <x:v>【示意】2025國民帳暫定；獨立來源1；來源A級</x:v>
      </x:c>
      <x:c r="T97" s="4" t="str">
        <x:v>示意</x:v>
      </x:c>
      <x:c r="U97" s="16" t="n">
        <x:v>1</x:v>
      </x:c>
      <x:c r="V97" s="4" t="str">
        <x:v>低</x:v>
      </x:c>
      <x:c r="W97" s="4" t="str">
        <x:v>L854–897；2026-06-09 發布，2025 實質 GDP +1.1%、名目 GDP 2,676.7 兆韓元、每人 GNI 36,963 美元。 逐列核對值：1.1 %；原單位換算見定義。</x:v>
      </x:c>
      <x:c r="X97" s="4" t="str">
        <x:v>數字核對通過不等於三角驗證；單一原始機構，按協議低信心示意。</x:v>
      </x:c>
      <x:c r="Y97" s="37" t="d">
        <x:v>2026-10-09T00:00:00.000Z</x:v>
      </x:c>
      <x:c r="Z97" s="4" t="str">
        <x:v>turn172view0</x:v>
      </x:c>
    </x:row>
    <x:row r="98" ht="52" customHeight="1">
      <x:c r="A98" s="4" t="str">
        <x:v>M0097</x:v>
      </x:c>
      <x:c r="B98" s="4" t="str">
        <x:v>KR</x:v>
      </x:c>
      <x:c r="C98" s="4" t="str">
        <x:v>室內裝修消費爭議申請</x:v>
      </x:c>
      <x:c r="D98" s="17" t="n">
        <x:v>551</x:v>
      </x:c>
      <x:c r="E98" s="4" t="str">
        <x:v>件</x:v>
      </x:c>
      <x:c r="F98" s="16" t="n">
        <x:v>2024</x:v>
      </x:c>
      <x:c r="G98" s="4" t="str">
        <x:v>韓國消費者院數據由主流媒體轉引</x:v>
      </x:c>
      <x:c r="H98" s="4" t="str">
        <x:v>KR09</x:v>
      </x:c>
      <x:c r="I98" s="4" t="str">
        <x:v>https://www.khan.co.kr/article/202610071201001</x:v>
      </x:c>
      <x:c r="J98" s="4" t="str">
        <x:v>是</x:v>
      </x:c>
      <x:c r="K98" s="4" t="str">
        <x:v>是</x:v>
      </x:c>
      <x:c r="L98" s="4" t="str">
        <x:v>是</x:v>
      </x:c>
      <x:c r="M98" s="4" t="str">
        <x:v>是</x:v>
      </x:c>
      <x:c r="N98" s="4" t="str">
        <x:v>pass</x:v>
      </x:c>
      <x:c r="O98" s="4" t="str">
        <x:v>B</x:v>
      </x:c>
      <x:c r="P98" s="4" t="str">
        <x:v>是</x:v>
      </x:c>
      <x:c r="Q98" s="17" t="n">
        <x:v>551</x:v>
      </x:c>
      <x:c r="R98" s="16" t="n">
        <x:v>2024</x:v>
      </x:c>
      <x:c r="S98" s="4" t="str">
        <x:v>【示意】韓國消費者院數據由主流媒體轉引；獨立來源1；來源B級</x:v>
      </x:c>
      <x:c r="T98" s="4" t="str">
        <x:v>示意</x:v>
      </x:c>
      <x:c r="U98" s="16" t="n">
        <x:v>1</x:v>
      </x:c>
      <x:c r="V98" s="4" t="str">
        <x:v>低</x:v>
      </x:c>
      <x:c r="W98" s="4" t="str">
        <x:v>L214、230–232；2026-10-07 引用韓國消費者院：2024 年 551 件、2025 年 795 件、2026 上半年 430 件；2023–2026H1 瑕疵修補不滿 56.9%。 逐列核對值：551 件；原單位換算見定義。</x:v>
      </x:c>
      <x:c r="X98" s="4" t="str">
        <x:v>數字核對通過不等於三角驗證；單一原始機構，按協議低信心示意。</x:v>
      </x:c>
      <x:c r="Y98" s="37" t="d">
        <x:v>2026-10-09T00:00:00.000Z</x:v>
      </x:c>
      <x:c r="Z98" s="4" t="str">
        <x:v>turn178view3</x:v>
      </x:c>
    </x:row>
    <x:row r="99" ht="52" customHeight="1">
      <x:c r="A99" s="4" t="str">
        <x:v>M0098</x:v>
      </x:c>
      <x:c r="B99" s="4" t="str">
        <x:v>KR</x:v>
      </x:c>
      <x:c r="C99" s="4" t="str">
        <x:v>室內裝修消費爭議申請</x:v>
      </x:c>
      <x:c r="D99" s="17" t="n">
        <x:v>795</x:v>
      </x:c>
      <x:c r="E99" s="4" t="str">
        <x:v>件</x:v>
      </x:c>
      <x:c r="F99" s="16" t="n">
        <x:v>2025</x:v>
      </x:c>
      <x:c r="G99" s="4" t="str">
        <x:v>同系列；非全市場發生率</x:v>
      </x:c>
      <x:c r="H99" s="4" t="str">
        <x:v>KR09</x:v>
      </x:c>
      <x:c r="I99" s="4" t="str">
        <x:v>https://www.khan.co.kr/article/202610071201001</x:v>
      </x:c>
      <x:c r="J99" s="4" t="str">
        <x:v>是</x:v>
      </x:c>
      <x:c r="K99" s="4" t="str">
        <x:v>是</x:v>
      </x:c>
      <x:c r="L99" s="4" t="str">
        <x:v>是</x:v>
      </x:c>
      <x:c r="M99" s="4" t="str">
        <x:v>是</x:v>
      </x:c>
      <x:c r="N99" s="4" t="str">
        <x:v>pass</x:v>
      </x:c>
      <x:c r="O99" s="4" t="str">
        <x:v>B</x:v>
      </x:c>
      <x:c r="P99" s="4" t="str">
        <x:v>是</x:v>
      </x:c>
      <x:c r="Q99" s="17" t="n">
        <x:v>795</x:v>
      </x:c>
      <x:c r="R99" s="16" t="n">
        <x:v>2025</x:v>
      </x:c>
      <x:c r="S99" s="4" t="str">
        <x:v>【示意】同系列；非全市場發生率；獨立來源1；來源B級</x:v>
      </x:c>
      <x:c r="T99" s="4" t="str">
        <x:v>示意</x:v>
      </x:c>
      <x:c r="U99" s="16" t="n">
        <x:v>1</x:v>
      </x:c>
      <x:c r="V99" s="4" t="str">
        <x:v>低</x:v>
      </x:c>
      <x:c r="W99" s="4" t="str">
        <x:v>L214、230–232；2026-10-07 引用韓國消費者院：2024 年 551 件、2025 年 795 件、2026 上半年 430 件；2023–2026H1 瑕疵修補不滿 56.9%。 逐列核對值：795 件；原單位換算見定義。</x:v>
      </x:c>
      <x:c r="X99" s="4" t="str">
        <x:v>數字核對通過不等於三角驗證；單一原始機構，按協議低信心示意。</x:v>
      </x:c>
      <x:c r="Y99" s="37" t="d">
        <x:v>2026-10-09T00:00:00.000Z</x:v>
      </x:c>
      <x:c r="Z99" s="4" t="str">
        <x:v>turn178view3</x:v>
      </x:c>
    </x:row>
    <x:row r="100" ht="66" customHeight="1">
      <x:c r="A100" s="4" t="str">
        <x:v>M0099</x:v>
      </x:c>
      <x:c r="B100" s="4" t="str">
        <x:v>KR</x:v>
      </x:c>
      <x:c r="C100" s="4" t="str">
        <x:v>室內裝修消費爭議申請</x:v>
      </x:c>
      <x:c r="D100" s="17" t="n">
        <x:v>430</x:v>
      </x:c>
      <x:c r="E100" s="4" t="str">
        <x:v>件</x:v>
      </x:c>
      <x:c r="F100" s="16" t="n">
        <x:v>2026</x:v>
      </x:c>
      <x:c r="G100" s="4" t="str">
        <x:v>2026上半年，非全年</x:v>
      </x:c>
      <x:c r="H100" s="4" t="str">
        <x:v>KR09</x:v>
      </x:c>
      <x:c r="I100" s="4" t="str">
        <x:v>https://www.khan.co.kr/article/202610071201001</x:v>
      </x:c>
      <x:c r="J100" s="4" t="str">
        <x:v>是</x:v>
      </x:c>
      <x:c r="K100" s="4" t="str">
        <x:v>是</x:v>
      </x:c>
      <x:c r="L100" s="4" t="str">
        <x:v>否</x:v>
      </x:c>
      <x:c r="M100" s="4" t="str">
        <x:v>是</x:v>
      </x:c>
      <x:c r="N100" s="4" t="str">
        <x:v>partial</x:v>
      </x:c>
      <x:c r="O100" s="4" t="str">
        <x:v>B</x:v>
      </x:c>
      <x:c r="P100" s="4" t="str">
        <x:v>是</x:v>
      </x:c>
      <x:c r="Q100" s="17" t="n">
        <x:v>430</x:v>
      </x:c>
      <x:c r="R100" s="16" t="str">
        <x:v>2026H1</x:v>
      </x:c>
      <x:c r="S100" s="4" t="str">
        <x:v>【示意】2026年1–6月消費者院接收的室內裝修消費爭議申請；非全年。；獨立來源1；來源B級；查核限制：L214、230–232；2026-10-07 引用韓國消費者院：2024 年 551 件、2025 年 795 件、2026 上半年 430 件；2023–2026H1 瑕疵修補不滿 56.9%。 逐列核對值：430 件；原單位換算見定義。</x:v>
      </x:c>
      <x:c r="T100" s="4" t="str">
        <x:v>示意</x:v>
      </x:c>
      <x:c r="U100" s="16" t="n">
        <x:v>1</x:v>
      </x:c>
      <x:c r="V100" s="4" t="str">
        <x:v>低</x:v>
      </x:c>
      <x:c r="W100" s="4" t="str">
        <x:v>L214、230–232；2026-10-07 引用韓國消費者院：2024 年 551 件、2025 年 795 件、2026 上半年 430 件；2023–2026H1 瑕疵修補不滿 56.9%。 逐列核對值：430 件；原單位換算見定義。</x:v>
      </x:c>
      <x:c r="X100" s="4" t="str">
        <x:v>原 definition 已有上半年，但 year 僅2026會造成全年誤讀，明確改2026H1。</x:v>
      </x:c>
      <x:c r="Y100" s="37" t="d">
        <x:v>2026-10-09T00:00:00.000Z</x:v>
      </x:c>
      <x:c r="Z100" s="4" t="str">
        <x:v>turn178view3</x:v>
      </x:c>
    </x:row>
    <x:row r="101" ht="52" customHeight="1">
      <x:c r="A101" s="4" t="str">
        <x:v>M0100</x:v>
      </x:c>
      <x:c r="B101" s="4" t="str">
        <x:v>KR</x:v>
      </x:c>
      <x:c r="C101" s="4" t="str">
        <x:v>裝修申請中瑕疵修補不滿占比</x:v>
      </x:c>
      <x:c r="D101" s="19" t="n">
        <x:v>56.9</x:v>
      </x:c>
      <x:c r="E101" s="4" t="str">
        <x:v>%</x:v>
      </x:c>
      <x:c r="F101" s="16" t="str">
        <x:v>2023–2026H1</x:v>
      </x:c>
      <x:c r="G101" s="4" t="str">
        <x:v>2243件申請的原因分類</x:v>
      </x:c>
      <x:c r="H101" s="4" t="str">
        <x:v>KR09</x:v>
      </x:c>
      <x:c r="I101" s="4" t="str">
        <x:v>https://www.khan.co.kr/article/202610071201001</x:v>
      </x:c>
      <x:c r="J101" s="4" t="str">
        <x:v>是</x:v>
      </x:c>
      <x:c r="K101" s="4" t="str">
        <x:v>是</x:v>
      </x:c>
      <x:c r="L101" s="4" t="str">
        <x:v>是</x:v>
      </x:c>
      <x:c r="M101" s="4" t="str">
        <x:v>是</x:v>
      </x:c>
      <x:c r="N101" s="4" t="str">
        <x:v>pass</x:v>
      </x:c>
      <x:c r="O101" s="4" t="str">
        <x:v>B</x:v>
      </x:c>
      <x:c r="P101" s="4" t="str">
        <x:v>是</x:v>
      </x:c>
      <x:c r="Q101" s="19" t="n">
        <x:v>56.9</x:v>
      </x:c>
      <x:c r="R101" s="16" t="str">
        <x:v>2023–2026H1</x:v>
      </x:c>
      <x:c r="S101" s="4" t="str">
        <x:v>【示意】2243件申請的原因分類；獨立來源1；來源B級</x:v>
      </x:c>
      <x:c r="T101" s="4" t="str">
        <x:v>示意</x:v>
      </x:c>
      <x:c r="U101" s="16" t="n">
        <x:v>1</x:v>
      </x:c>
      <x:c r="V101" s="4" t="str">
        <x:v>低</x:v>
      </x:c>
      <x:c r="W101" s="4" t="str">
        <x:v>L214、230–232；2026-10-07 引用韓國消費者院：2024 年 551 件、2025 年 795 件、2026 上半年 430 件；2023–2026H1 瑕疵修補不滿 56.9%。 逐列核對值：56.9 %；原單位換算見定義。</x:v>
      </x:c>
      <x:c r="X101" s="4" t="str">
        <x:v>數字核對通過不等於三角驗證；單一原始機構，按協議低信心示意。</x:v>
      </x:c>
      <x:c r="Y101" s="37" t="d">
        <x:v>2026-10-09T00:00:00.000Z</x:v>
      </x:c>
      <x:c r="Z101" s="4" t="str">
        <x:v>turn178view3</x:v>
      </x:c>
    </x:row>
    <x:row r="102" ht="38" customHeight="1">
      <x:c r="A102" s="4" t="str">
        <x:v>M0101</x:v>
      </x:c>
      <x:c r="B102" s="4" t="str">
        <x:v>KR</x:v>
      </x:c>
      <x:c r="C102" s="4" t="str">
        <x:v>Hyundai Livart合併營收</x:v>
      </x:c>
      <x:c r="D102" s="17" t="n">
        <x:v>1546206</x:v>
      </x:c>
      <x:c r="E102" s="4" t="str">
        <x:v>百萬KRW</x:v>
      </x:c>
      <x:c r="F102" s="16" t="n">
        <x:v>2025</x:v>
      </x:c>
      <x:c r="G102" s="4" t="str">
        <x:v>家具等全集團；非純室內設計</x:v>
      </x:c>
      <x:c r="H102" s="4" t="str">
        <x:v>KR14</x:v>
      </x:c>
      <x:c r="I102" s="4" t="str">
        <x:v>https://company.hyundailivart.co.kr/ko/statements</x:v>
      </x:c>
      <x:c r="J102" s="4" t="str">
        <x:v>是</x:v>
      </x:c>
      <x:c r="K102" s="4" t="str">
        <x:v>是</x:v>
      </x:c>
      <x:c r="L102" s="4" t="str">
        <x:v>是</x:v>
      </x:c>
      <x:c r="M102" s="4" t="str">
        <x:v>是</x:v>
      </x:c>
      <x:c r="N102" s="4" t="str">
        <x:v>pass</x:v>
      </x:c>
      <x:c r="O102" s="4" t="str">
        <x:v>C</x:v>
      </x:c>
      <x:c r="P102" s="4" t="str">
        <x:v>是</x:v>
      </x:c>
      <x:c r="Q102" s="17" t="n">
        <x:v>1546206</x:v>
      </x:c>
      <x:c r="R102" s="16" t="n">
        <x:v>2025</x:v>
      </x:c>
      <x:c r="S102" s="4" t="str">
        <x:v>【示意】家具等全集團；非純室內設計；獨立來源1；來源C級</x:v>
      </x:c>
      <x:c r="T102" s="4" t="str">
        <x:v>示意</x:v>
      </x:c>
      <x:c r="U102" s="16" t="n">
        <x:v>1</x:v>
      </x:c>
      <x:c r="V102" s="4" t="str">
        <x:v>低</x:v>
      </x:c>
      <x:c r="W102" s="4" t="str">
        <x:v>L123–137 合併損益摘要，百萬韓元；2025 收入 1,546,206、毛利 268,091、營業利益 15,717。公司 IR 摘要未另讀年報，從嚴 C。 逐列核對值：1546206 百萬KRW；原單位換算見定義。</x:v>
      </x:c>
      <x:c r="X102" s="4" t="str">
        <x:v>數字核對通過不等於三角驗證；單一原始機構，按協議低信心示意。</x:v>
      </x:c>
      <x:c r="Y102" s="37" t="d">
        <x:v>2026-10-09T00:00:00.000Z</x:v>
      </x:c>
      <x:c r="Z102" s="4" t="str">
        <x:v>turn178view4</x:v>
      </x:c>
    </x:row>
    <x:row r="103" ht="38" customHeight="1">
      <x:c r="A103" s="4" t="str">
        <x:v>M0102</x:v>
      </x:c>
      <x:c r="B103" s="4" t="str">
        <x:v>KR</x:v>
      </x:c>
      <x:c r="C103" s="4" t="str">
        <x:v>Hyundai Livart合併毛利</x:v>
      </x:c>
      <x:c r="D103" s="17" t="n">
        <x:v>268091</x:v>
      </x:c>
      <x:c r="E103" s="4" t="str">
        <x:v>百萬KRW</x:v>
      </x:c>
      <x:c r="F103" s="16" t="n">
        <x:v>2025</x:v>
      </x:c>
      <x:c r="G103" s="4" t="str">
        <x:v>全年合併</x:v>
      </x:c>
      <x:c r="H103" s="4" t="str">
        <x:v>KR14</x:v>
      </x:c>
      <x:c r="I103" s="4" t="str">
        <x:v>https://company.hyundailivart.co.kr/ko/statements</x:v>
      </x:c>
      <x:c r="J103" s="4" t="str">
        <x:v>是</x:v>
      </x:c>
      <x:c r="K103" s="4" t="str">
        <x:v>是</x:v>
      </x:c>
      <x:c r="L103" s="4" t="str">
        <x:v>是</x:v>
      </x:c>
      <x:c r="M103" s="4" t="str">
        <x:v>是</x:v>
      </x:c>
      <x:c r="N103" s="4" t="str">
        <x:v>pass</x:v>
      </x:c>
      <x:c r="O103" s="4" t="str">
        <x:v>C</x:v>
      </x:c>
      <x:c r="P103" s="4" t="str">
        <x:v>是</x:v>
      </x:c>
      <x:c r="Q103" s="17" t="n">
        <x:v>268091</x:v>
      </x:c>
      <x:c r="R103" s="16" t="n">
        <x:v>2025</x:v>
      </x:c>
      <x:c r="S103" s="4" t="str">
        <x:v>【示意】全年合併；獨立來源1；來源C級</x:v>
      </x:c>
      <x:c r="T103" s="4" t="str">
        <x:v>示意</x:v>
      </x:c>
      <x:c r="U103" s="16" t="n">
        <x:v>1</x:v>
      </x:c>
      <x:c r="V103" s="4" t="str">
        <x:v>低</x:v>
      </x:c>
      <x:c r="W103" s="4" t="str">
        <x:v>L123–137 合併損益摘要，百萬韓元；2025 收入 1,546,206、毛利 268,091、營業利益 15,717。公司 IR 摘要未另讀年報，從嚴 C。 逐列核對值：268091 百萬KRW；原單位換算見定義。</x:v>
      </x:c>
      <x:c r="X103" s="4" t="str">
        <x:v>數字核對通過不等於三角驗證；單一原始機構，按協議低信心示意。</x:v>
      </x:c>
      <x:c r="Y103" s="37" t="d">
        <x:v>2026-10-09T00:00:00.000Z</x:v>
      </x:c>
      <x:c r="Z103" s="4" t="str">
        <x:v>turn178view4</x:v>
      </x:c>
    </x:row>
    <x:row r="104" ht="38" customHeight="1">
      <x:c r="A104" s="4" t="str">
        <x:v>M0103</x:v>
      </x:c>
      <x:c r="B104" s="4" t="str">
        <x:v>KR</x:v>
      </x:c>
      <x:c r="C104" s="4" t="str">
        <x:v>Hyundai Livart合併營業利益</x:v>
      </x:c>
      <x:c r="D104" s="17" t="n">
        <x:v>15717</x:v>
      </x:c>
      <x:c r="E104" s="4" t="str">
        <x:v>百萬KRW</x:v>
      </x:c>
      <x:c r="F104" s="16" t="n">
        <x:v>2025</x:v>
      </x:c>
      <x:c r="G104" s="4" t="str">
        <x:v>全年合併</x:v>
      </x:c>
      <x:c r="H104" s="4" t="str">
        <x:v>KR14</x:v>
      </x:c>
      <x:c r="I104" s="4" t="str">
        <x:v>https://company.hyundailivart.co.kr/ko/statements</x:v>
      </x:c>
      <x:c r="J104" s="4" t="str">
        <x:v>是</x:v>
      </x:c>
      <x:c r="K104" s="4" t="str">
        <x:v>是</x:v>
      </x:c>
      <x:c r="L104" s="4" t="str">
        <x:v>是</x:v>
      </x:c>
      <x:c r="M104" s="4" t="str">
        <x:v>是</x:v>
      </x:c>
      <x:c r="N104" s="4" t="str">
        <x:v>pass</x:v>
      </x:c>
      <x:c r="O104" s="4" t="str">
        <x:v>C</x:v>
      </x:c>
      <x:c r="P104" s="4" t="str">
        <x:v>是</x:v>
      </x:c>
      <x:c r="Q104" s="17" t="n">
        <x:v>15717</x:v>
      </x:c>
      <x:c r="R104" s="16" t="n">
        <x:v>2025</x:v>
      </x:c>
      <x:c r="S104" s="4" t="str">
        <x:v>【示意】全年合併；獨立來源1；來源C級</x:v>
      </x:c>
      <x:c r="T104" s="4" t="str">
        <x:v>示意</x:v>
      </x:c>
      <x:c r="U104" s="16" t="n">
        <x:v>1</x:v>
      </x:c>
      <x:c r="V104" s="4" t="str">
        <x:v>低</x:v>
      </x:c>
      <x:c r="W104" s="4" t="str">
        <x:v>L123–137 合併損益摘要，百萬韓元；2025 收入 1,546,206、毛利 268,091、營業利益 15,717。公司 IR 摘要未另讀年報，從嚴 C。 逐列核對值：15717 百萬KRW；原單位換算見定義。</x:v>
      </x:c>
      <x:c r="X104" s="4" t="str">
        <x:v>數字核對通過不等於三角驗證；單一原始機構，按協議低信心示意。</x:v>
      </x:c>
      <x:c r="Y104" s="37" t="d">
        <x:v>2026-10-09T00:00:00.000Z</x:v>
      </x:c>
      <x:c r="Z104" s="4" t="str">
        <x:v>turn178view4</x:v>
      </x:c>
    </x:row>
    <x:row r="105" ht="38" customHeight="1">
      <x:c r="A105" s="4" t="str">
        <x:v>M0104</x:v>
      </x:c>
      <x:c r="B105" s="4" t="str">
        <x:v>KR</x:v>
      </x:c>
      <x:c r="C105" s="4" t="str">
        <x:v>LX Hausys營收</x:v>
      </x:c>
      <x:c r="D105" s="17" t="n">
        <x:v>31787</x:v>
      </x:c>
      <x:c r="E105" s="4" t="str">
        <x:v>億KRW</x:v>
      </x:c>
      <x:c r="F105" s="16" t="n">
        <x:v>2025</x:v>
      </x:c>
      <x:c r="G105" s="4" t="str">
        <x:v>公司官方嵌入財報；含非家居材料</x:v>
      </x:c>
      <x:c r="H105" s="4" t="str">
        <x:v>KR18</x:v>
      </x:c>
      <x:c r="I105" s="4" t="str">
        <x:v>https://ir.gsifn.io/lghausys/fn_statements.html?koreng=1</x:v>
      </x:c>
      <x:c r="J105" s="4" t="str">
        <x:v>是</x:v>
      </x:c>
      <x:c r="K105" s="4" t="str">
        <x:v>是</x:v>
      </x:c>
      <x:c r="L105" s="4" t="str">
        <x:v>是</x:v>
      </x:c>
      <x:c r="M105" s="4" t="str">
        <x:v>是</x:v>
      </x:c>
      <x:c r="N105" s="4" t="str">
        <x:v>pass</x:v>
      </x:c>
      <x:c r="O105" s="4" t="str">
        <x:v>C</x:v>
      </x:c>
      <x:c r="P105" s="4" t="str">
        <x:v>是</x:v>
      </x:c>
      <x:c r="Q105" s="17" t="n">
        <x:v>31787</x:v>
      </x:c>
      <x:c r="R105" s="16" t="n">
        <x:v>2025</x:v>
      </x:c>
      <x:c r="S105" s="4" t="str">
        <x:v>【示意】公司官方嵌入財報；含非家居材料；獨立來源1；來源C級</x:v>
      </x:c>
      <x:c r="T105" s="4" t="str">
        <x:v>示意</x:v>
      </x:c>
      <x:c r="U105" s="16" t="n">
        <x:v>1</x:v>
      </x:c>
      <x:c r="V105" s="4" t="str">
        <x:v>低</x:v>
      </x:c>
      <x:c r="W105" s="4" t="str">
        <x:v>L5–12 單位億韓元，2025 收入 31,787、營業利益 131；LX 嵌入 FnGuide 表，未另讀審計報告，從嚴 C。 逐列核對值：31787 億KRW；原單位換算見定義。</x:v>
      </x:c>
      <x:c r="X105" s="4" t="str">
        <x:v>數字核對通過不等於三角驗證；單一原始機構，按協議低信心示意。</x:v>
      </x:c>
      <x:c r="Y105" s="37" t="d">
        <x:v>2026-10-09T00:00:00.000Z</x:v>
      </x:c>
      <x:c r="Z105" s="4" t="str">
        <x:v>turn206view2</x:v>
      </x:c>
    </x:row>
    <x:row r="106" ht="38" customHeight="1">
      <x:c r="A106" s="4" t="str">
        <x:v>M0105</x:v>
      </x:c>
      <x:c r="B106" s="4" t="str">
        <x:v>KR</x:v>
      </x:c>
      <x:c r="C106" s="4" t="str">
        <x:v>LX Hausys營業利益</x:v>
      </x:c>
      <x:c r="D106" s="17" t="n">
        <x:v>131</x:v>
      </x:c>
      <x:c r="E106" s="4" t="str">
        <x:v>億KRW</x:v>
      </x:c>
      <x:c r="F106" s="16" t="n">
        <x:v>2025</x:v>
      </x:c>
      <x:c r="G106" s="4" t="str">
        <x:v>全集團口徑</x:v>
      </x:c>
      <x:c r="H106" s="4" t="str">
        <x:v>KR18</x:v>
      </x:c>
      <x:c r="I106" s="4" t="str">
        <x:v>https://ir.gsifn.io/lghausys/fn_statements.html?koreng=1</x:v>
      </x:c>
      <x:c r="J106" s="4" t="str">
        <x:v>是</x:v>
      </x:c>
      <x:c r="K106" s="4" t="str">
        <x:v>是</x:v>
      </x:c>
      <x:c r="L106" s="4" t="str">
        <x:v>是</x:v>
      </x:c>
      <x:c r="M106" s="4" t="str">
        <x:v>是</x:v>
      </x:c>
      <x:c r="N106" s="4" t="str">
        <x:v>pass</x:v>
      </x:c>
      <x:c r="O106" s="4" t="str">
        <x:v>C</x:v>
      </x:c>
      <x:c r="P106" s="4" t="str">
        <x:v>是</x:v>
      </x:c>
      <x:c r="Q106" s="17" t="n">
        <x:v>131</x:v>
      </x:c>
      <x:c r="R106" s="16" t="n">
        <x:v>2025</x:v>
      </x:c>
      <x:c r="S106" s="4" t="str">
        <x:v>【示意】全集團口徑；獨立來源1；來源C級</x:v>
      </x:c>
      <x:c r="T106" s="4" t="str">
        <x:v>示意</x:v>
      </x:c>
      <x:c r="U106" s="16" t="n">
        <x:v>1</x:v>
      </x:c>
      <x:c r="V106" s="4" t="str">
        <x:v>低</x:v>
      </x:c>
      <x:c r="W106" s="4" t="str">
        <x:v>L5–12 單位億韓元，2025 收入 31,787、營業利益 131；LX 嵌入 FnGuide 表，未另讀審計報告，從嚴 C。 逐列核對值：131 億KRW；原單位換算見定義。</x:v>
      </x:c>
      <x:c r="X106" s="4" t="str">
        <x:v>數字核對通過不等於三角驗證；單一原始機構，按協議低信心示意。</x:v>
      </x:c>
      <x:c r="Y106" s="37" t="d">
        <x:v>2026-10-09T00:00:00.000Z</x:v>
      </x:c>
      <x:c r="Z106" s="4" t="str">
        <x:v>turn206view2</x:v>
      </x:c>
    </x:row>
    <x:row r="107" ht="38" customHeight="1">
      <x:c r="A107" s="4" t="str">
        <x:v>M0106</x:v>
      </x:c>
      <x:c r="B107" s="4" t="str">
        <x:v>KR</x:v>
      </x:c>
      <x:c r="C107" s="4" t="str">
        <x:v>人均GDP</x:v>
      </x:c>
      <x:c r="D107" s="21" t="n">
        <x:v>36226.966</x:v>
      </x:c>
      <x:c r="E107" s="4" t="str">
        <x:v>USD/人</x:v>
      </x:c>
      <x:c r="F107" s="16" t="n">
        <x:v>2025</x:v>
      </x:c>
      <x:c r="G107" s="4" t="str">
        <x:v>名目、現價美元；WDI 2025歷史數列，可能修訂，非家庭可支配所得</x:v>
      </x:c>
      <x:c r="H107" s="4" t="str">
        <x:v>MKR</x:v>
      </x:c>
      <x:c r="I107" s="4" t="str">
        <x:v>https://data.worldbank.org/country/korea-rep</x:v>
      </x:c>
      <x:c r="J107" s="4" t="str">
        <x:v>是</x:v>
      </x:c>
      <x:c r="K107" s="4" t="str">
        <x:v>是</x:v>
      </x:c>
      <x:c r="L107" s="4" t="str">
        <x:v>是</x:v>
      </x:c>
      <x:c r="M107" s="4" t="str">
        <x:v>是</x:v>
      </x:c>
      <x:c r="N107" s="4" t="str">
        <x:v>pass</x:v>
      </x:c>
      <x:c r="O107" s="4" t="str">
        <x:v>A</x:v>
      </x:c>
      <x:c r="P107" s="4" t="str">
        <x:v>是</x:v>
      </x:c>
      <x:c r="Q107" s="21" t="n">
        <x:v>36226.966</x:v>
      </x:c>
      <x:c r="R107" s="16" t="n">
        <x:v>2025</x:v>
      </x:c>
      <x:c r="S107" s="4" t="str">
        <x:v>【示意】名目、現價美元；WDI 2025歷史數列，可能修訂，非家庭可支配所得；獨立來源1；來源A級</x:v>
      </x:c>
      <x:c r="T107" s="4" t="str">
        <x:v>示意</x:v>
      </x:c>
      <x:c r="U107" s="16" t="n">
        <x:v>1</x:v>
      </x:c>
      <x:c r="V107" s="4" t="str">
        <x:v>低</x:v>
      </x:c>
      <x:c r="W107" s="4" t="str">
        <x:v>WDI國家頁Latest value(2025)：人均GDP=36226.966 USD/人；人口=51684564 人；GDP=1870000000000.0 USD。GDP和CN/IN人口按頁面取整，不提高精度。</x:v>
      </x:c>
      <x:c r="X107" s="4" t="str">
        <x:v>單一獨立原始機構，依協議第4條低信心示意；A/B來源等級不等於已三角驗證。</x:v>
      </x:c>
      <x:c r="Y107" s="37" t="d">
        <x:v>2026-10-09T00:00:00.000Z</x:v>
      </x:c>
      <x:c r="Z107" s="4" t="str">
        <x:v>turn215view1</x:v>
      </x:c>
    </x:row>
    <x:row r="108" ht="38" customHeight="1">
      <x:c r="A108" s="4" t="str">
        <x:v>M0107</x:v>
      </x:c>
      <x:c r="B108" s="4" t="str">
        <x:v>KR</x:v>
      </x:c>
      <x:c r="C108" s="4" t="str">
        <x:v>人口</x:v>
      </x:c>
      <x:c r="D108" s="17" t="n">
        <x:v>51684564</x:v>
      </x:c>
      <x:c r="E108" s="4" t="str">
        <x:v>人</x:v>
      </x:c>
      <x:c r="F108" s="16" t="n">
        <x:v>2025</x:v>
      </x:c>
      <x:c r="G108" s="4" t="str">
        <x:v>WDI 2025；CN、IN為頁面billion顯示的四捨五入值，其餘依顯示人數</x:v>
      </x:c>
      <x:c r="H108" s="4" t="str">
        <x:v>MKR</x:v>
      </x:c>
      <x:c r="I108" s="4" t="str">
        <x:v>https://data.worldbank.org/country/korea-rep</x:v>
      </x:c>
      <x:c r="J108" s="4" t="str">
        <x:v>是</x:v>
      </x:c>
      <x:c r="K108" s="4" t="str">
        <x:v>是</x:v>
      </x:c>
      <x:c r="L108" s="4" t="str">
        <x:v>是</x:v>
      </x:c>
      <x:c r="M108" s="4" t="str">
        <x:v>是</x:v>
      </x:c>
      <x:c r="N108" s="4" t="str">
        <x:v>pass</x:v>
      </x:c>
      <x:c r="O108" s="4" t="str">
        <x:v>A</x:v>
      </x:c>
      <x:c r="P108" s="4" t="str">
        <x:v>是</x:v>
      </x:c>
      <x:c r="Q108" s="17" t="n">
        <x:v>51684564</x:v>
      </x:c>
      <x:c r="R108" s="16" t="n">
        <x:v>2025</x:v>
      </x:c>
      <x:c r="S108" s="4" t="str">
        <x:v>【示意】WDI 2025；CN、IN為頁面billion顯示的四捨五入值，其餘依顯示人數；獨立來源1；來源A級</x:v>
      </x:c>
      <x:c r="T108" s="4" t="str">
        <x:v>示意</x:v>
      </x:c>
      <x:c r="U108" s="16" t="n">
        <x:v>1</x:v>
      </x:c>
      <x:c r="V108" s="4" t="str">
        <x:v>低</x:v>
      </x:c>
      <x:c r="W108" s="4" t="str">
        <x:v>WDI國家頁Latest value(2025)：人均GDP=36226.966 USD/人；人口=51684564 人；GDP=1870000000000.0 USD。GDP和CN/IN人口按頁面取整，不提高精度。</x:v>
      </x:c>
      <x:c r="X108" s="4" t="str">
        <x:v>單一獨立原始機構，依協議第4條低信心示意；A/B來源等級不等於已三角驗證。</x:v>
      </x:c>
      <x:c r="Y108" s="37" t="d">
        <x:v>2026-10-09T00:00:00.000Z</x:v>
      </x:c>
      <x:c r="Z108" s="4" t="str">
        <x:v>turn215view1</x:v>
      </x:c>
    </x:row>
    <x:row r="109" ht="38" customHeight="1">
      <x:c r="A109" s="4" t="str">
        <x:v>M0108</x:v>
      </x:c>
      <x:c r="B109" s="4" t="str">
        <x:v>KR</x:v>
      </x:c>
      <x:c r="C109" s="4" t="str">
        <x:v>GDP</x:v>
      </x:c>
      <x:c r="D109" s="17" t="n">
        <x:v>1870000000000</x:v>
      </x:c>
      <x:c r="E109" s="4" t="str">
        <x:v>USD</x:v>
      </x:c>
      <x:c r="F109" s="16" t="n">
        <x:v>2025</x:v>
      </x:c>
      <x:c r="G109" s="4" t="str">
        <x:v>WDI 2025現價；頁面billion/trillion四捨五入值</x:v>
      </x:c>
      <x:c r="H109" s="4" t="str">
        <x:v>MKR</x:v>
      </x:c>
      <x:c r="I109" s="4" t="str">
        <x:v>https://data.worldbank.org/country/korea-rep</x:v>
      </x:c>
      <x:c r="J109" s="4" t="str">
        <x:v>是</x:v>
      </x:c>
      <x:c r="K109" s="4" t="str">
        <x:v>是</x:v>
      </x:c>
      <x:c r="L109" s="4" t="str">
        <x:v>是</x:v>
      </x:c>
      <x:c r="M109" s="4" t="str">
        <x:v>是</x:v>
      </x:c>
      <x:c r="N109" s="4" t="str">
        <x:v>pass</x:v>
      </x:c>
      <x:c r="O109" s="4" t="str">
        <x:v>A</x:v>
      </x:c>
      <x:c r="P109" s="4" t="str">
        <x:v>是</x:v>
      </x:c>
      <x:c r="Q109" s="17" t="n">
        <x:v>1870000000000</x:v>
      </x:c>
      <x:c r="R109" s="16" t="n">
        <x:v>2025</x:v>
      </x:c>
      <x:c r="S109" s="4" t="str">
        <x:v>【示意】WDI 2025現價；頁面billion/trillion四捨五入值；獨立來源1；來源A級</x:v>
      </x:c>
      <x:c r="T109" s="4" t="str">
        <x:v>示意</x:v>
      </x:c>
      <x:c r="U109" s="16" t="n">
        <x:v>1</x:v>
      </x:c>
      <x:c r="V109" s="4" t="str">
        <x:v>低</x:v>
      </x:c>
      <x:c r="W109" s="4" t="str">
        <x:v>WDI國家頁Latest value(2025)：人均GDP=36226.966 USD/人；人口=51684564 人；GDP=1870000000000.0 USD。GDP和CN/IN人口按頁面取整，不提高精度。</x:v>
      </x:c>
      <x:c r="X109" s="4" t="str">
        <x:v>單一獨立原始機構，依協議第4條低信心示意；A/B來源等級不等於已三角驗證。</x:v>
      </x:c>
      <x:c r="Y109" s="37" t="d">
        <x:v>2026-10-09T00:00:00.000Z</x:v>
      </x:c>
      <x:c r="Z109" s="4" t="str">
        <x:v>turn215view1</x:v>
      </x:c>
    </x:row>
    <x:row r="110" ht="38" customHeight="1">
      <x:c r="A110" s="4" t="str">
        <x:v>M0109</x:v>
      </x:c>
      <x:c r="B110" s="4" t="str">
        <x:v>KR</x:v>
      </x:c>
      <x:c r="C110" s="4" t="str">
        <x:v>首爾商辦裝修成本</x:v>
      </x:c>
      <x:c r="D110" s="20" t="n">
        <x:v>1399.3083541722638</x:v>
      </x:c>
      <x:c r="E110" s="4" t="str">
        <x:v>USD/m²</x:v>
      </x:c>
      <x:c r="F110" s="16" t="n">
        <x:v>2026</x:v>
      </x:c>
      <x:c r="G110" s="4" t="str">
        <x:v>C&amp;W 2026商辦fit-out，價格基準2025年12月；USD/ft²÷0.09290304，非住宅報價，報告自身匯率</x:v>
      </x:c>
      <x:c r="H110" s="4" t="str">
        <x:v>X02</x:v>
      </x:c>
      <x:c r="I110" s="4" t="str">
        <x:v>https://digital.cushmanwakefield.com/fitoutcostguide-03-2026-apac-regional-en-content-pds-office/30-31/</x:v>
      </x:c>
      <x:c r="J110" s="4" t="str">
        <x:v>是</x:v>
      </x:c>
      <x:c r="K110" s="4" t="str">
        <x:v>是</x:v>
      </x:c>
      <x:c r="L110" s="4" t="str">
        <x:v>是</x:v>
      </x:c>
      <x:c r="M110" s="4" t="str">
        <x:v>是</x:v>
      </x:c>
      <x:c r="N110" s="4" t="str">
        <x:v>pass</x:v>
      </x:c>
      <x:c r="O110" s="4" t="str">
        <x:v>B</x:v>
      </x:c>
      <x:c r="P110" s="4" t="str">
        <x:v>是</x:v>
      </x:c>
      <x:c r="Q110" s="20" t="n">
        <x:v>1399.3083541722638</x:v>
      </x:c>
      <x:c r="R110" s="16" t="n">
        <x:v>2026</x:v>
      </x:c>
      <x:c r="S110" s="4" t="str">
        <x:v>【示意】C&amp;W 2026商辦fit-out，價格基準2025年12月；USD/ft²÷0.09290304，非住宅報價，報告自身匯率；獨立來源1；來源B級</x:v>
      </x:c>
      <x:c r="T110" s="4" t="str">
        <x:v>示意</x:v>
      </x:c>
      <x:c r="U110" s="16" t="n">
        <x:v>1</x:v>
      </x:c>
      <x:c r="V110" s="4" t="str">
        <x:v>低</x:v>
      </x:c>
      <x:c r="W110" s="4" t="str">
        <x:v>成本頁逐城讀USD/ft²；配合X11方法頁確定價格2025-12，報告2026。 首爾=130USD/ft²，除0.09290304得1399.3083541722638USD/m²；原幣2018115KRW/m²。</x:v>
      </x:c>
      <x:c r="X110" s="4" t="str">
        <x:v>單一獨立原始機構，依協議第4條低信心示意；A/B來源等級不等於已三角驗證。</x:v>
      </x:c>
      <x:c r="Y110" s="37" t="d">
        <x:v>2026-10-09T00:00:00.000Z</x:v>
      </x:c>
      <x:c r="Z110" s="4" t="str">
        <x:v>turn202view1</x:v>
      </x:c>
    </x:row>
    <x:row r="111" ht="38" customHeight="1">
      <x:c r="A111" s="4" t="str">
        <x:v>M0110</x:v>
      </x:c>
      <x:c r="B111" s="4" t="str">
        <x:v>SG</x:v>
      </x:c>
      <x:c r="C111" s="4" t="str">
        <x:v>人均GDP</x:v>
      </x:c>
      <x:c r="D111" s="21" t="n">
        <x:v>98813.979</x:v>
      </x:c>
      <x:c r="E111" s="4" t="str">
        <x:v>USD/人</x:v>
      </x:c>
      <x:c r="F111" s="16" t="n">
        <x:v>2025</x:v>
      </x:c>
      <x:c r="G111" s="4" t="str">
        <x:v>名目、現價美元；WDI 2025歷史數列，可能修訂，非家庭可支配所得</x:v>
      </x:c>
      <x:c r="H111" s="4" t="str">
        <x:v>MSG</x:v>
      </x:c>
      <x:c r="I111" s="4" t="str">
        <x:v>https://data.worldbank.org/country/singapore</x:v>
      </x:c>
      <x:c r="J111" s="4" t="str">
        <x:v>是</x:v>
      </x:c>
      <x:c r="K111" s="4" t="str">
        <x:v>是</x:v>
      </x:c>
      <x:c r="L111" s="4" t="str">
        <x:v>是</x:v>
      </x:c>
      <x:c r="M111" s="4" t="str">
        <x:v>是</x:v>
      </x:c>
      <x:c r="N111" s="4" t="str">
        <x:v>pass</x:v>
      </x:c>
      <x:c r="O111" s="4" t="str">
        <x:v>A</x:v>
      </x:c>
      <x:c r="P111" s="4" t="str">
        <x:v>是</x:v>
      </x:c>
      <x:c r="Q111" s="21" t="n">
        <x:v>98813.979</x:v>
      </x:c>
      <x:c r="R111" s="16" t="n">
        <x:v>2025</x:v>
      </x:c>
      <x:c r="S111" s="4" t="str">
        <x:v>【示意】名目、現價美元；WDI 2025歷史數列，可能修訂，非家庭可支配所得；獨立來源1；來源A級</x:v>
      </x:c>
      <x:c r="T111" s="4" t="str">
        <x:v>示意</x:v>
      </x:c>
      <x:c r="U111" s="16" t="n">
        <x:v>1</x:v>
      </x:c>
      <x:c r="V111" s="4" t="str">
        <x:v>低</x:v>
      </x:c>
      <x:c r="W111" s="4" t="str">
        <x:v>WDI國家頁Latest value(2025)：人均GDP=98813.979 USD/人；人口=6111175 人；GDP=603870000000.0 USD。GDP和CN/IN人口按頁面取整，不提高精度。</x:v>
      </x:c>
      <x:c r="X111" s="4" t="str">
        <x:v>單一獨立原始機構，依協議第4條低信心示意；A/B來源等級不等於已三角驗證。</x:v>
      </x:c>
      <x:c r="Y111" s="37" t="d">
        <x:v>2026-10-09T00:00:00.000Z</x:v>
      </x:c>
      <x:c r="Z111" s="4" t="str">
        <x:v>turn215view2</x:v>
      </x:c>
    </x:row>
    <x:row r="112" ht="38" customHeight="1">
      <x:c r="A112" s="4" t="str">
        <x:v>M0111</x:v>
      </x:c>
      <x:c r="B112" s="4" t="str">
        <x:v>SG</x:v>
      </x:c>
      <x:c r="C112" s="4" t="str">
        <x:v>人口</x:v>
      </x:c>
      <x:c r="D112" s="17" t="n">
        <x:v>6111175</x:v>
      </x:c>
      <x:c r="E112" s="4" t="str">
        <x:v>人</x:v>
      </x:c>
      <x:c r="F112" s="16" t="n">
        <x:v>2025</x:v>
      </x:c>
      <x:c r="G112" s="4" t="str">
        <x:v>WDI 2025；CN、IN為頁面billion顯示的四捨五入值，其餘依顯示人數</x:v>
      </x:c>
      <x:c r="H112" s="4" t="str">
        <x:v>MSG</x:v>
      </x:c>
      <x:c r="I112" s="4" t="str">
        <x:v>https://data.worldbank.org/country/singapore</x:v>
      </x:c>
      <x:c r="J112" s="4" t="str">
        <x:v>是</x:v>
      </x:c>
      <x:c r="K112" s="4" t="str">
        <x:v>是</x:v>
      </x:c>
      <x:c r="L112" s="4" t="str">
        <x:v>是</x:v>
      </x:c>
      <x:c r="M112" s="4" t="str">
        <x:v>是</x:v>
      </x:c>
      <x:c r="N112" s="4" t="str">
        <x:v>pass</x:v>
      </x:c>
      <x:c r="O112" s="4" t="str">
        <x:v>A</x:v>
      </x:c>
      <x:c r="P112" s="4" t="str">
        <x:v>是</x:v>
      </x:c>
      <x:c r="Q112" s="17" t="n">
        <x:v>6111175</x:v>
      </x:c>
      <x:c r="R112" s="16" t="n">
        <x:v>2025</x:v>
      </x:c>
      <x:c r="S112" s="4" t="str">
        <x:v>【示意】WDI 2025；CN、IN為頁面billion顯示的四捨五入值，其餘依顯示人數；獨立來源1；來源A級</x:v>
      </x:c>
      <x:c r="T112" s="4" t="str">
        <x:v>示意</x:v>
      </x:c>
      <x:c r="U112" s="16" t="n">
        <x:v>1</x:v>
      </x:c>
      <x:c r="V112" s="4" t="str">
        <x:v>低</x:v>
      </x:c>
      <x:c r="W112" s="4" t="str">
        <x:v>WDI國家頁Latest value(2025)：人均GDP=98813.979 USD/人；人口=6111175 人；GDP=603870000000.0 USD。GDP和CN/IN人口按頁面取整，不提高精度。</x:v>
      </x:c>
      <x:c r="X112" s="4" t="str">
        <x:v>單一獨立原始機構，依協議第4條低信心示意；A/B來源等級不等於已三角驗證。</x:v>
      </x:c>
      <x:c r="Y112" s="37" t="d">
        <x:v>2026-10-09T00:00:00.000Z</x:v>
      </x:c>
      <x:c r="Z112" s="4" t="str">
        <x:v>turn215view2</x:v>
      </x:c>
    </x:row>
    <x:row r="113" ht="38" customHeight="1">
      <x:c r="A113" s="4" t="str">
        <x:v>M0112</x:v>
      </x:c>
      <x:c r="B113" s="4" t="str">
        <x:v>SG</x:v>
      </x:c>
      <x:c r="C113" s="4" t="str">
        <x:v>GDP</x:v>
      </x:c>
      <x:c r="D113" s="17" t="n">
        <x:v>603870000000</x:v>
      </x:c>
      <x:c r="E113" s="4" t="str">
        <x:v>USD</x:v>
      </x:c>
      <x:c r="F113" s="16" t="n">
        <x:v>2025</x:v>
      </x:c>
      <x:c r="G113" s="4" t="str">
        <x:v>WDI 2025現價；頁面billion/trillion四捨五入值</x:v>
      </x:c>
      <x:c r="H113" s="4" t="str">
        <x:v>MSG</x:v>
      </x:c>
      <x:c r="I113" s="4" t="str">
        <x:v>https://data.worldbank.org/country/singapore</x:v>
      </x:c>
      <x:c r="J113" s="4" t="str">
        <x:v>是</x:v>
      </x:c>
      <x:c r="K113" s="4" t="str">
        <x:v>是</x:v>
      </x:c>
      <x:c r="L113" s="4" t="str">
        <x:v>是</x:v>
      </x:c>
      <x:c r="M113" s="4" t="str">
        <x:v>是</x:v>
      </x:c>
      <x:c r="N113" s="4" t="str">
        <x:v>pass</x:v>
      </x:c>
      <x:c r="O113" s="4" t="str">
        <x:v>A</x:v>
      </x:c>
      <x:c r="P113" s="4" t="str">
        <x:v>是</x:v>
      </x:c>
      <x:c r="Q113" s="17" t="n">
        <x:v>603870000000</x:v>
      </x:c>
      <x:c r="R113" s="16" t="n">
        <x:v>2025</x:v>
      </x:c>
      <x:c r="S113" s="4" t="str">
        <x:v>【示意】WDI 2025現價；頁面billion/trillion四捨五入值；獨立來源1；來源A級</x:v>
      </x:c>
      <x:c r="T113" s="4" t="str">
        <x:v>示意</x:v>
      </x:c>
      <x:c r="U113" s="16" t="n">
        <x:v>1</x:v>
      </x:c>
      <x:c r="V113" s="4" t="str">
        <x:v>低</x:v>
      </x:c>
      <x:c r="W113" s="4" t="str">
        <x:v>WDI國家頁Latest value(2025)：人均GDP=98813.979 USD/人；人口=6111175 人；GDP=603870000000.0 USD。GDP和CN/IN人口按頁面取整，不提高精度。</x:v>
      </x:c>
      <x:c r="X113" s="4" t="str">
        <x:v>單一獨立原始機構，依協議第4條低信心示意；A/B來源等級不等於已三角驗證。</x:v>
      </x:c>
      <x:c r="Y113" s="37" t="d">
        <x:v>2026-10-09T00:00:00.000Z</x:v>
      </x:c>
      <x:c r="Z113" s="4" t="str">
        <x:v>turn215view2</x:v>
      </x:c>
    </x:row>
    <x:row r="114" ht="52" customHeight="1">
      <x:c r="A114" s="4" t="str">
        <x:v>M0113</x:v>
      </x:c>
      <x:c r="B114" s="4" t="str">
        <x:v>SG</x:v>
      </x:c>
      <x:c r="C114" s="4" t="str">
        <x:v>HDB住宅完工</x:v>
      </x:c>
      <x:c r="D114" s="17" t="n">
        <x:v>20294</x:v>
      </x:c>
      <x:c r="E114" s="4" t="str">
        <x:v>戶</x:v>
      </x:c>
      <x:c r="F114" s="16" t="str">
        <x:v>FY2024</x:v>
      </x:c>
      <x:c r="G114" s="4" t="str">
        <x:v>HDB會計年度截至2025-03-31；不含DBSS</x:v>
      </x:c>
      <x:c r="H114" s="4" t="str">
        <x:v>SG01</x:v>
      </x:c>
      <x:c r="I114" s="4" t="str">
        <x:v>https://www.hdb.gov.sg/-/media/hdb-pulse/reports/annual-reports-and-financial-statements/HDB_Key-Statistics-2025.pdf</x:v>
      </x:c>
      <x:c r="J114" s="4" t="str">
        <x:v>是</x:v>
      </x:c>
      <x:c r="K114" s="4" t="str">
        <x:v>是</x:v>
      </x:c>
      <x:c r="L114" s="4" t="str">
        <x:v>是</x:v>
      </x:c>
      <x:c r="M114" s="4" t="str">
        <x:v>是</x:v>
      </x:c>
      <x:c r="N114" s="4" t="str">
        <x:v>pass</x:v>
      </x:c>
      <x:c r="O114" s="4" t="str">
        <x:v>A</x:v>
      </x:c>
      <x:c r="P114" s="4" t="str">
        <x:v>是</x:v>
      </x:c>
      <x:c r="Q114" s="17" t="n">
        <x:v>20294</x:v>
      </x:c>
      <x:c r="R114" s="16" t="str">
        <x:v>FY2024</x:v>
      </x:c>
      <x:c r="S114" s="4" t="str">
        <x:v>【示意】HDB會計年度截至2025-03-31；不含DBSS；獨立來源1；來源A級</x:v>
      </x:c>
      <x:c r="T114" s="4" t="str">
        <x:v>示意</x:v>
      </x:c>
      <x:c r="U114" s="16" t="n">
        <x:v>1</x:v>
      </x:c>
      <x:c r="V114" s="4" t="str">
        <x:v>低</x:v>
      </x:c>
      <x:c r="W114" s="4" t="str">
        <x:v>PDF 印頁 7、8、10：FY2024 訂購 24,220（含預計）；完工 20,294；施工中 91,941；轉售登記 28,508；2025-03-31 整戶出租有效案件 59,567。 逐列核對值：20294 戶；原單位換算見定義。</x:v>
      </x:c>
      <x:c r="X114" s="4" t="str">
        <x:v>數字核對通過不等於三角驗證；單一原始機構，按協議低信心示意。</x:v>
      </x:c>
      <x:c r="Y114" s="37" t="d">
        <x:v>2026-10-09T00:00:00.000Z</x:v>
      </x:c>
      <x:c r="Z114" s="4" t="str">
        <x:v>turn181view0</x:v>
      </x:c>
    </x:row>
    <x:row r="115" ht="52" customHeight="1">
      <x:c r="A115" s="4" t="str">
        <x:v>M0114</x:v>
      </x:c>
      <x:c r="B115" s="4" t="str">
        <x:v>SG</x:v>
      </x:c>
      <x:c r="C115" s="4" t="str">
        <x:v>HDB住宅施工中</x:v>
      </x:c>
      <x:c r="D115" s="17" t="n">
        <x:v>91941</x:v>
      </x:c>
      <x:c r="E115" s="4" t="str">
        <x:v>戶</x:v>
      </x:c>
      <x:c r="F115" s="16" t="str">
        <x:v>FY2024末</x:v>
      </x:c>
      <x:c r="G115" s="4" t="str">
        <x:v>不含DBSS</x:v>
      </x:c>
      <x:c r="H115" s="4" t="str">
        <x:v>SG01</x:v>
      </x:c>
      <x:c r="I115" s="4" t="str">
        <x:v>https://www.hdb.gov.sg/-/media/hdb-pulse/reports/annual-reports-and-financial-statements/HDB_Key-Statistics-2025.pdf</x:v>
      </x:c>
      <x:c r="J115" s="4" t="str">
        <x:v>是</x:v>
      </x:c>
      <x:c r="K115" s="4" t="str">
        <x:v>是</x:v>
      </x:c>
      <x:c r="L115" s="4" t="str">
        <x:v>是</x:v>
      </x:c>
      <x:c r="M115" s="4" t="str">
        <x:v>是</x:v>
      </x:c>
      <x:c r="N115" s="4" t="str">
        <x:v>pass</x:v>
      </x:c>
      <x:c r="O115" s="4" t="str">
        <x:v>A</x:v>
      </x:c>
      <x:c r="P115" s="4" t="str">
        <x:v>是</x:v>
      </x:c>
      <x:c r="Q115" s="17" t="n">
        <x:v>91941</x:v>
      </x:c>
      <x:c r="R115" s="16" t="str">
        <x:v>FY2024末</x:v>
      </x:c>
      <x:c r="S115" s="4" t="str">
        <x:v>【示意】不含DBSS；獨立來源1；來源A級</x:v>
      </x:c>
      <x:c r="T115" s="4" t="str">
        <x:v>示意</x:v>
      </x:c>
      <x:c r="U115" s="16" t="n">
        <x:v>1</x:v>
      </x:c>
      <x:c r="V115" s="4" t="str">
        <x:v>低</x:v>
      </x:c>
      <x:c r="W115" s="4" t="str">
        <x:v>PDF 印頁 7、8、10：FY2024 訂購 24,220（含預計）；完工 20,294；施工中 91,941；轉售登記 28,508；2025-03-31 整戶出租有效案件 59,567。 逐列核對值：91941 戶；原單位換算見定義。</x:v>
      </x:c>
      <x:c r="X115" s="4" t="str">
        <x:v>數字核對通過不等於三角驗證；單一原始機構，按協議低信心示意。</x:v>
      </x:c>
      <x:c r="Y115" s="37" t="d">
        <x:v>2026-10-09T00:00:00.000Z</x:v>
      </x:c>
      <x:c r="Z115" s="4" t="str">
        <x:v>turn181view0</x:v>
      </x:c>
    </x:row>
    <x:row r="116" ht="52" customHeight="1">
      <x:c r="A116" s="4" t="str">
        <x:v>M0115</x:v>
      </x:c>
      <x:c r="B116" s="4" t="str">
        <x:v>SG</x:v>
      </x:c>
      <x:c r="C116" s="4" t="str">
        <x:v>HDB新屋訂購</x:v>
      </x:c>
      <x:c r="D116" s="17" t="n">
        <x:v>24220</x:v>
      </x:c>
      <x:c r="E116" s="4" t="str">
        <x:v>戶</x:v>
      </x:c>
      <x:c r="F116" s="16" t="str">
        <x:v>FY2024</x:v>
      </x:c>
      <x:c r="G116" s="4" t="str">
        <x:v>部分選屋仍進行，含預計bookings；非交屋</x:v>
      </x:c>
      <x:c r="H116" s="4" t="str">
        <x:v>SG01</x:v>
      </x:c>
      <x:c r="I116" s="4" t="str">
        <x:v>https://www.hdb.gov.sg/-/media/hdb-pulse/reports/annual-reports-and-financial-statements/HDB_Key-Statistics-2025.pdf</x:v>
      </x:c>
      <x:c r="J116" s="4" t="str">
        <x:v>是</x:v>
      </x:c>
      <x:c r="K116" s="4" t="str">
        <x:v>是</x:v>
      </x:c>
      <x:c r="L116" s="4" t="str">
        <x:v>是</x:v>
      </x:c>
      <x:c r="M116" s="4" t="str">
        <x:v>是</x:v>
      </x:c>
      <x:c r="N116" s="4" t="str">
        <x:v>pass</x:v>
      </x:c>
      <x:c r="O116" s="4" t="str">
        <x:v>A</x:v>
      </x:c>
      <x:c r="P116" s="4" t="str">
        <x:v>是</x:v>
      </x:c>
      <x:c r="Q116" s="17" t="n">
        <x:v>24220</x:v>
      </x:c>
      <x:c r="R116" s="16" t="str">
        <x:v>FY2024</x:v>
      </x:c>
      <x:c r="S116" s="4" t="str">
        <x:v>【預測／示意】部分選屋仍進行，含預計bookings；非交屋；獨立來源1；來源A級</x:v>
      </x:c>
      <x:c r="T116" s="4" t="str">
        <x:v>預測／示意</x:v>
      </x:c>
      <x:c r="U116" s="16" t="n">
        <x:v>1</x:v>
      </x:c>
      <x:c r="V116" s="4" t="str">
        <x:v>低</x:v>
      </x:c>
      <x:c r="W116" s="4" t="str">
        <x:v>PDF 印頁 7、8、10：FY2024 訂購 24,220（含預計）；完工 20,294；施工中 91,941；轉售登記 28,508；2025-03-31 整戶出租有效案件 59,567。 逐列核對值：24220 戶；原單位換算見定義。</x:v>
      </x:c>
      <x:c r="X116" s="4" t="str">
        <x:v>統計含未完成選屋程序的預計訂購，不可標全數已實現。</x:v>
      </x:c>
      <x:c r="Y116" s="37" t="d">
        <x:v>2026-10-09T00:00:00.000Z</x:v>
      </x:c>
      <x:c r="Z116" s="4" t="str">
        <x:v>turn181view0</x:v>
      </x:c>
    </x:row>
    <x:row r="117" ht="52" customHeight="1">
      <x:c r="A117" s="4" t="str">
        <x:v>M0116</x:v>
      </x:c>
      <x:c r="B117" s="4" t="str">
        <x:v>SG</x:v>
      </x:c>
      <x:c r="C117" s="4" t="str">
        <x:v>HDB轉售登記</x:v>
      </x:c>
      <x:c r="D117" s="17" t="n">
        <x:v>28508</x:v>
      </x:c>
      <x:c r="E117" s="4" t="str">
        <x:v>件</x:v>
      </x:c>
      <x:c r="F117" s="16" t="str">
        <x:v>FY2024</x:v>
      </x:c>
      <x:c r="G117" s="4" t="str">
        <x:v>登記案件；非全國住宅交易</x:v>
      </x:c>
      <x:c r="H117" s="4" t="str">
        <x:v>SG01</x:v>
      </x:c>
      <x:c r="I117" s="4" t="str">
        <x:v>https://www.hdb.gov.sg/-/media/hdb-pulse/reports/annual-reports-and-financial-statements/HDB_Key-Statistics-2025.pdf</x:v>
      </x:c>
      <x:c r="J117" s="4" t="str">
        <x:v>是</x:v>
      </x:c>
      <x:c r="K117" s="4" t="str">
        <x:v>是</x:v>
      </x:c>
      <x:c r="L117" s="4" t="str">
        <x:v>是</x:v>
      </x:c>
      <x:c r="M117" s="4" t="str">
        <x:v>是</x:v>
      </x:c>
      <x:c r="N117" s="4" t="str">
        <x:v>pass</x:v>
      </x:c>
      <x:c r="O117" s="4" t="str">
        <x:v>A</x:v>
      </x:c>
      <x:c r="P117" s="4" t="str">
        <x:v>是</x:v>
      </x:c>
      <x:c r="Q117" s="17" t="n">
        <x:v>28508</x:v>
      </x:c>
      <x:c r="R117" s="16" t="str">
        <x:v>FY2024</x:v>
      </x:c>
      <x:c r="S117" s="4" t="str">
        <x:v>【示意】登記案件；非全國住宅交易；獨立來源1；來源A級</x:v>
      </x:c>
      <x:c r="T117" s="4" t="str">
        <x:v>示意</x:v>
      </x:c>
      <x:c r="U117" s="16" t="n">
        <x:v>1</x:v>
      </x:c>
      <x:c r="V117" s="4" t="str">
        <x:v>低</x:v>
      </x:c>
      <x:c r="W117" s="4" t="str">
        <x:v>PDF 印頁 7、8、10：FY2024 訂購 24,220（含預計）；完工 20,294；施工中 91,941；轉售登記 28,508；2025-03-31 整戶出租有效案件 59,567。 逐列核對值：28508 件；原單位換算見定義。</x:v>
      </x:c>
      <x:c r="X117" s="4" t="str">
        <x:v>數字核對通過不等於三角驗證；單一原始機構，按協議低信心示意。</x:v>
      </x:c>
      <x:c r="Y117" s="37" t="d">
        <x:v>2026-10-09T00:00:00.000Z</x:v>
      </x:c>
      <x:c r="Z117" s="4" t="str">
        <x:v>turn181view0</x:v>
      </x:c>
    </x:row>
    <x:row r="118" ht="52" customHeight="1">
      <x:c r="A118" s="4" t="str">
        <x:v>M0117</x:v>
      </x:c>
      <x:c r="B118" s="4" t="str">
        <x:v>SG</x:v>
      </x:c>
      <x:c r="C118" s="4" t="str">
        <x:v>HDB出租整戶有效案件</x:v>
      </x:c>
      <x:c r="D118" s="17" t="n">
        <x:v>59567</x:v>
      </x:c>
      <x:c r="E118" s="4" t="str">
        <x:v>件</x:v>
      </x:c>
      <x:c r="F118" s="16" t="str">
        <x:v>2025-03-31</x:v>
      </x:c>
      <x:c r="G118" s="4" t="str">
        <x:v>Active cases renting out of flat</x:v>
      </x:c>
      <x:c r="H118" s="4" t="str">
        <x:v>SG01</x:v>
      </x:c>
      <x:c r="I118" s="4" t="str">
        <x:v>https://www.hdb.gov.sg/-/media/hdb-pulse/reports/annual-reports-and-financial-statements/HDB_Key-Statistics-2025.pdf</x:v>
      </x:c>
      <x:c r="J118" s="4" t="str">
        <x:v>是</x:v>
      </x:c>
      <x:c r="K118" s="4" t="str">
        <x:v>是</x:v>
      </x:c>
      <x:c r="L118" s="4" t="str">
        <x:v>是</x:v>
      </x:c>
      <x:c r="M118" s="4" t="str">
        <x:v>是</x:v>
      </x:c>
      <x:c r="N118" s="4" t="str">
        <x:v>pass</x:v>
      </x:c>
      <x:c r="O118" s="4" t="str">
        <x:v>A</x:v>
      </x:c>
      <x:c r="P118" s="4" t="str">
        <x:v>是</x:v>
      </x:c>
      <x:c r="Q118" s="17" t="n">
        <x:v>59567</x:v>
      </x:c>
      <x:c r="R118" s="16" t="str">
        <x:v>2025-03-31</x:v>
      </x:c>
      <x:c r="S118" s="4" t="str">
        <x:v>【示意】Active cases renting out of flat；獨立來源1；來源A級</x:v>
      </x:c>
      <x:c r="T118" s="4" t="str">
        <x:v>示意</x:v>
      </x:c>
      <x:c r="U118" s="16" t="n">
        <x:v>1</x:v>
      </x:c>
      <x:c r="V118" s="4" t="str">
        <x:v>低</x:v>
      </x:c>
      <x:c r="W118" s="4" t="str">
        <x:v>PDF 印頁 7、8、10：FY2024 訂購 24,220（含預計）；完工 20,294；施工中 91,941；轉售登記 28,508；2025-03-31 整戶出租有效案件 59,567。 逐列核對值：59567 件；原單位換算見定義。</x:v>
      </x:c>
      <x:c r="X118" s="4" t="str">
        <x:v>數字核對通過不等於三角驗證；單一原始機構，按協議低信心示意。</x:v>
      </x:c>
      <x:c r="Y118" s="37" t="d">
        <x:v>2026-10-09T00:00:00.000Z</x:v>
      </x:c>
      <x:c r="Z118" s="4" t="str">
        <x:v>turn181view0</x:v>
      </x:c>
    </x:row>
    <x:row r="119" ht="52" customHeight="1">
      <x:c r="A119" s="4" t="str">
        <x:v>M0118</x:v>
      </x:c>
      <x:c r="B119" s="4" t="str">
        <x:v>SG</x:v>
      </x:c>
      <x:c r="C119" s="4" t="str">
        <x:v>4-room BTO裝修預算（預測）</x:v>
      </x:c>
      <x:c r="D119" s="14" t="str">
        <x:v>51000–61800</x:v>
      </x:c>
      <x:c r="E119" s="4" t="str">
        <x:v>SGD／案</x:v>
      </x:c>
      <x:c r="F119" s="16" t="n">
        <x:v>2025</x:v>
      </x:c>
      <x:c r="G119" s="4" t="str">
        <x:v>Qanvast 2024樣本中位數区間加2–3%；非全國平均</x:v>
      </x:c>
      <x:c r="H119" s="4" t="str">
        <x:v>SG03</x:v>
      </x:c>
      <x:c r="I119" s="4" t="str">
        <x:v>https://qanvast.com/sg/articles/how-much-is-a-3-4-and-5-room-hdb-flat-renovation-in-2025-3384</x:v>
      </x:c>
      <x:c r="J119" s="4" t="str">
        <x:v>是</x:v>
      </x:c>
      <x:c r="K119" s="4" t="str">
        <x:v>是</x:v>
      </x:c>
      <x:c r="L119" s="4" t="str">
        <x:v>是</x:v>
      </x:c>
      <x:c r="M119" s="4" t="str">
        <x:v>是</x:v>
      </x:c>
      <x:c r="N119" s="4" t="str">
        <x:v>pass</x:v>
      </x:c>
      <x:c r="O119" s="4" t="str">
        <x:v>C</x:v>
      </x:c>
      <x:c r="P119" s="4" t="str">
        <x:v>是</x:v>
      </x:c>
      <x:c r="Q119" s="14" t="str">
        <x:v>51000–61800</x:v>
      </x:c>
      <x:c r="R119" s="16" t="n">
        <x:v>2025</x:v>
      </x:c>
      <x:c r="S119" s="4" t="str">
        <x:v>【預測／示意】Qanvast 2024樣本中位數区間加2–3%；非全國平均；獨立來源1；來源C級</x:v>
      </x:c>
      <x:c r="T119" s="4" t="str">
        <x:v>預測／示意</x:v>
      </x:c>
      <x:c r="U119" s="16" t="n">
        <x:v>1</x:v>
      </x:c>
      <x:c r="V119" s="4" t="str">
        <x:v>低</x:v>
      </x:c>
      <x:c r="W119" s="4" t="str">
        <x:v>原表 L94–126：2024 BTO 259 案、轉售 302 案推估 2025 費用；4-room BTO 51,000–61,800、4-room 轉售 64,300–80,300、5-room 轉售 84,300–97,000 SGD。L169–175 的 4-room 轉售預期 10–12 週。 逐列核對值：51000–61800 SGD／案；原單位換算見定義。</x:v>
      </x:c>
      <x:c r="X119" s="4" t="str">
        <x:v>數字核對通過不等於三角驗證；單一原始機構，按協議低信心示意。</x:v>
      </x:c>
      <x:c r="Y119" s="37" t="d">
        <x:v>2026-10-09T00:00:00.000Z</x:v>
      </x:c>
      <x:c r="Z119" s="4" t="str">
        <x:v>turn193view1;turn206view1</x:v>
      </x:c>
    </x:row>
    <x:row r="120" ht="52" customHeight="1">
      <x:c r="A120" s="4" t="str">
        <x:v>M0119</x:v>
      </x:c>
      <x:c r="B120" s="4" t="str">
        <x:v>SG</x:v>
      </x:c>
      <x:c r="C120" s="4" t="str">
        <x:v>4-room轉售HDB裝修預算（預測）</x:v>
      </x:c>
      <x:c r="D120" s="14" t="str">
        <x:v>64300–80300</x:v>
      </x:c>
      <x:c r="E120" s="4" t="str">
        <x:v>SGD／案</x:v>
      </x:c>
      <x:c r="F120" s="16" t="n">
        <x:v>2025</x:v>
      </x:c>
      <x:c r="G120" s="4" t="str">
        <x:v>Qanvast 2024樣本推算2025</x:v>
      </x:c>
      <x:c r="H120" s="4" t="str">
        <x:v>SG03</x:v>
      </x:c>
      <x:c r="I120" s="4" t="str">
        <x:v>https://qanvast.com/sg/articles/how-much-is-a-3-4-and-5-room-hdb-flat-renovation-in-2025-3384</x:v>
      </x:c>
      <x:c r="J120" s="4" t="str">
        <x:v>是</x:v>
      </x:c>
      <x:c r="K120" s="4" t="str">
        <x:v>是</x:v>
      </x:c>
      <x:c r="L120" s="4" t="str">
        <x:v>是</x:v>
      </x:c>
      <x:c r="M120" s="4" t="str">
        <x:v>是</x:v>
      </x:c>
      <x:c r="N120" s="4" t="str">
        <x:v>pass</x:v>
      </x:c>
      <x:c r="O120" s="4" t="str">
        <x:v>C</x:v>
      </x:c>
      <x:c r="P120" s="4" t="str">
        <x:v>是</x:v>
      </x:c>
      <x:c r="Q120" s="14" t="str">
        <x:v>64300–80300</x:v>
      </x:c>
      <x:c r="R120" s="16" t="n">
        <x:v>2025</x:v>
      </x:c>
      <x:c r="S120" s="4" t="str">
        <x:v>【預測／示意】Qanvast 2024樣本推算2025；獨立來源1；來源C級</x:v>
      </x:c>
      <x:c r="T120" s="4" t="str">
        <x:v>預測／示意</x:v>
      </x:c>
      <x:c r="U120" s="16" t="n">
        <x:v>1</x:v>
      </x:c>
      <x:c r="V120" s="4" t="str">
        <x:v>低</x:v>
      </x:c>
      <x:c r="W120" s="4" t="str">
        <x:v>原表 L94–126：2024 BTO 259 案、轉售 302 案推估 2025 費用；4-room BTO 51,000–61,800、4-room 轉售 64,300–80,300、5-room 轉售 84,300–97,000 SGD。L169–175 的 4-room 轉售預期 10–12 週。 逐列核對值：64300–80300 SGD／案；原單位換算見定義。</x:v>
      </x:c>
      <x:c r="X120" s="4" t="str">
        <x:v>數字核對通過不等於三角驗證；單一原始機構，按協議低信心示意。</x:v>
      </x:c>
      <x:c r="Y120" s="37" t="d">
        <x:v>2026-10-09T00:00:00.000Z</x:v>
      </x:c>
      <x:c r="Z120" s="4" t="str">
        <x:v>turn193view1;turn206view1</x:v>
      </x:c>
    </x:row>
    <x:row r="121" ht="52" customHeight="1">
      <x:c r="A121" s="4" t="str">
        <x:v>M0120</x:v>
      </x:c>
      <x:c r="B121" s="4" t="str">
        <x:v>SG</x:v>
      </x:c>
      <x:c r="C121" s="4" t="str">
        <x:v>5-room轉售HDB裝修預算（預測）</x:v>
      </x:c>
      <x:c r="D121" s="14" t="str">
        <x:v>84300–97000</x:v>
      </x:c>
      <x:c r="E121" s="4" t="str">
        <x:v>SGD／案</x:v>
      </x:c>
      <x:c r="F121" s="16" t="n">
        <x:v>2025</x:v>
      </x:c>
      <x:c r="G121" s="4" t="str">
        <x:v>Qanvast 2024樣本推算2025</x:v>
      </x:c>
      <x:c r="H121" s="4" t="str">
        <x:v>SG03</x:v>
      </x:c>
      <x:c r="I121" s="4" t="str">
        <x:v>https://qanvast.com/sg/articles/how-much-is-a-3-4-and-5-room-hdb-flat-renovation-in-2025-3384</x:v>
      </x:c>
      <x:c r="J121" s="4" t="str">
        <x:v>是</x:v>
      </x:c>
      <x:c r="K121" s="4" t="str">
        <x:v>是</x:v>
      </x:c>
      <x:c r="L121" s="4" t="str">
        <x:v>是</x:v>
      </x:c>
      <x:c r="M121" s="4" t="str">
        <x:v>是</x:v>
      </x:c>
      <x:c r="N121" s="4" t="str">
        <x:v>pass</x:v>
      </x:c>
      <x:c r="O121" s="4" t="str">
        <x:v>C</x:v>
      </x:c>
      <x:c r="P121" s="4" t="str">
        <x:v>是</x:v>
      </x:c>
      <x:c r="Q121" s="14" t="str">
        <x:v>84300–97000</x:v>
      </x:c>
      <x:c r="R121" s="16" t="n">
        <x:v>2025</x:v>
      </x:c>
      <x:c r="S121" s="4" t="str">
        <x:v>【預測／示意】Qanvast 2024樣本推算2025；獨立來源1；來源C級</x:v>
      </x:c>
      <x:c r="T121" s="4" t="str">
        <x:v>預測／示意</x:v>
      </x:c>
      <x:c r="U121" s="16" t="n">
        <x:v>1</x:v>
      </x:c>
      <x:c r="V121" s="4" t="str">
        <x:v>低</x:v>
      </x:c>
      <x:c r="W121" s="4" t="str">
        <x:v>原表 L94–126：2024 BTO 259 案、轉售 302 案推估 2025 費用；4-room BTO 51,000–61,800、4-room 轉售 64,300–80,300、5-room 轉售 84,300–97,000 SGD。L169–175 的 4-room 轉售預期 10–12 週。 逐列核對值：84300–97000 SGD／案；原單位換算見定義。</x:v>
      </x:c>
      <x:c r="X121" s="4" t="str">
        <x:v>數字核對通過不等於三角驗證；單一原始機構，按協議低信心示意。</x:v>
      </x:c>
      <x:c r="Y121" s="37" t="d">
        <x:v>2026-10-09T00:00:00.000Z</x:v>
      </x:c>
      <x:c r="Z121" s="4" t="str">
        <x:v>turn193view1;turn206view1</x:v>
      </x:c>
    </x:row>
    <x:row r="122" ht="52" customHeight="1">
      <x:c r="A122" s="4" t="str">
        <x:v>M0121</x:v>
      </x:c>
      <x:c r="B122" s="4" t="str">
        <x:v>SG</x:v>
      </x:c>
      <x:c r="C122" s="4" t="str">
        <x:v>BTO裝修樣本數</x:v>
      </x:c>
      <x:c r="D122" s="17" t="n">
        <x:v>259</x:v>
      </x:c>
      <x:c r="E122" s="4" t="str">
        <x:v>案</x:v>
      </x:c>
      <x:c r="F122" s="16" t="n">
        <x:v>2024</x:v>
      </x:c>
      <x:c r="G122" s="4" t="str">
        <x:v>Qanvast平台非隨機樣本</x:v>
      </x:c>
      <x:c r="H122" s="4" t="str">
        <x:v>SG03</x:v>
      </x:c>
      <x:c r="I122" s="4" t="str">
        <x:v>https://qanvast.com/sg/articles/how-much-is-a-3-4-and-5-room-hdb-flat-renovation-in-2025-3384</x:v>
      </x:c>
      <x:c r="J122" s="4" t="str">
        <x:v>是</x:v>
      </x:c>
      <x:c r="K122" s="4" t="str">
        <x:v>是</x:v>
      </x:c>
      <x:c r="L122" s="4" t="str">
        <x:v>是</x:v>
      </x:c>
      <x:c r="M122" s="4" t="str">
        <x:v>是</x:v>
      </x:c>
      <x:c r="N122" s="4" t="str">
        <x:v>pass</x:v>
      </x:c>
      <x:c r="O122" s="4" t="str">
        <x:v>C</x:v>
      </x:c>
      <x:c r="P122" s="4" t="str">
        <x:v>是</x:v>
      </x:c>
      <x:c r="Q122" s="17" t="n">
        <x:v>259</x:v>
      </x:c>
      <x:c r="R122" s="16" t="n">
        <x:v>2024</x:v>
      </x:c>
      <x:c r="S122" s="4" t="str">
        <x:v>【示意】Qanvast平台非隨機樣本；獨立來源1；來源C級</x:v>
      </x:c>
      <x:c r="T122" s="4" t="str">
        <x:v>示意</x:v>
      </x:c>
      <x:c r="U122" s="16" t="n">
        <x:v>1</x:v>
      </x:c>
      <x:c r="V122" s="4" t="str">
        <x:v>低</x:v>
      </x:c>
      <x:c r="W122" s="4" t="str">
        <x:v>原表 L94–126：2024 BTO 259 案、轉售 302 案推估 2025 費用；4-room BTO 51,000–61,800、4-room 轉售 64,300–80,300、5-room 轉售 84,300–97,000 SGD。L169–175 的 4-room 轉售預期 10–12 週。 逐列核對值：259 案；原單位換算見定義。</x:v>
      </x:c>
      <x:c r="X122" s="4" t="str">
        <x:v>數字核對通過不等於三角驗證；單一原始機構，按協議低信心示意。</x:v>
      </x:c>
      <x:c r="Y122" s="37" t="d">
        <x:v>2026-10-09T00:00:00.000Z</x:v>
      </x:c>
      <x:c r="Z122" s="4" t="str">
        <x:v>turn193view1;turn206view1</x:v>
      </x:c>
    </x:row>
    <x:row r="123" ht="52" customHeight="1">
      <x:c r="A123" s="4" t="str">
        <x:v>M0122</x:v>
      </x:c>
      <x:c r="B123" s="4" t="str">
        <x:v>SG</x:v>
      </x:c>
      <x:c r="C123" s="4" t="str">
        <x:v>轉售HDB裝修樣本數</x:v>
      </x:c>
      <x:c r="D123" s="17" t="n">
        <x:v>302</x:v>
      </x:c>
      <x:c r="E123" s="4" t="str">
        <x:v>案</x:v>
      </x:c>
      <x:c r="F123" s="16" t="n">
        <x:v>2024</x:v>
      </x:c>
      <x:c r="G123" s="4" t="str">
        <x:v>Qanvast平台非隨機樣本</x:v>
      </x:c>
      <x:c r="H123" s="4" t="str">
        <x:v>SG03</x:v>
      </x:c>
      <x:c r="I123" s="4" t="str">
        <x:v>https://qanvast.com/sg/articles/how-much-is-a-3-4-and-5-room-hdb-flat-renovation-in-2025-3384</x:v>
      </x:c>
      <x:c r="J123" s="4" t="str">
        <x:v>是</x:v>
      </x:c>
      <x:c r="K123" s="4" t="str">
        <x:v>是</x:v>
      </x:c>
      <x:c r="L123" s="4" t="str">
        <x:v>是</x:v>
      </x:c>
      <x:c r="M123" s="4" t="str">
        <x:v>是</x:v>
      </x:c>
      <x:c r="N123" s="4" t="str">
        <x:v>pass</x:v>
      </x:c>
      <x:c r="O123" s="4" t="str">
        <x:v>C</x:v>
      </x:c>
      <x:c r="P123" s="4" t="str">
        <x:v>是</x:v>
      </x:c>
      <x:c r="Q123" s="17" t="n">
        <x:v>302</x:v>
      </x:c>
      <x:c r="R123" s="16" t="n">
        <x:v>2024</x:v>
      </x:c>
      <x:c r="S123" s="4" t="str">
        <x:v>【示意】Qanvast平台非隨機樣本；獨立來源1；來源C級</x:v>
      </x:c>
      <x:c r="T123" s="4" t="str">
        <x:v>示意</x:v>
      </x:c>
      <x:c r="U123" s="16" t="n">
        <x:v>1</x:v>
      </x:c>
      <x:c r="V123" s="4" t="str">
        <x:v>低</x:v>
      </x:c>
      <x:c r="W123" s="4" t="str">
        <x:v>原表 L94–126：2024 BTO 259 案、轉售 302 案推估 2025 費用；4-room BTO 51,000–61,800、4-room 轉售 64,300–80,300、5-room 轉售 84,300–97,000 SGD。L169–175 的 4-room 轉售預期 10–12 週。 逐列核對值：302 案；原單位換算見定義。</x:v>
      </x:c>
      <x:c r="X123" s="4" t="str">
        <x:v>數字核對通過不等於三角驗證；單一原始機構，按協議低信心示意。</x:v>
      </x:c>
      <x:c r="Y123" s="37" t="d">
        <x:v>2026-10-09T00:00:00.000Z</x:v>
      </x:c>
      <x:c r="Z123" s="4" t="str">
        <x:v>turn193view1;turn206view1</x:v>
      </x:c>
    </x:row>
    <x:row r="124" ht="52" customHeight="1">
      <x:c r="A124" s="4" t="str">
        <x:v>M0123</x:v>
      </x:c>
      <x:c r="B124" s="4" t="str">
        <x:v>SG</x:v>
      </x:c>
      <x:c r="C124" s="4" t="str">
        <x:v>4-room轉售裝修期程（預期）</x:v>
      </x:c>
      <x:c r="D124" s="14" t="str">
        <x:v>10–12</x:v>
      </x:c>
      <x:c r="E124" s="4" t="str">
        <x:v>週</x:v>
      </x:c>
      <x:c r="F124" s="16" t="n">
        <x:v>2025</x:v>
      </x:c>
      <x:c r="G124" s="4" t="str">
        <x:v>平台市場旅程工期，不取代HDB許可期限</x:v>
      </x:c>
      <x:c r="H124" s="4" t="str">
        <x:v>SG03</x:v>
      </x:c>
      <x:c r="I124" s="4" t="str">
        <x:v>https://qanvast.com/sg/articles/how-much-is-a-3-4-and-5-room-hdb-flat-renovation-in-2025-3384</x:v>
      </x:c>
      <x:c r="J124" s="4" t="str">
        <x:v>是</x:v>
      </x:c>
      <x:c r="K124" s="4" t="str">
        <x:v>是</x:v>
      </x:c>
      <x:c r="L124" s="4" t="str">
        <x:v>是</x:v>
      </x:c>
      <x:c r="M124" s="4" t="str">
        <x:v>是</x:v>
      </x:c>
      <x:c r="N124" s="4" t="str">
        <x:v>pass</x:v>
      </x:c>
      <x:c r="O124" s="4" t="str">
        <x:v>C</x:v>
      </x:c>
      <x:c r="P124" s="4" t="str">
        <x:v>是</x:v>
      </x:c>
      <x:c r="Q124" s="14" t="str">
        <x:v>10–12</x:v>
      </x:c>
      <x:c r="R124" s="16" t="n">
        <x:v>2025</x:v>
      </x:c>
      <x:c r="S124" s="4" t="str">
        <x:v>【預測／示意】平台市場旅程工期，不取代HDB許可期限；獨立來源1；來源C級</x:v>
      </x:c>
      <x:c r="T124" s="4" t="str">
        <x:v>預測／示意</x:v>
      </x:c>
      <x:c r="U124" s="16" t="n">
        <x:v>1</x:v>
      </x:c>
      <x:c r="V124" s="4" t="str">
        <x:v>低</x:v>
      </x:c>
      <x:c r="W124" s="4" t="str">
        <x:v>原表 L94–126：2024 BTO 259 案、轉售 302 案推估 2025 費用；4-room BTO 51,000–61,800、4-room 轉售 64,300–80,300、5-room 轉售 84,300–97,000 SGD。L169–175 的 4-room 轉售預期 10–12 週。 逐列核對值：10–12 週；原單位換算見定義。</x:v>
      </x:c>
      <x:c r="X124" s="4" t="str">
        <x:v>數字核對通過不等於三角驗證；單一原始機構，按協議低信心示意。</x:v>
      </x:c>
      <x:c r="Y124" s="37" t="d">
        <x:v>2026-10-09T00:00:00.000Z</x:v>
      </x:c>
      <x:c r="Z124" s="4" t="str">
        <x:v>turn193view1;turn206view1</x:v>
      </x:c>
    </x:row>
    <x:row r="125" ht="52" customHeight="1">
      <x:c r="A125" s="4" t="str">
        <x:v>M0124</x:v>
      </x:c>
      <x:c r="B125" s="4" t="str">
        <x:v>SG</x:v>
      </x:c>
      <x:c r="C125" s="4" t="str">
        <x:v>CASE裝修承包商投訴</x:v>
      </x:c>
      <x:c r="D125" s="17" t="n">
        <x:v>962</x:v>
      </x:c>
      <x:c r="E125" s="4" t="str">
        <x:v>件</x:v>
      </x:c>
      <x:c r="F125" s="16" t="n">
        <x:v>2024</x:v>
      </x:c>
      <x:c r="G125" s="4" t="str">
        <x:v>CASE接收申訴；無總完工案件分母</x:v>
      </x:c>
      <x:c r="H125" s="4" t="str">
        <x:v>SG04</x:v>
      </x:c>
      <x:c r="I125" s="4" t="str">
        <x:v>https://www.case.org.sg/wp-content/uploads/2025/02/Media-Release-CASE-sees-prepayment-losses-more-than-quadruple-in-2024-entertainment-related-complaints-nearly-triple.pdf</x:v>
      </x:c>
      <x:c r="J125" s="4" t="str">
        <x:v>是</x:v>
      </x:c>
      <x:c r="K125" s="4" t="str">
        <x:v>是</x:v>
      </x:c>
      <x:c r="L125" s="4" t="str">
        <x:v>是</x:v>
      </x:c>
      <x:c r="M125" s="4" t="str">
        <x:v>是</x:v>
      </x:c>
      <x:c r="N125" s="4" t="str">
        <x:v>pass</x:v>
      </x:c>
      <x:c r="O125" s="4" t="str">
        <x:v>B</x:v>
      </x:c>
      <x:c r="P125" s="4" t="str">
        <x:v>是</x:v>
      </x:c>
      <x:c r="Q125" s="17" t="n">
        <x:v>962</x:v>
      </x:c>
      <x:c r="R125" s="16" t="n">
        <x:v>2024</x:v>
      </x:c>
      <x:c r="S125" s="4" t="str">
        <x:v>【示意】CASE接收申訴；無總完工案件分母；獨立來源1；來源B級</x:v>
      </x:c>
      <x:c r="T125" s="4" t="str">
        <x:v>示意</x:v>
      </x:c>
      <x:c r="U125" s="16" t="n">
        <x:v>1</x:v>
      </x:c>
      <x:c r="V125" s="4" t="str">
        <x:v>低</x:v>
      </x:c>
      <x:c r="W125" s="4" t="str">
        <x:v>PDF 印頁 2–3，2024 裝修申訴 962、2023 年 1,168；2024 家具 720；承包商預付損失 728,813.76 SGD；約 97% 裝修申訴為非 CaseTrust 業者。 逐列核對值：962 件；原單位換算見定義。</x:v>
      </x:c>
      <x:c r="X125" s="4" t="str">
        <x:v>數字核對通過不等於三角驗證；單一原始機構，按協議低信心示意。</x:v>
      </x:c>
      <x:c r="Y125" s="37" t="d">
        <x:v>2026-10-09T00:00:00.000Z</x:v>
      </x:c>
      <x:c r="Z125" s="4" t="str">
        <x:v>turn193view2</x:v>
      </x:c>
    </x:row>
    <x:row r="126" ht="52" customHeight="1">
      <x:c r="A126" s="4" t="str">
        <x:v>M0125</x:v>
      </x:c>
      <x:c r="B126" s="4" t="str">
        <x:v>SG</x:v>
      </x:c>
      <x:c r="C126" s="4" t="str">
        <x:v>CASE裝修承包商投訴</x:v>
      </x:c>
      <x:c r="D126" s="17" t="n">
        <x:v>1168</x:v>
      </x:c>
      <x:c r="E126" s="4" t="str">
        <x:v>件</x:v>
      </x:c>
      <x:c r="F126" s="16" t="n">
        <x:v>2023</x:v>
      </x:c>
      <x:c r="G126" s="4" t="str">
        <x:v>比較基期</x:v>
      </x:c>
      <x:c r="H126" s="4" t="str">
        <x:v>SG04</x:v>
      </x:c>
      <x:c r="I126" s="4" t="str">
        <x:v>https://www.case.org.sg/wp-content/uploads/2025/02/Media-Release-CASE-sees-prepayment-losses-more-than-quadruple-in-2024-entertainment-related-complaints-nearly-triple.pdf</x:v>
      </x:c>
      <x:c r="J126" s="4" t="str">
        <x:v>是</x:v>
      </x:c>
      <x:c r="K126" s="4" t="str">
        <x:v>是</x:v>
      </x:c>
      <x:c r="L126" s="4" t="str">
        <x:v>是</x:v>
      </x:c>
      <x:c r="M126" s="4" t="str">
        <x:v>是</x:v>
      </x:c>
      <x:c r="N126" s="4" t="str">
        <x:v>pass</x:v>
      </x:c>
      <x:c r="O126" s="4" t="str">
        <x:v>B</x:v>
      </x:c>
      <x:c r="P126" s="4" t="str">
        <x:v>是</x:v>
      </x:c>
      <x:c r="Q126" s="17" t="n">
        <x:v>1168</x:v>
      </x:c>
      <x:c r="R126" s="16" t="n">
        <x:v>2023</x:v>
      </x:c>
      <x:c r="S126" s="4" t="str">
        <x:v>【示意】比較基期；獨立來源1；來源B級</x:v>
      </x:c>
      <x:c r="T126" s="4" t="str">
        <x:v>示意</x:v>
      </x:c>
      <x:c r="U126" s="16" t="n">
        <x:v>1</x:v>
      </x:c>
      <x:c r="V126" s="4" t="str">
        <x:v>低</x:v>
      </x:c>
      <x:c r="W126" s="4" t="str">
        <x:v>PDF 印頁 2–3，2024 裝修申訴 962、2023 年 1,168；2024 家具 720；承包商預付損失 728,813.76 SGD；約 97% 裝修申訴為非 CaseTrust 業者。 逐列核對值：1168 件；原單位換算見定義。</x:v>
      </x:c>
      <x:c r="X126" s="4" t="str">
        <x:v>數字核對通過不等於三角驗證；單一原始機構，按協議低信心示意。</x:v>
      </x:c>
      <x:c r="Y126" s="37" t="d">
        <x:v>2026-10-09T00:00:00.000Z</x:v>
      </x:c>
      <x:c r="Z126" s="4" t="str">
        <x:v>turn193view2</x:v>
      </x:c>
    </x:row>
    <x:row r="127" ht="52" customHeight="1">
      <x:c r="A127" s="4" t="str">
        <x:v>M0126</x:v>
      </x:c>
      <x:c r="B127" s="4" t="str">
        <x:v>SG</x:v>
      </x:c>
      <x:c r="C127" s="4" t="str">
        <x:v>CASE裝修預付款損失</x:v>
      </x:c>
      <x:c r="D127" s="18" t="n">
        <x:v>728813.76</x:v>
      </x:c>
      <x:c r="E127" s="4" t="str">
        <x:v>SGD</x:v>
      </x:c>
      <x:c r="F127" s="16" t="n">
        <x:v>2024</x:v>
      </x:c>
      <x:c r="G127" s="4" t="str">
        <x:v>已報告損失，非全產業損失估計</x:v>
      </x:c>
      <x:c r="H127" s="4" t="str">
        <x:v>SG04</x:v>
      </x:c>
      <x:c r="I127" s="4" t="str">
        <x:v>https://www.case.org.sg/wp-content/uploads/2025/02/Media-Release-CASE-sees-prepayment-losses-more-than-quadruple-in-2024-entertainment-related-complaints-nearly-triple.pdf</x:v>
      </x:c>
      <x:c r="J127" s="4" t="str">
        <x:v>是</x:v>
      </x:c>
      <x:c r="K127" s="4" t="str">
        <x:v>是</x:v>
      </x:c>
      <x:c r="L127" s="4" t="str">
        <x:v>是</x:v>
      </x:c>
      <x:c r="M127" s="4" t="str">
        <x:v>是</x:v>
      </x:c>
      <x:c r="N127" s="4" t="str">
        <x:v>pass</x:v>
      </x:c>
      <x:c r="O127" s="4" t="str">
        <x:v>B</x:v>
      </x:c>
      <x:c r="P127" s="4" t="str">
        <x:v>是</x:v>
      </x:c>
      <x:c r="Q127" s="18" t="n">
        <x:v>728813.76</x:v>
      </x:c>
      <x:c r="R127" s="16" t="n">
        <x:v>2024</x:v>
      </x:c>
      <x:c r="S127" s="4" t="str">
        <x:v>【示意】已報告損失，非全產業損失估計；獨立來源1；來源B級</x:v>
      </x:c>
      <x:c r="T127" s="4" t="str">
        <x:v>示意</x:v>
      </x:c>
      <x:c r="U127" s="16" t="n">
        <x:v>1</x:v>
      </x:c>
      <x:c r="V127" s="4" t="str">
        <x:v>低</x:v>
      </x:c>
      <x:c r="W127" s="4" t="str">
        <x:v>PDF 印頁 2–3，2024 裝修申訴 962、2023 年 1,168；2024 家具 720；承包商預付損失 728,813.76 SGD；約 97% 裝修申訴為非 CaseTrust 業者。 逐列核對值：728813.76 SGD；原單位換算見定義。</x:v>
      </x:c>
      <x:c r="X127" s="4" t="str">
        <x:v>數字核對通過不等於三角驗證；單一原始機構，按協議低信心示意。</x:v>
      </x:c>
      <x:c r="Y127" s="37" t="d">
        <x:v>2026-10-09T00:00:00.000Z</x:v>
      </x:c>
      <x:c r="Z127" s="4" t="str">
        <x:v>turn193view2</x:v>
      </x:c>
    </x:row>
    <x:row r="128" ht="52" customHeight="1">
      <x:c r="A128" s="4" t="str">
        <x:v>M0127</x:v>
      </x:c>
      <x:c r="B128" s="4" t="str">
        <x:v>SG</x:v>
      </x:c>
      <x:c r="C128" s="4" t="str">
        <x:v>CASE家具投訴</x:v>
      </x:c>
      <x:c r="D128" s="17" t="n">
        <x:v>720</x:v>
      </x:c>
      <x:c r="E128" s="4" t="str">
        <x:v>件</x:v>
      </x:c>
      <x:c r="F128" s="16" t="n">
        <x:v>2024</x:v>
      </x:c>
      <x:c r="G128" s="4" t="str">
        <x:v>與裝修承包商分類分開</x:v>
      </x:c>
      <x:c r="H128" s="4" t="str">
        <x:v>SG04</x:v>
      </x:c>
      <x:c r="I128" s="4" t="str">
        <x:v>https://www.case.org.sg/wp-content/uploads/2025/02/Media-Release-CASE-sees-prepayment-losses-more-than-quadruple-in-2024-entertainment-related-complaints-nearly-triple.pdf</x:v>
      </x:c>
      <x:c r="J128" s="4" t="str">
        <x:v>是</x:v>
      </x:c>
      <x:c r="K128" s="4" t="str">
        <x:v>是</x:v>
      </x:c>
      <x:c r="L128" s="4" t="str">
        <x:v>是</x:v>
      </x:c>
      <x:c r="M128" s="4" t="str">
        <x:v>是</x:v>
      </x:c>
      <x:c r="N128" s="4" t="str">
        <x:v>pass</x:v>
      </x:c>
      <x:c r="O128" s="4" t="str">
        <x:v>B</x:v>
      </x:c>
      <x:c r="P128" s="4" t="str">
        <x:v>是</x:v>
      </x:c>
      <x:c r="Q128" s="17" t="n">
        <x:v>720</x:v>
      </x:c>
      <x:c r="R128" s="16" t="n">
        <x:v>2024</x:v>
      </x:c>
      <x:c r="S128" s="4" t="str">
        <x:v>【示意】與裝修承包商分類分開；獨立來源1；來源B級</x:v>
      </x:c>
      <x:c r="T128" s="4" t="str">
        <x:v>示意</x:v>
      </x:c>
      <x:c r="U128" s="16" t="n">
        <x:v>1</x:v>
      </x:c>
      <x:c r="V128" s="4" t="str">
        <x:v>低</x:v>
      </x:c>
      <x:c r="W128" s="4" t="str">
        <x:v>PDF 印頁 2–3，2024 裝修申訴 962、2023 年 1,168；2024 家具 720；承包商預付損失 728,813.76 SGD；約 97% 裝修申訴為非 CaseTrust 業者。 逐列核對值：720 件；原單位換算見定義。</x:v>
      </x:c>
      <x:c r="X128" s="4" t="str">
        <x:v>數字核對通過不等於三角驗證；單一原始機構，按協議低信心示意。</x:v>
      </x:c>
      <x:c r="Y128" s="37" t="d">
        <x:v>2026-10-09T00:00:00.000Z</x:v>
      </x:c>
      <x:c r="Z128" s="4" t="str">
        <x:v>turn193view2</x:v>
      </x:c>
    </x:row>
    <x:row r="129" ht="52" customHeight="1">
      <x:c r="A129" s="4" t="str">
        <x:v>M0128</x:v>
      </x:c>
      <x:c r="B129" s="4" t="str">
        <x:v>SG</x:v>
      </x:c>
      <x:c r="C129" s="4" t="str">
        <x:v>非CaseTrust承包商占裝修申訴</x:v>
      </x:c>
      <x:c r="D129" s="17" t="n">
        <x:v>97</x:v>
      </x:c>
      <x:c r="E129" s="4" t="str">
        <x:v>%</x:v>
      </x:c>
      <x:c r="F129" s="16" t="n">
        <x:v>2024</x:v>
      </x:c>
      <x:c r="G129" s="4" t="str">
        <x:v>約數；不能推導CaseTrust因果效果</x:v>
      </x:c>
      <x:c r="H129" s="4" t="str">
        <x:v>SG04</x:v>
      </x:c>
      <x:c r="I129" s="4" t="str">
        <x:v>https://www.case.org.sg/wp-content/uploads/2025/02/Media-Release-CASE-sees-prepayment-losses-more-than-quadruple-in-2024-entertainment-related-complaints-nearly-triple.pdf</x:v>
      </x:c>
      <x:c r="J129" s="4" t="str">
        <x:v>是</x:v>
      </x:c>
      <x:c r="K129" s="4" t="str">
        <x:v>是</x:v>
      </x:c>
      <x:c r="L129" s="4" t="str">
        <x:v>是</x:v>
      </x:c>
      <x:c r="M129" s="4" t="str">
        <x:v>是</x:v>
      </x:c>
      <x:c r="N129" s="4" t="str">
        <x:v>pass</x:v>
      </x:c>
      <x:c r="O129" s="4" t="str">
        <x:v>B</x:v>
      </x:c>
      <x:c r="P129" s="4" t="str">
        <x:v>是</x:v>
      </x:c>
      <x:c r="Q129" s="17" t="n">
        <x:v>97</x:v>
      </x:c>
      <x:c r="R129" s="16" t="n">
        <x:v>2024</x:v>
      </x:c>
      <x:c r="S129" s="4" t="str">
        <x:v>【示意】約數；不能推導CaseTrust因果效果；獨立來源1；來源B級</x:v>
      </x:c>
      <x:c r="T129" s="4" t="str">
        <x:v>示意</x:v>
      </x:c>
      <x:c r="U129" s="16" t="n">
        <x:v>1</x:v>
      </x:c>
      <x:c r="V129" s="4" t="str">
        <x:v>低</x:v>
      </x:c>
      <x:c r="W129" s="4" t="str">
        <x:v>PDF 印頁 2–3，2024 裝修申訴 962、2023 年 1,168；2024 家具 720；承包商預付損失 728,813.76 SGD；約 97% 裝修申訴為非 CaseTrust 業者。 逐列核對值：97 %；原單位換算見定義。</x:v>
      </x:c>
      <x:c r="X129" s="4" t="str">
        <x:v>數字核對通過不等於三角驗證；單一原始機構，按協議低信心示意。</x:v>
      </x:c>
      <x:c r="Y129" s="37" t="d">
        <x:v>2026-10-09T00:00:00.000Z</x:v>
      </x:c>
      <x:c r="Z129" s="4" t="str">
        <x:v>turn193view2</x:v>
      </x:c>
    </x:row>
    <x:row r="130" ht="52" customHeight="1">
      <x:c r="A130" s="4" t="str">
        <x:v>M0129</x:v>
      </x:c>
      <x:c r="B130" s="4" t="str">
        <x:v>SG</x:v>
      </x:c>
      <x:c r="C130" s="4" t="str">
        <x:v>全用途fit-out市場（預測）</x:v>
      </x:c>
      <x:c r="D130" s="14" t="str">
        <x:v>4.2–6.5</x:v>
      </x:c>
      <x:c r="E130" s="4" t="str">
        <x:v>十億SGD</x:v>
      </x:c>
      <x:c r="F130" s="16" t="str">
        <x:v>2024f</x:v>
      </x:c>
      <x:c r="G130" s="4" t="str">
        <x:v>Converging Knowledge，公共／商業／住宅等內裝；非住宅翻修</x:v>
      </x:c>
      <x:c r="H130" s="4" t="str">
        <x:v>SG07</x:v>
      </x:c>
      <x:c r="I130" s="4" t="str">
        <x:v>https://links.sgx.com/FileOpen/Final%20Offer%20Document_0.ashx?App=IPO&amp;FileID=6584</x:v>
      </x:c>
      <x:c r="J130" s="4" t="str">
        <x:v>是</x:v>
      </x:c>
      <x:c r="K130" s="4" t="str">
        <x:v>是</x:v>
      </x:c>
      <x:c r="L130" s="4" t="str">
        <x:v>是</x:v>
      </x:c>
      <x:c r="M130" s="4" t="str">
        <x:v>是</x:v>
      </x:c>
      <x:c r="N130" s="4" t="str">
        <x:v>pass</x:v>
      </x:c>
      <x:c r="O130" s="4" t="str">
        <x:v>B</x:v>
      </x:c>
      <x:c r="P130" s="4" t="str">
        <x:v>是</x:v>
      </x:c>
      <x:c r="Q130" s="14" t="str">
        <x:v>4.2–6.5</x:v>
      </x:c>
      <x:c r="R130" s="16" t="str">
        <x:v>2024f</x:v>
      </x:c>
      <x:c r="S130" s="4" t="str">
        <x:v>【預測／示意】Converging Knowledge，公共／商業／住宅等內裝；非住宅翻修；獨立來源1；來源B級</x:v>
      </x:c>
      <x:c r="T130" s="4" t="str">
        <x:v>預測／示意</x:v>
      </x:c>
      <x:c r="U130" s="16" t="n">
        <x:v>1</x:v>
      </x:c>
      <x:c r="V130" s="4" t="str">
        <x:v>低</x:v>
      </x:c>
      <x:c r="W130" s="4" t="str">
        <x:v>招股書 PDF 印頁 A-6：2023 年收入 26,968,529 SGD；印頁 42/99：2023 毛利率 21.7%、3M2024 11.9%；印頁158市場圖：2024f 4.2–6.5、2027f 4.8–7.4 十億 SGD。市场图由顾问推估，指标级另列 B。 逐列核對值：4.2–6.5 十億SGD；原單位換算見定義。</x:v>
      </x:c>
      <x:c r="X130" s="4" t="str">
        <x:v>數字核對通過不等於三角驗證；單一原始機構，按協議低信心示意。</x:v>
      </x:c>
      <x:c r="Y130" s="37" t="d">
        <x:v>2026-10-09T00:00:00.000Z</x:v>
      </x:c>
      <x:c r="Z130" s="4" t="str">
        <x:v>turn193view3;turn204view1;turn204view2</x:v>
      </x:c>
    </x:row>
    <x:row r="131" ht="52" customHeight="1">
      <x:c r="A131" s="4" t="str">
        <x:v>M0130</x:v>
      </x:c>
      <x:c r="B131" s="4" t="str">
        <x:v>SG</x:v>
      </x:c>
      <x:c r="C131" s="4" t="str">
        <x:v>全用途fit-out市場（預測）</x:v>
      </x:c>
      <x:c r="D131" s="14" t="str">
        <x:v>4.8–7.4</x:v>
      </x:c>
      <x:c r="E131" s="4" t="str">
        <x:v>十億SGD</x:v>
      </x:c>
      <x:c r="F131" s="16" t="str">
        <x:v>2027f</x:v>
      </x:c>
      <x:c r="G131" s="4" t="str">
        <x:v>Converging Knowledge事前預測；勿線性外推2030</x:v>
      </x:c>
      <x:c r="H131" s="4" t="str">
        <x:v>SG07</x:v>
      </x:c>
      <x:c r="I131" s="4" t="str">
        <x:v>https://links.sgx.com/FileOpen/Final%20Offer%20Document_0.ashx?App=IPO&amp;FileID=6584</x:v>
      </x:c>
      <x:c r="J131" s="4" t="str">
        <x:v>是</x:v>
      </x:c>
      <x:c r="K131" s="4" t="str">
        <x:v>是</x:v>
      </x:c>
      <x:c r="L131" s="4" t="str">
        <x:v>是</x:v>
      </x:c>
      <x:c r="M131" s="4" t="str">
        <x:v>是</x:v>
      </x:c>
      <x:c r="N131" s="4" t="str">
        <x:v>pass</x:v>
      </x:c>
      <x:c r="O131" s="4" t="str">
        <x:v>B</x:v>
      </x:c>
      <x:c r="P131" s="4" t="str">
        <x:v>是</x:v>
      </x:c>
      <x:c r="Q131" s="14" t="str">
        <x:v>4.8–7.4</x:v>
      </x:c>
      <x:c r="R131" s="16" t="str">
        <x:v>2027f</x:v>
      </x:c>
      <x:c r="S131" s="4" t="str">
        <x:v>【預測／示意】Converging Knowledge事前預測；勿線性外推2030；獨立來源1；來源B級</x:v>
      </x:c>
      <x:c r="T131" s="4" t="str">
        <x:v>預測／示意</x:v>
      </x:c>
      <x:c r="U131" s="16" t="n">
        <x:v>1</x:v>
      </x:c>
      <x:c r="V131" s="4" t="str">
        <x:v>低</x:v>
      </x:c>
      <x:c r="W131" s="4" t="str">
        <x:v>招股書 PDF 印頁 A-6：2023 年收入 26,968,529 SGD；印頁 42/99：2023 毛利率 21.7%、3M2024 11.9%；印頁158市場圖：2024f 4.2–6.5、2027f 4.8–7.4 十億 SGD。市场图由顾问推估，指标级另列 B。 逐列核對值：4.8–7.4 十億SGD；原單位換算見定義。</x:v>
      </x:c>
      <x:c r="X131" s="4" t="str">
        <x:v>數字核對通過不等於三角驗證；單一原始機構，按協議低信心示意。</x:v>
      </x:c>
      <x:c r="Y131" s="37" t="d">
        <x:v>2026-10-09T00:00:00.000Z</x:v>
      </x:c>
      <x:c r="Z131" s="4" t="str">
        <x:v>turn193view3;turn204view1;turn204view2</x:v>
      </x:c>
    </x:row>
    <x:row r="132" ht="52" customHeight="1">
      <x:c r="A132" s="4" t="str">
        <x:v>M0131</x:v>
      </x:c>
      <x:c r="B132" s="4" t="str">
        <x:v>SG</x:v>
      </x:c>
      <x:c r="C132" s="4" t="str">
        <x:v>Attika營收</x:v>
      </x:c>
      <x:c r="D132" s="17" t="n">
        <x:v>26968529</x:v>
      </x:c>
      <x:c r="E132" s="4" t="str">
        <x:v>SGD</x:v>
      </x:c>
      <x:c r="F132" s="16" t="n">
        <x:v>2023</x:v>
      </x:c>
      <x:c r="G132" s="4" t="str">
        <x:v>歷史財務示例；新加坡fit-out承包，不代表住宅</x:v>
      </x:c>
      <x:c r="H132" s="4" t="str">
        <x:v>SG07</x:v>
      </x:c>
      <x:c r="I132" s="4" t="str">
        <x:v>https://links.sgx.com/FileOpen/Final%20Offer%20Document_0.ashx?App=IPO&amp;FileID=6584</x:v>
      </x:c>
      <x:c r="J132" s="4" t="str">
        <x:v>是</x:v>
      </x:c>
      <x:c r="K132" s="4" t="str">
        <x:v>是</x:v>
      </x:c>
      <x:c r="L132" s="4" t="str">
        <x:v>是</x:v>
      </x:c>
      <x:c r="M132" s="4" t="str">
        <x:v>是</x:v>
      </x:c>
      <x:c r="N132" s="4" t="str">
        <x:v>pass</x:v>
      </x:c>
      <x:c r="O132" s="4" t="str">
        <x:v>A</x:v>
      </x:c>
      <x:c r="P132" s="4" t="str">
        <x:v>是</x:v>
      </x:c>
      <x:c r="Q132" s="17" t="n">
        <x:v>26968529</x:v>
      </x:c>
      <x:c r="R132" s="16" t="n">
        <x:v>2023</x:v>
      </x:c>
      <x:c r="S132" s="4" t="str">
        <x:v>【示意】歷史財務示例；新加坡fit-out承包，不代表住宅；獨立來源1；來源A級</x:v>
      </x:c>
      <x:c r="T132" s="4" t="str">
        <x:v>示意</x:v>
      </x:c>
      <x:c r="U132" s="16" t="n">
        <x:v>1</x:v>
      </x:c>
      <x:c r="V132" s="4" t="str">
        <x:v>低</x:v>
      </x:c>
      <x:c r="W132" s="4" t="str">
        <x:v>招股書 PDF 印頁 A-6：2023 年收入 26,968,529 SGD；印頁 42/99：2023 毛利率 21.7%、3M2024 11.9%；印頁158市場圖：2024f 4.2–6.5、2027f 4.8–7.4 十億 SGD。市场图由顾问推估，指标级另列 B。 逐列核對值：26968529 SGD；原單位換算見定義。</x:v>
      </x:c>
      <x:c r="X132" s="4" t="str">
        <x:v>數字核對通過不等於三角驗證；單一原始機構，按協議低信心示意。</x:v>
      </x:c>
      <x:c r="Y132" s="37" t="d">
        <x:v>2026-10-09T00:00:00.000Z</x:v>
      </x:c>
      <x:c r="Z132" s="4" t="str">
        <x:v>turn193view3;turn204view1;turn204view2</x:v>
      </x:c>
    </x:row>
    <x:row r="133" ht="52" customHeight="1">
      <x:c r="A133" s="4" t="str">
        <x:v>M0132</x:v>
      </x:c>
      <x:c r="B133" s="4" t="str">
        <x:v>SG</x:v>
      </x:c>
      <x:c r="C133" s="4" t="str">
        <x:v>Attika毛利率</x:v>
      </x:c>
      <x:c r="D133" s="19" t="n">
        <x:v>21.7</x:v>
      </x:c>
      <x:c r="E133" s="4" t="str">
        <x:v>%</x:v>
      </x:c>
      <x:c r="F133" s="16" t="n">
        <x:v>2023</x:v>
      </x:c>
      <x:c r="G133" s="4" t="str">
        <x:v>招股書歷史比率，不代表現況</x:v>
      </x:c>
      <x:c r="H133" s="4" t="str">
        <x:v>SG07</x:v>
      </x:c>
      <x:c r="I133" s="4" t="str">
        <x:v>https://links.sgx.com/FileOpen/Final%20Offer%20Document_0.ashx?App=IPO&amp;FileID=6584</x:v>
      </x:c>
      <x:c r="J133" s="4" t="str">
        <x:v>是</x:v>
      </x:c>
      <x:c r="K133" s="4" t="str">
        <x:v>是</x:v>
      </x:c>
      <x:c r="L133" s="4" t="str">
        <x:v>是</x:v>
      </x:c>
      <x:c r="M133" s="4" t="str">
        <x:v>是</x:v>
      </x:c>
      <x:c r="N133" s="4" t="str">
        <x:v>pass</x:v>
      </x:c>
      <x:c r="O133" s="4" t="str">
        <x:v>A</x:v>
      </x:c>
      <x:c r="P133" s="4" t="str">
        <x:v>是</x:v>
      </x:c>
      <x:c r="Q133" s="19" t="n">
        <x:v>21.7</x:v>
      </x:c>
      <x:c r="R133" s="16" t="n">
        <x:v>2023</x:v>
      </x:c>
      <x:c r="S133" s="4" t="str">
        <x:v>【示意】招股書歷史比率，不代表現況；獨立來源1；來源A級</x:v>
      </x:c>
      <x:c r="T133" s="4" t="str">
        <x:v>示意</x:v>
      </x:c>
      <x:c r="U133" s="16" t="n">
        <x:v>1</x:v>
      </x:c>
      <x:c r="V133" s="4" t="str">
        <x:v>低</x:v>
      </x:c>
      <x:c r="W133" s="4" t="str">
        <x:v>招股書 PDF 印頁 A-6：2023 年收入 26,968,529 SGD；印頁 42/99：2023 毛利率 21.7%、3M2024 11.9%；印頁158市場圖：2024f 4.2–6.5、2027f 4.8–7.4 十億 SGD。市场图由顾问推估，指标级另列 B。 逐列核對值：21.7 %；原單位換算見定義。</x:v>
      </x:c>
      <x:c r="X133" s="4" t="str">
        <x:v>數字核對通過不等於三角驗證；單一原始機構，按協議低信心示意。</x:v>
      </x:c>
      <x:c r="Y133" s="37" t="d">
        <x:v>2026-10-09T00:00:00.000Z</x:v>
      </x:c>
      <x:c r="Z133" s="4" t="str">
        <x:v>turn193view3;turn204view1;turn204view2</x:v>
      </x:c>
    </x:row>
    <x:row r="134" ht="52" customHeight="1">
      <x:c r="A134" s="4" t="str">
        <x:v>M0133</x:v>
      </x:c>
      <x:c r="B134" s="4" t="str">
        <x:v>SG</x:v>
      </x:c>
      <x:c r="C134" s="4" t="str">
        <x:v>Attika毛利率</x:v>
      </x:c>
      <x:c r="D134" s="19" t="n">
        <x:v>11.9</x:v>
      </x:c>
      <x:c r="E134" s="4" t="str">
        <x:v>%</x:v>
      </x:c>
      <x:c r="F134" s="16" t="str">
        <x:v>2024Q1</x:v>
      </x:c>
      <x:c r="G134" s="4" t="str">
        <x:v>2024第一季未經審核期間；非全年</x:v>
      </x:c>
      <x:c r="H134" s="4" t="str">
        <x:v>SG07</x:v>
      </x:c>
      <x:c r="I134" s="4" t="str">
        <x:v>https://links.sgx.com/FileOpen/Final%20Offer%20Document_0.ashx?App=IPO&amp;FileID=6584</x:v>
      </x:c>
      <x:c r="J134" s="4" t="str">
        <x:v>是</x:v>
      </x:c>
      <x:c r="K134" s="4" t="str">
        <x:v>是</x:v>
      </x:c>
      <x:c r="L134" s="4" t="str">
        <x:v>是</x:v>
      </x:c>
      <x:c r="M134" s="4" t="str">
        <x:v>是</x:v>
      </x:c>
      <x:c r="N134" s="4" t="str">
        <x:v>pass</x:v>
      </x:c>
      <x:c r="O134" s="4" t="str">
        <x:v>A</x:v>
      </x:c>
      <x:c r="P134" s="4" t="str">
        <x:v>是</x:v>
      </x:c>
      <x:c r="Q134" s="19" t="n">
        <x:v>11.9</x:v>
      </x:c>
      <x:c r="R134" s="16" t="str">
        <x:v>2024Q1</x:v>
      </x:c>
      <x:c r="S134" s="4" t="str">
        <x:v>【示意】2024第一季未經審核期間；非全年；獨立來源1；來源A級</x:v>
      </x:c>
      <x:c r="T134" s="4" t="str">
        <x:v>示意</x:v>
      </x:c>
      <x:c r="U134" s="16" t="n">
        <x:v>1</x:v>
      </x:c>
      <x:c r="V134" s="4" t="str">
        <x:v>低</x:v>
      </x:c>
      <x:c r="W134" s="4" t="str">
        <x:v>招股書 PDF 印頁 A-6：2023 年收入 26,968,529 SGD；印頁 42/99：2023 毛利率 21.7%、3M2024 11.9%；印頁158市場圖：2024f 4.2–6.5、2027f 4.8–7.4 十億 SGD。市场图由顾问推估，指标级另列 B。 逐列核對值：11.9 %；原單位換算見定義。</x:v>
      </x:c>
      <x:c r="X134" s="4" t="str">
        <x:v>數字核對通過不等於三角驗證；單一原始機構，按協議低信心示意。</x:v>
      </x:c>
      <x:c r="Y134" s="37" t="d">
        <x:v>2026-10-09T00:00:00.000Z</x:v>
      </x:c>
      <x:c r="Z134" s="4" t="str">
        <x:v>turn193view3;turn204view1;turn204view2</x:v>
      </x:c>
    </x:row>
    <x:row r="135" ht="38" customHeight="1">
      <x:c r="A135" s="4" t="str">
        <x:v>M0134</x:v>
      </x:c>
      <x:c r="B135" s="4" t="str">
        <x:v>SG</x:v>
      </x:c>
      <x:c r="C135" s="4" t="str">
        <x:v>人均GDP</x:v>
      </x:c>
      <x:c r="D135" s="17" t="n">
        <x:v>129194</x:v>
      </x:c>
      <x:c r="E135" s="4" t="str">
        <x:v>SGD／人</x:v>
      </x:c>
      <x:c r="F135" s="16" t="n">
        <x:v>2025</x:v>
      </x:c>
      <x:c r="G135" s="4" t="str">
        <x:v>當期市價；美元及新台幣另見固定匯率換算表</x:v>
      </x:c>
      <x:c r="H135" s="4" t="str">
        <x:v>SG08</x:v>
      </x:c>
      <x:c r="I135" s="4" t="str">
        <x:v>https://www.singstat.gov.sg/find-data/explore-data-themes/economy-prices/national-accounts/latest-news-data</x:v>
      </x:c>
      <x:c r="J135" s="4" t="str">
        <x:v>是</x:v>
      </x:c>
      <x:c r="K135" s="4" t="str">
        <x:v>是</x:v>
      </x:c>
      <x:c r="L135" s="4" t="str">
        <x:v>是</x:v>
      </x:c>
      <x:c r="M135" s="4" t="str">
        <x:v>是</x:v>
      </x:c>
      <x:c r="N135" s="4" t="str">
        <x:v>pass</x:v>
      </x:c>
      <x:c r="O135" s="4" t="str">
        <x:v>A</x:v>
      </x:c>
      <x:c r="P135" s="4" t="str">
        <x:v>是</x:v>
      </x:c>
      <x:c r="Q135" s="17" t="n">
        <x:v>129194</x:v>
      </x:c>
      <x:c r="R135" s="16" t="n">
        <x:v>2025</x:v>
      </x:c>
      <x:c r="S135" s="4" t="str">
        <x:v>【示意】當期市價；美元及新台幣另見固定匯率換算表；獨立來源1；來源A級</x:v>
      </x:c>
      <x:c r="T135" s="4" t="str">
        <x:v>示意</x:v>
      </x:c>
      <x:c r="U135" s="16" t="n">
        <x:v>1</x:v>
      </x:c>
      <x:c r="V135" s="4" t="str">
        <x:v>低</x:v>
      </x:c>
      <x:c r="W135" s="4" t="str">
        <x:v>L143–150：2025 名目 GDP 789,529.2 百萬 SGD；每人 GDP 129,194 SGD，前期 126,803 SGD。不是美元。 逐列核對值：129194 SGD／人；原單位換算見定義。</x:v>
      </x:c>
      <x:c r="X135" s="4" t="str">
        <x:v>數字核對通過不等於三角驗證；單一原始機構，按協議低信心示意。</x:v>
      </x:c>
      <x:c r="Y135" s="37" t="d">
        <x:v>2026-10-09T00:00:00.000Z</x:v>
      </x:c>
      <x:c r="Z135" s="4" t="str">
        <x:v>turn193view4</x:v>
      </x:c>
    </x:row>
    <x:row r="136" ht="38" customHeight="1">
      <x:c r="A136" s="4" t="str">
        <x:v>M0135</x:v>
      </x:c>
      <x:c r="B136" s="4" t="str">
        <x:v>SG</x:v>
      </x:c>
      <x:c r="C136" s="4" t="str">
        <x:v>名目GDP</x:v>
      </x:c>
      <x:c r="D136" s="19" t="n">
        <x:v>789529.2</x:v>
      </x:c>
      <x:c r="E136" s="4" t="str">
        <x:v>百萬SGD</x:v>
      </x:c>
      <x:c r="F136" s="16" t="n">
        <x:v>2025</x:v>
      </x:c>
      <x:c r="G136" s="4" t="str">
        <x:v>當期市價</x:v>
      </x:c>
      <x:c r="H136" s="4" t="str">
        <x:v>SG08</x:v>
      </x:c>
      <x:c r="I136" s="4" t="str">
        <x:v>https://www.singstat.gov.sg/find-data/explore-data-themes/economy-prices/national-accounts/latest-news-data</x:v>
      </x:c>
      <x:c r="J136" s="4" t="str">
        <x:v>是</x:v>
      </x:c>
      <x:c r="K136" s="4" t="str">
        <x:v>是</x:v>
      </x:c>
      <x:c r="L136" s="4" t="str">
        <x:v>是</x:v>
      </x:c>
      <x:c r="M136" s="4" t="str">
        <x:v>是</x:v>
      </x:c>
      <x:c r="N136" s="4" t="str">
        <x:v>pass</x:v>
      </x:c>
      <x:c r="O136" s="4" t="str">
        <x:v>A</x:v>
      </x:c>
      <x:c r="P136" s="4" t="str">
        <x:v>是</x:v>
      </x:c>
      <x:c r="Q136" s="19" t="n">
        <x:v>789529.2</x:v>
      </x:c>
      <x:c r="R136" s="16" t="n">
        <x:v>2025</x:v>
      </x:c>
      <x:c r="S136" s="4" t="str">
        <x:v>【示意】當期市價；獨立來源1；來源A級</x:v>
      </x:c>
      <x:c r="T136" s="4" t="str">
        <x:v>示意</x:v>
      </x:c>
      <x:c r="U136" s="16" t="n">
        <x:v>1</x:v>
      </x:c>
      <x:c r="V136" s="4" t="str">
        <x:v>低</x:v>
      </x:c>
      <x:c r="W136" s="4" t="str">
        <x:v>L143–150：2025 名目 GDP 789,529.2 百萬 SGD；每人 GDP 129,194 SGD，前期 126,803 SGD。不是美元。 逐列核對值：789529.2 百萬SGD；原單位換算見定義。</x:v>
      </x:c>
      <x:c r="X136" s="4" t="str">
        <x:v>數字核對通過不等於三角驗證；單一原始機構，按協議低信心示意。</x:v>
      </x:c>
      <x:c r="Y136" s="37" t="d">
        <x:v>2026-10-09T00:00:00.000Z</x:v>
      </x:c>
      <x:c r="Z136" s="4" t="str">
        <x:v>turn193view4</x:v>
      </x:c>
    </x:row>
    <x:row r="137" ht="38" customHeight="1">
      <x:c r="A137" s="4" t="str">
        <x:v>M0136</x:v>
      </x:c>
      <x:c r="B137" s="4" t="str">
        <x:v>SG</x:v>
      </x:c>
      <x:c r="C137" s="4" t="str">
        <x:v>人均GDP</x:v>
      </x:c>
      <x:c r="D137" s="17" t="n">
        <x:v>126803</x:v>
      </x:c>
      <x:c r="E137" s="4" t="str">
        <x:v>SGD／人</x:v>
      </x:c>
      <x:c r="F137" s="16" t="n">
        <x:v>2024</x:v>
      </x:c>
      <x:c r="G137" s="4" t="str">
        <x:v>頁面前一期年度值</x:v>
      </x:c>
      <x:c r="H137" s="4" t="str">
        <x:v>SG08</x:v>
      </x:c>
      <x:c r="I137" s="4" t="str">
        <x:v>https://www.singstat.gov.sg/find-data/explore-data-themes/economy-prices/national-accounts/latest-news-data</x:v>
      </x:c>
      <x:c r="J137" s="4" t="str">
        <x:v>是</x:v>
      </x:c>
      <x:c r="K137" s="4" t="str">
        <x:v>是</x:v>
      </x:c>
      <x:c r="L137" s="4" t="str">
        <x:v>是</x:v>
      </x:c>
      <x:c r="M137" s="4" t="str">
        <x:v>是</x:v>
      </x:c>
      <x:c r="N137" s="4" t="str">
        <x:v>pass</x:v>
      </x:c>
      <x:c r="O137" s="4" t="str">
        <x:v>A</x:v>
      </x:c>
      <x:c r="P137" s="4" t="str">
        <x:v>是</x:v>
      </x:c>
      <x:c r="Q137" s="17" t="n">
        <x:v>126803</x:v>
      </x:c>
      <x:c r="R137" s="16" t="n">
        <x:v>2024</x:v>
      </x:c>
      <x:c r="S137" s="4" t="str">
        <x:v>【示意】頁面前一期年度值；獨立來源1；來源A級</x:v>
      </x:c>
      <x:c r="T137" s="4" t="str">
        <x:v>示意</x:v>
      </x:c>
      <x:c r="U137" s="16" t="n">
        <x:v>1</x:v>
      </x:c>
      <x:c r="V137" s="4" t="str">
        <x:v>低</x:v>
      </x:c>
      <x:c r="W137" s="4" t="str">
        <x:v>L143–150：2025 名目 GDP 789,529.2 百萬 SGD；每人 GDP 129,194 SGD，前期 126,803 SGD。不是美元。 逐列核對值：126803 SGD／人；原單位換算見定義。</x:v>
      </x:c>
      <x:c r="X137" s="4" t="str">
        <x:v>數字核對通過不等於三角驗證；單一原始機構，按協議低信心示意。</x:v>
      </x:c>
      <x:c r="Y137" s="37" t="d">
        <x:v>2026-10-09T00:00:00.000Z</x:v>
      </x:c>
      <x:c r="Z137" s="4" t="str">
        <x:v>turn193view4</x:v>
      </x:c>
    </x:row>
    <x:row r="138" ht="52" customHeight="1">
      <x:c r="A138" s="4" t="str">
        <x:v>M0137</x:v>
      </x:c>
      <x:c r="B138" s="4" t="str">
        <x:v>SG</x:v>
      </x:c>
      <x:c r="C138" s="4" t="str">
        <x:v>建造業移工配額</x:v>
      </x:c>
      <x:c r="D138" s="17" t="n">
        <x:v>5</x:v>
      </x:c>
      <x:c r="E138" s="4" t="str">
        <x:v>名Work Permit／本地合格雇員</x:v>
      </x:c>
      <x:c r="F138" s="16" t="str">
        <x:v>查閱2026</x:v>
      </x:c>
      <x:c r="G138" s="4" t="str">
        <x:v>適用建造業認定並達LQS；非所有設計公司</x:v>
      </x:c>
      <x:c r="H138" s="4" t="str">
        <x:v>SG09</x:v>
      </x:c>
      <x:c r="I138" s="4" t="str">
        <x:v>https://www.mom.gov.sg/passes-and-permits/work-permit-for-foreign-worker/sector-specific-rules/construction-sector-requirements</x:v>
      </x:c>
      <x:c r="J138" s="4" t="str">
        <x:v>是</x:v>
      </x:c>
      <x:c r="K138" s="4" t="str">
        <x:v>是</x:v>
      </x:c>
      <x:c r="L138" s="4" t="str">
        <x:v>是</x:v>
      </x:c>
      <x:c r="M138" s="4" t="str">
        <x:v>是</x:v>
      </x:c>
      <x:c r="N138" s="4" t="str">
        <x:v>pass</x:v>
      </x:c>
      <x:c r="O138" s="4" t="str">
        <x:v>A</x:v>
      </x:c>
      <x:c r="P138" s="4" t="str">
        <x:v>是</x:v>
      </x:c>
      <x:c r="Q138" s="17" t="n">
        <x:v>5</x:v>
      </x:c>
      <x:c r="R138" s="16" t="str">
        <x:v>查閱2026</x:v>
      </x:c>
      <x:c r="S138" s="4" t="str">
        <x:v>【示意】適用建造業認定並達LQS；非所有設計公司；獨立來源1；來源A級</x:v>
      </x:c>
      <x:c r="T138" s="4" t="str">
        <x:v>示意</x:v>
      </x:c>
      <x:c r="U138" s="16" t="n">
        <x:v>1</x:v>
      </x:c>
      <x:c r="V138" s="4" t="str">
        <x:v>低</x:v>
      </x:c>
      <x:c r="W138" s="4" t="str">
        <x:v>L73–100：台灣為 NAS；每合格本地雇員可配 5 名 WP；2024-01-01 起 NAS 高技能徵費 300、基本技能 700 SGD／月。徵費不是薪資。 逐列核對值：5 名Work Permit／本地合格雇員；原單位換算見定義。</x:v>
      </x:c>
      <x:c r="X138" s="4" t="str">
        <x:v>數字核對通過不等於三角驗證；單一原始機構，按協議低信心示意。</x:v>
      </x:c>
      <x:c r="Y138" s="37" t="d">
        <x:v>2026-10-09T00:00:00.000Z</x:v>
      </x:c>
      <x:c r="Z138" s="4" t="str">
        <x:v>turn188view0</x:v>
      </x:c>
    </x:row>
    <x:row r="139" ht="38" customHeight="1">
      <x:c r="A139" s="4" t="str">
        <x:v>M0138</x:v>
      </x:c>
      <x:c r="B139" s="4" t="str">
        <x:v>SG</x:v>
      </x:c>
      <x:c r="C139" s="4" t="str">
        <x:v>台灣等NAS較高技能移工月徵費</x:v>
      </x:c>
      <x:c r="D139" s="17" t="n">
        <x:v>300</x:v>
      </x:c>
      <x:c r="E139" s="4" t="str">
        <x:v>SGD／人月</x:v>
      </x:c>
      <x:c r="F139" s="16" t="str">
        <x:v>2024起</x:v>
      </x:c>
      <x:c r="G139" s="4" t="str">
        <x:v>勞工徵費，不是工資</x:v>
      </x:c>
      <x:c r="H139" s="4" t="str">
        <x:v>SG09</x:v>
      </x:c>
      <x:c r="I139" s="4" t="str">
        <x:v>https://www.mom.gov.sg/passes-and-permits/work-permit-for-foreign-worker/sector-specific-rules/construction-sector-requirements</x:v>
      </x:c>
      <x:c r="J139" s="4" t="str">
        <x:v>是</x:v>
      </x:c>
      <x:c r="K139" s="4" t="str">
        <x:v>是</x:v>
      </x:c>
      <x:c r="L139" s="4" t="str">
        <x:v>是</x:v>
      </x:c>
      <x:c r="M139" s="4" t="str">
        <x:v>是</x:v>
      </x:c>
      <x:c r="N139" s="4" t="str">
        <x:v>pass</x:v>
      </x:c>
      <x:c r="O139" s="4" t="str">
        <x:v>A</x:v>
      </x:c>
      <x:c r="P139" s="4" t="str">
        <x:v>是</x:v>
      </x:c>
      <x:c r="Q139" s="17" t="n">
        <x:v>300</x:v>
      </x:c>
      <x:c r="R139" s="16" t="str">
        <x:v>2024起</x:v>
      </x:c>
      <x:c r="S139" s="4" t="str">
        <x:v>【示意】勞工徵費，不是工資；獨立來源1；來源A級</x:v>
      </x:c>
      <x:c r="T139" s="4" t="str">
        <x:v>示意</x:v>
      </x:c>
      <x:c r="U139" s="16" t="n">
        <x:v>1</x:v>
      </x:c>
      <x:c r="V139" s="4" t="str">
        <x:v>低</x:v>
      </x:c>
      <x:c r="W139" s="4" t="str">
        <x:v>L73–100：台灣為 NAS；每合格本地雇員可配 5 名 WP；2024-01-01 起 NAS 高技能徵費 300、基本技能 700 SGD／月。徵費不是薪資。 逐列核對值：300 SGD／人月；原單位換算見定義。</x:v>
      </x:c>
      <x:c r="X139" s="4" t="str">
        <x:v>數字核對通過不等於三角驗證；單一原始機構，按協議低信心示意。</x:v>
      </x:c>
      <x:c r="Y139" s="37" t="d">
        <x:v>2026-10-09T00:00:00.000Z</x:v>
      </x:c>
      <x:c r="Z139" s="4" t="str">
        <x:v>turn188view0</x:v>
      </x:c>
    </x:row>
    <x:row r="140" ht="38" customHeight="1">
      <x:c r="A140" s="4" t="str">
        <x:v>M0139</x:v>
      </x:c>
      <x:c r="B140" s="4" t="str">
        <x:v>SG</x:v>
      </x:c>
      <x:c r="C140" s="4" t="str">
        <x:v>台灣等NAS基本技能移工月徵費</x:v>
      </x:c>
      <x:c r="D140" s="17" t="n">
        <x:v>700</x:v>
      </x:c>
      <x:c r="E140" s="4" t="str">
        <x:v>SGD／人月</x:v>
      </x:c>
      <x:c r="F140" s="16" t="str">
        <x:v>2024起</x:v>
      </x:c>
      <x:c r="G140" s="4" t="str">
        <x:v>勞工徵費，不是工資</x:v>
      </x:c>
      <x:c r="H140" s="4" t="str">
        <x:v>SG09</x:v>
      </x:c>
      <x:c r="I140" s="4" t="str">
        <x:v>https://www.mom.gov.sg/passes-and-permits/work-permit-for-foreign-worker/sector-specific-rules/construction-sector-requirements</x:v>
      </x:c>
      <x:c r="J140" s="4" t="str">
        <x:v>是</x:v>
      </x:c>
      <x:c r="K140" s="4" t="str">
        <x:v>是</x:v>
      </x:c>
      <x:c r="L140" s="4" t="str">
        <x:v>是</x:v>
      </x:c>
      <x:c r="M140" s="4" t="str">
        <x:v>是</x:v>
      </x:c>
      <x:c r="N140" s="4" t="str">
        <x:v>pass</x:v>
      </x:c>
      <x:c r="O140" s="4" t="str">
        <x:v>A</x:v>
      </x:c>
      <x:c r="P140" s="4" t="str">
        <x:v>是</x:v>
      </x:c>
      <x:c r="Q140" s="17" t="n">
        <x:v>700</x:v>
      </x:c>
      <x:c r="R140" s="16" t="str">
        <x:v>2024起</x:v>
      </x:c>
      <x:c r="S140" s="4" t="str">
        <x:v>【示意】勞工徵費，不是工資；獨立來源1；來源A級</x:v>
      </x:c>
      <x:c r="T140" s="4" t="str">
        <x:v>示意</x:v>
      </x:c>
      <x:c r="U140" s="16" t="n">
        <x:v>1</x:v>
      </x:c>
      <x:c r="V140" s="4" t="str">
        <x:v>低</x:v>
      </x:c>
      <x:c r="W140" s="4" t="str">
        <x:v>L73–100：台灣為 NAS；每合格本地雇員可配 5 名 WP；2024-01-01 起 NAS 高技能徵費 300、基本技能 700 SGD／月。徵費不是薪資。 逐列核對值：700 SGD／人月；原單位換算見定義。</x:v>
      </x:c>
      <x:c r="X140" s="4" t="str">
        <x:v>數字核對通過不等於三角驗證；單一原始機構，按協議低信心示意。</x:v>
      </x:c>
      <x:c r="Y140" s="37" t="d">
        <x:v>2026-10-09T00:00:00.000Z</x:v>
      </x:c>
      <x:c r="Z140" s="4" t="str">
        <x:v>turn188view0</x:v>
      </x:c>
    </x:row>
    <x:row r="141" ht="38" customHeight="1">
      <x:c r="A141" s="4" t="str">
        <x:v>M0140</x:v>
      </x:c>
      <x:c r="B141" s="4" t="str">
        <x:v>SG</x:v>
      </x:c>
      <x:c r="C141" s="4" t="str">
        <x:v>Qanvast累計使用屋主</x:v>
      </x:c>
      <x:c r="D141" s="14" t="str">
        <x:v>&gt;95000</x:v>
      </x:c>
      <x:c r="E141" s="4" t="str">
        <x:v>人／戶</x:v>
      </x:c>
      <x:c r="F141" s="16" t="str">
        <x:v>查閱2026</x:v>
      </x:c>
      <x:c r="G141" s="4" t="str">
        <x:v>網站自述累計找設計師；非年度MAU／成交戶</x:v>
      </x:c>
      <x:c r="H141" s="4" t="str">
        <x:v>SG10</x:v>
      </x:c>
      <x:c r="I141" s="4" t="str">
        <x:v>https://qanvast.com/sg</x:v>
      </x:c>
      <x:c r="J141" s="4" t="str">
        <x:v>是</x:v>
      </x:c>
      <x:c r="K141" s="4" t="str">
        <x:v>是</x:v>
      </x:c>
      <x:c r="L141" s="4" t="str">
        <x:v>是</x:v>
      </x:c>
      <x:c r="M141" s="4" t="str">
        <x:v>是</x:v>
      </x:c>
      <x:c r="N141" s="4" t="str">
        <x:v>pass</x:v>
      </x:c>
      <x:c r="O141" s="4" t="str">
        <x:v>C</x:v>
      </x:c>
      <x:c r="P141" s="4" t="str">
        <x:v>是</x:v>
      </x:c>
      <x:c r="Q141" s="14" t="str">
        <x:v>&gt;95000</x:v>
      </x:c>
      <x:c r="R141" s="16" t="str">
        <x:v>查閱2026</x:v>
      </x:c>
      <x:c r="S141" s="4" t="str">
        <x:v>【示意】網站自述累計找設計師；非年度MAU／成交戶；獨立來源1；來源C級</x:v>
      </x:c>
      <x:c r="T141" s="4" t="str">
        <x:v>示意</x:v>
      </x:c>
      <x:c r="U141" s="16" t="n">
        <x:v>1</x:v>
      </x:c>
      <x:c r="V141" s="4" t="str">
        <x:v>低</x:v>
      </x:c>
      <x:c r="W141" s="4" t="str">
        <x:v>L230–238：保證上限合約值 50% 與 SGD150,000 取低；over 95,000 為累計使用選商服務屋主，不是年度成交量。 逐列核對值：&gt;95000 人／戶；原單位換算見定義。</x:v>
      </x:c>
      <x:c r="X141" s="4" t="str">
        <x:v>數字核對通過不等於三角驗證；單一原始機構，按協議低信心示意。</x:v>
      </x:c>
      <x:c r="Y141" s="37" t="d">
        <x:v>2026-10-09T00:00:00.000Z</x:v>
      </x:c>
      <x:c r="Z141" s="4" t="str">
        <x:v>turn204view4</x:v>
      </x:c>
    </x:row>
    <x:row r="142" ht="38" customHeight="1">
      <x:c r="A142" s="4" t="str">
        <x:v>M0141</x:v>
      </x:c>
      <x:c r="B142" s="4" t="str">
        <x:v>SG</x:v>
      </x:c>
      <x:c r="C142" s="4" t="str">
        <x:v>Qanvast保證上限</x:v>
      </x:c>
      <x:c r="D142" s="17" t="n">
        <x:v>150000</x:v>
      </x:c>
      <x:c r="E142" s="4" t="str">
        <x:v>SGD</x:v>
      </x:c>
      <x:c r="F142" s="16" t="str">
        <x:v>查閱2026</x:v>
      </x:c>
      <x:c r="G142" s="4" t="str">
        <x:v>合約額50%與15萬取低；倒閉適用條件依條款</x:v>
      </x:c>
      <x:c r="H142" s="4" t="str">
        <x:v>SG10</x:v>
      </x:c>
      <x:c r="I142" s="4" t="str">
        <x:v>https://qanvast.com/sg</x:v>
      </x:c>
      <x:c r="J142" s="4" t="str">
        <x:v>是</x:v>
      </x:c>
      <x:c r="K142" s="4" t="str">
        <x:v>是</x:v>
      </x:c>
      <x:c r="L142" s="4" t="str">
        <x:v>是</x:v>
      </x:c>
      <x:c r="M142" s="4" t="str">
        <x:v>是</x:v>
      </x:c>
      <x:c r="N142" s="4" t="str">
        <x:v>pass</x:v>
      </x:c>
      <x:c r="O142" s="4" t="str">
        <x:v>C</x:v>
      </x:c>
      <x:c r="P142" s="4" t="str">
        <x:v>是</x:v>
      </x:c>
      <x:c r="Q142" s="17" t="n">
        <x:v>150000</x:v>
      </x:c>
      <x:c r="R142" s="16" t="str">
        <x:v>查閱2026</x:v>
      </x:c>
      <x:c r="S142" s="4" t="str">
        <x:v>【示意】合約額50%與15萬取低；倒閉適用條件依條款；獨立來源1；來源C級</x:v>
      </x:c>
      <x:c r="T142" s="4" t="str">
        <x:v>示意</x:v>
      </x:c>
      <x:c r="U142" s="16" t="n">
        <x:v>1</x:v>
      </x:c>
      <x:c r="V142" s="4" t="str">
        <x:v>低</x:v>
      </x:c>
      <x:c r="W142" s="4" t="str">
        <x:v>L230–238：保證上限合約值 50% 與 SGD150,000 取低；over 95,000 為累計使用選商服務屋主，不是年度成交量。 逐列核對值：150000 SGD；原單位換算見定義。</x:v>
      </x:c>
      <x:c r="X142" s="4" t="str">
        <x:v>數字核對通過不等於三角驗證；單一原始機構，按協議低信心示意。</x:v>
      </x:c>
      <x:c r="Y142" s="37" t="d">
        <x:v>2026-10-09T00:00:00.000Z</x:v>
      </x:c>
      <x:c r="Z142" s="4" t="str">
        <x:v>turn204view4</x:v>
      </x:c>
    </x:row>
    <x:row r="143" ht="52" customHeight="1">
      <x:c r="A143" s="4" t="str">
        <x:v>M0142</x:v>
      </x:c>
      <x:c r="B143" s="4" t="str">
        <x:v>SG</x:v>
      </x:c>
      <x:c r="C143" s="4" t="str">
        <x:v>全用途翻新市場（歷史估計）</x:v>
      </x:c>
      <x:c r="D143" s="19" t="n">
        <x:v>4179.5</x:v>
      </x:c>
      <x:c r="E143" s="4" t="str">
        <x:v>百萬SGD</x:v>
      </x:c>
      <x:c r="F143" s="16" t="n">
        <x:v>2022</x:v>
      </x:c>
      <x:c r="G143" s="4" t="str">
        <x:v>Frost &amp; Sullivan renovation by revenue，住宅+其他；不含另列A&amp;A</x:v>
      </x:c>
      <x:c r="H143" s="4" t="str">
        <x:v>SG11</x:v>
      </x:c>
      <x:c r="I143" s="4" t="str">
        <x:v>https://www.sec.gov/Archives/edgar/data/2002236/000121390024045316/ea0206536-fwp_springview.htm</x:v>
      </x:c>
      <x:c r="J143" s="4" t="str">
        <x:v>是</x:v>
      </x:c>
      <x:c r="K143" s="4" t="str">
        <x:v>是</x:v>
      </x:c>
      <x:c r="L143" s="4" t="str">
        <x:v>是</x:v>
      </x:c>
      <x:c r="M143" s="4" t="str">
        <x:v>是</x:v>
      </x:c>
      <x:c r="N143" s="4" t="str">
        <x:v>pass</x:v>
      </x:c>
      <x:c r="O143" s="4" t="str">
        <x:v>B</x:v>
      </x:c>
      <x:c r="P143" s="4" t="str">
        <x:v>是</x:v>
      </x:c>
      <x:c r="Q143" s="19" t="n">
        <x:v>4179.5</x:v>
      </x:c>
      <x:c r="R143" s="16" t="n">
        <x:v>2022</x:v>
      </x:c>
      <x:c r="S143" s="4" t="str">
        <x:v>【示意】Frost &amp; Sullivan renovation by revenue，住宅+其他；不含另列A&amp;A；獨立來源1；來源B級</x:v>
      </x:c>
      <x:c r="T143" s="4" t="str">
        <x:v>示意</x:v>
      </x:c>
      <x:c r="U143" s="16" t="n">
        <x:v>1</x:v>
      </x:c>
      <x:c r="V143" s="4" t="str">
        <x:v>低</x:v>
      </x:c>
      <x:c r="W143" s="4" t="str">
        <x:v>SEC 簡報第17頁圖與文字均核對：全用途 renovation 2022 年 4,179.5、2024E 4,630.2、2027E 5,378.5 百萬 SGD；圖下半部有住宅分拆，與 A&amp;A 分開。 逐列核對值：4179.5 百萬SGD；原單位換算見定義。</x:v>
      </x:c>
      <x:c r="X143" s="4" t="str">
        <x:v>數字核對通過不等於三角驗證；單一原始機構，按協議低信心示意。</x:v>
      </x:c>
      <x:c r="Y143" s="37" t="d">
        <x:v>2026-10-09T00:00:00.000Z</x:v>
      </x:c>
      <x:c r="Z143" s="4" t="str">
        <x:v>turn204view3;turn237view0</x:v>
      </x:c>
    </x:row>
    <x:row r="144" ht="52" customHeight="1">
      <x:c r="A144" s="4" t="str">
        <x:v>M0143</x:v>
      </x:c>
      <x:c r="B144" s="4" t="str">
        <x:v>SG</x:v>
      </x:c>
      <x:c r="C144" s="4" t="str">
        <x:v>全用途翻新市場（預測）</x:v>
      </x:c>
      <x:c r="D144" s="19" t="n">
        <x:v>4630.2</x:v>
      </x:c>
      <x:c r="E144" s="4" t="str">
        <x:v>百萬SGD</x:v>
      </x:c>
      <x:c r="F144" s="16" t="str">
        <x:v>2024E</x:v>
      </x:c>
      <x:c r="G144" s="4" t="str">
        <x:v>2024招股簡報內事前預測，非2024實績；住宅+其他</x:v>
      </x:c>
      <x:c r="H144" s="4" t="str">
        <x:v>SG11</x:v>
      </x:c>
      <x:c r="I144" s="4" t="str">
        <x:v>https://www.sec.gov/Archives/edgar/data/2002236/000121390024045316/ea0206536-fwp_springview.htm</x:v>
      </x:c>
      <x:c r="J144" s="4" t="str">
        <x:v>是</x:v>
      </x:c>
      <x:c r="K144" s="4" t="str">
        <x:v>是</x:v>
      </x:c>
      <x:c r="L144" s="4" t="str">
        <x:v>是</x:v>
      </x:c>
      <x:c r="M144" s="4" t="str">
        <x:v>是</x:v>
      </x:c>
      <x:c r="N144" s="4" t="str">
        <x:v>pass</x:v>
      </x:c>
      <x:c r="O144" s="4" t="str">
        <x:v>B</x:v>
      </x:c>
      <x:c r="P144" s="4" t="str">
        <x:v>是</x:v>
      </x:c>
      <x:c r="Q144" s="19" t="n">
        <x:v>4630.2</x:v>
      </x:c>
      <x:c r="R144" s="16" t="str">
        <x:v>2024E</x:v>
      </x:c>
      <x:c r="S144" s="4" t="str">
        <x:v>【預測／示意】2024招股簡報內事前預測，非2024實績；住宅+其他；獨立來源1；來源B級</x:v>
      </x:c>
      <x:c r="T144" s="4" t="str">
        <x:v>預測／示意</x:v>
      </x:c>
      <x:c r="U144" s="16" t="n">
        <x:v>1</x:v>
      </x:c>
      <x:c r="V144" s="4" t="str">
        <x:v>低</x:v>
      </x:c>
      <x:c r="W144" s="4" t="str">
        <x:v>SEC 簡報第17頁圖與文字均核對：全用途 renovation 2022 年 4,179.5、2024E 4,630.2、2027E 5,378.5 百萬 SGD；圖下半部有住宅分拆，與 A&amp;A 分開。 逐列核對值：4630.2 百萬SGD；原單位換算見定義。</x:v>
      </x:c>
      <x:c r="X144" s="4" t="str">
        <x:v>數字核對通過不等於三角驗證；單一原始機構，按協議低信心示意。</x:v>
      </x:c>
      <x:c r="Y144" s="37" t="d">
        <x:v>2026-10-09T00:00:00.000Z</x:v>
      </x:c>
      <x:c r="Z144" s="4" t="str">
        <x:v>turn204view3;turn237view0</x:v>
      </x:c>
    </x:row>
    <x:row r="145" ht="52" customHeight="1">
      <x:c r="A145" s="4" t="str">
        <x:v>M0144</x:v>
      </x:c>
      <x:c r="B145" s="4" t="str">
        <x:v>SG</x:v>
      </x:c>
      <x:c r="C145" s="4" t="str">
        <x:v>全用途翻新市場（預測）</x:v>
      </x:c>
      <x:c r="D145" s="19" t="n">
        <x:v>5378.5</x:v>
      </x:c>
      <x:c r="E145" s="4" t="str">
        <x:v>百萬SGD</x:v>
      </x:c>
      <x:c r="F145" s="16" t="str">
        <x:v>2027E</x:v>
      </x:c>
      <x:c r="G145" s="4" t="str">
        <x:v>Frost &amp; Sullivan事前預測，非官方實績</x:v>
      </x:c>
      <x:c r="H145" s="4" t="str">
        <x:v>SG11</x:v>
      </x:c>
      <x:c r="I145" s="4" t="str">
        <x:v>https://www.sec.gov/Archives/edgar/data/2002236/000121390024045316/ea0206536-fwp_springview.htm</x:v>
      </x:c>
      <x:c r="J145" s="4" t="str">
        <x:v>是</x:v>
      </x:c>
      <x:c r="K145" s="4" t="str">
        <x:v>是</x:v>
      </x:c>
      <x:c r="L145" s="4" t="str">
        <x:v>是</x:v>
      </x:c>
      <x:c r="M145" s="4" t="str">
        <x:v>是</x:v>
      </x:c>
      <x:c r="N145" s="4" t="str">
        <x:v>pass</x:v>
      </x:c>
      <x:c r="O145" s="4" t="str">
        <x:v>B</x:v>
      </x:c>
      <x:c r="P145" s="4" t="str">
        <x:v>是</x:v>
      </x:c>
      <x:c r="Q145" s="19" t="n">
        <x:v>5378.5</x:v>
      </x:c>
      <x:c r="R145" s="16" t="str">
        <x:v>2027E</x:v>
      </x:c>
      <x:c r="S145" s="4" t="str">
        <x:v>【預測／示意】Frost &amp; Sullivan事前預測，非官方實績；獨立來源1；來源B級</x:v>
      </x:c>
      <x:c r="T145" s="4" t="str">
        <x:v>預測／示意</x:v>
      </x:c>
      <x:c r="U145" s="16" t="n">
        <x:v>1</x:v>
      </x:c>
      <x:c r="V145" s="4" t="str">
        <x:v>低</x:v>
      </x:c>
      <x:c r="W145" s="4" t="str">
        <x:v>SEC 簡報第17頁圖與文字均核對：全用途 renovation 2022 年 4,179.5、2024E 4,630.2、2027E 5,378.5 百萬 SGD；圖下半部有住宅分拆，與 A&amp;A 分開。 逐列核對值：5378.5 百萬SGD；原單位換算見定義。</x:v>
      </x:c>
      <x:c r="X145" s="4" t="str">
        <x:v>數字核對通過不等於三角驗證；單一原始機構，按協議低信心示意。</x:v>
      </x:c>
      <x:c r="Y145" s="37" t="d">
        <x:v>2026-10-09T00:00:00.000Z</x:v>
      </x:c>
      <x:c r="Z145" s="4" t="str">
        <x:v>turn204view3;turn237view0</x:v>
      </x:c>
    </x:row>
    <x:row r="146" ht="38" customHeight="1">
      <x:c r="A146" s="4" t="str">
        <x:v>M0145</x:v>
      </x:c>
      <x:c r="B146" s="4" t="str">
        <x:v>SG</x:v>
      </x:c>
      <x:c r="C146" s="4" t="str">
        <x:v>HDB新屋核准裝修完成期限</x:v>
      </x:c>
      <x:c r="D146" s="17" t="n">
        <x:v>3</x:v>
      </x:c>
      <x:c r="E146" s="4" t="str">
        <x:v>月</x:v>
      </x:c>
      <x:c r="F146" s="16" t="str">
        <x:v>查閱2026</x:v>
      </x:c>
      <x:c r="G146" s="4" t="str">
        <x:v>自許可起，正式以實際許可為準</x:v>
      </x:c>
      <x:c r="H146" s="4" t="str">
        <x:v>SG13</x:v>
      </x:c>
      <x:c r="I146" s="4" t="str">
        <x:v>https://www.mynicehome.gov.sg/get-settled-in/hdb-renovation-guide/</x:v>
      </x:c>
      <x:c r="J146" s="4" t="str">
        <x:v>是</x:v>
      </x:c>
      <x:c r="K146" s="4" t="str">
        <x:v>是</x:v>
      </x:c>
      <x:c r="L146" s="4" t="str">
        <x:v>是</x:v>
      </x:c>
      <x:c r="M146" s="4" t="str">
        <x:v>是</x:v>
      </x:c>
      <x:c r="N146" s="4" t="str">
        <x:v>pass</x:v>
      </x:c>
      <x:c r="O146" s="4" t="str">
        <x:v>A</x:v>
      </x:c>
      <x:c r="P146" s="4" t="str">
        <x:v>是</x:v>
      </x:c>
      <x:c r="Q146" s="17" t="n">
        <x:v>3</x:v>
      </x:c>
      <x:c r="R146" s="16" t="str">
        <x:v>查閱2026</x:v>
      </x:c>
      <x:c r="S146" s="4" t="str">
        <x:v>【示意】自許可起，正式以實際許可為準；獨立來源1；來源A級</x:v>
      </x:c>
      <x:c r="T146" s="4" t="str">
        <x:v>示意</x:v>
      </x:c>
      <x:c r="U146" s="16" t="n">
        <x:v>1</x:v>
      </x:c>
      <x:c r="V146" s="4" t="str">
        <x:v>低</x:v>
      </x:c>
      <x:c r="W146" s="4" t="str">
        <x:v>L33–39；核准後新 HDB 裝修三個月、既有 HDB 一個月；DRC 與施工前申請。 逐列核對值：3 月；原單位換算見定義。</x:v>
      </x:c>
      <x:c r="X146" s="4" t="str">
        <x:v>數字核對通過不等於三角驗證；單一原始機構，按協議低信心示意。</x:v>
      </x:c>
      <x:c r="Y146" s="37" t="d">
        <x:v>2026-10-09T00:00:00.000Z</x:v>
      </x:c>
      <x:c r="Z146" s="4" t="str">
        <x:v>turn204view5</x:v>
      </x:c>
    </x:row>
    <x:row r="147" ht="38" customHeight="1">
      <x:c r="A147" s="4" t="str">
        <x:v>M0146</x:v>
      </x:c>
      <x:c r="B147" s="4" t="str">
        <x:v>SG</x:v>
      </x:c>
      <x:c r="C147" s="4" t="str">
        <x:v>HDB既有屋核准裝修完成期限</x:v>
      </x:c>
      <x:c r="D147" s="17" t="n">
        <x:v>1</x:v>
      </x:c>
      <x:c r="E147" s="4" t="str">
        <x:v>月</x:v>
      </x:c>
      <x:c r="F147" s="16" t="str">
        <x:v>查閱2026</x:v>
      </x:c>
      <x:c r="G147" s="4" t="str">
        <x:v>自許可起，正式以實際許可為準</x:v>
      </x:c>
      <x:c r="H147" s="4" t="str">
        <x:v>SG13</x:v>
      </x:c>
      <x:c r="I147" s="4" t="str">
        <x:v>https://www.mynicehome.gov.sg/get-settled-in/hdb-renovation-guide/</x:v>
      </x:c>
      <x:c r="J147" s="4" t="str">
        <x:v>是</x:v>
      </x:c>
      <x:c r="K147" s="4" t="str">
        <x:v>是</x:v>
      </x:c>
      <x:c r="L147" s="4" t="str">
        <x:v>是</x:v>
      </x:c>
      <x:c r="M147" s="4" t="str">
        <x:v>是</x:v>
      </x:c>
      <x:c r="N147" s="4" t="str">
        <x:v>pass</x:v>
      </x:c>
      <x:c r="O147" s="4" t="str">
        <x:v>A</x:v>
      </x:c>
      <x:c r="P147" s="4" t="str">
        <x:v>是</x:v>
      </x:c>
      <x:c r="Q147" s="17" t="n">
        <x:v>1</x:v>
      </x:c>
      <x:c r="R147" s="16" t="str">
        <x:v>查閱2026</x:v>
      </x:c>
      <x:c r="S147" s="4" t="str">
        <x:v>【示意】自許可起，正式以實際許可為準；獨立來源1；來源A級</x:v>
      </x:c>
      <x:c r="T147" s="4" t="str">
        <x:v>示意</x:v>
      </x:c>
      <x:c r="U147" s="16" t="n">
        <x:v>1</x:v>
      </x:c>
      <x:c r="V147" s="4" t="str">
        <x:v>低</x:v>
      </x:c>
      <x:c r="W147" s="4" t="str">
        <x:v>L33–39；核准後新 HDB 裝修三個月、既有 HDB 一個月；DRC 與施工前申請。 逐列核對值：1 月；原單位換算見定義。</x:v>
      </x:c>
      <x:c r="X147" s="4" t="str">
        <x:v>數字核對通過不等於三角驗證；單一原始機構，按協議低信心示意。</x:v>
      </x:c>
      <x:c r="Y147" s="37" t="d">
        <x:v>2026-10-09T00:00:00.000Z</x:v>
      </x:c>
      <x:c r="Z147" s="4" t="str">
        <x:v>turn204view5</x:v>
      </x:c>
    </x:row>
    <x:row r="148" ht="38" customHeight="1">
      <x:c r="A148" s="4" t="str">
        <x:v>M0147</x:v>
      </x:c>
      <x:c r="B148" s="4" t="str">
        <x:v>SG</x:v>
      </x:c>
      <x:c r="C148" s="4" t="str">
        <x:v>新加坡商辦裝修成本</x:v>
      </x:c>
      <x:c r="D148" s="20" t="n">
        <x:v>1506.947458339361</x:v>
      </x:c>
      <x:c r="E148" s="4" t="str">
        <x:v>USD/m²</x:v>
      </x:c>
      <x:c r="F148" s="16" t="n">
        <x:v>2026</x:v>
      </x:c>
      <x:c r="G148" s="4" t="str">
        <x:v>C&amp;W 2026商辦fit-out，價格基準2025年12月；USD/ft²÷0.09290304，非住宅報價，報告自身匯率</x:v>
      </x:c>
      <x:c r="H148" s="4" t="str">
        <x:v>X02</x:v>
      </x:c>
      <x:c r="I148" s="4" t="str">
        <x:v>https://digital.cushmanwakefield.com/fitoutcostguide-03-2026-apac-regional-en-content-pds-office/30-31/</x:v>
      </x:c>
      <x:c r="J148" s="4" t="str">
        <x:v>是</x:v>
      </x:c>
      <x:c r="K148" s="4" t="str">
        <x:v>是</x:v>
      </x:c>
      <x:c r="L148" s="4" t="str">
        <x:v>是</x:v>
      </x:c>
      <x:c r="M148" s="4" t="str">
        <x:v>是</x:v>
      </x:c>
      <x:c r="N148" s="4" t="str">
        <x:v>pass</x:v>
      </x:c>
      <x:c r="O148" s="4" t="str">
        <x:v>B</x:v>
      </x:c>
      <x:c r="P148" s="4" t="str">
        <x:v>是</x:v>
      </x:c>
      <x:c r="Q148" s="20" t="n">
        <x:v>1506.947458339361</x:v>
      </x:c>
      <x:c r="R148" s="16" t="n">
        <x:v>2026</x:v>
      </x:c>
      <x:c r="S148" s="4" t="str">
        <x:v>【示意】C&amp;W 2026商辦fit-out，價格基準2025年12月；USD/ft²÷0.09290304，非住宅報價，報告自身匯率；獨立來源1；來源B級</x:v>
      </x:c>
      <x:c r="T148" s="4" t="str">
        <x:v>示意</x:v>
      </x:c>
      <x:c r="U148" s="16" t="n">
        <x:v>1</x:v>
      </x:c>
      <x:c r="V148" s="4" t="str">
        <x:v>低</x:v>
      </x:c>
      <x:c r="W148" s="4" t="str">
        <x:v>成本頁逐城讀USD/ft²；配合X11方法頁確定價格2025-12，報告2026。 新加坡=140USD/ft²，除0.09290304得1506.947458339361USD/m²；原幣180SGD/ft²。</x:v>
      </x:c>
      <x:c r="X148" s="4" t="str">
        <x:v>單一獨立原始機構，依協議第4條低信心示意；A/B來源等級不等於已三角驗證。</x:v>
      </x:c>
      <x:c r="Y148" s="37" t="d">
        <x:v>2026-10-09T00:00:00.000Z</x:v>
      </x:c>
      <x:c r="Z148" s="4" t="str">
        <x:v>turn202view1</x:v>
      </x:c>
    </x:row>
    <x:row r="149" ht="38" customHeight="1">
      <x:c r="A149" s="4" t="str">
        <x:v>M0148</x:v>
      </x:c>
      <x:c r="B149" s="4" t="str">
        <x:v>HK</x:v>
      </x:c>
      <x:c r="C149" s="4" t="str">
        <x:v>家居裝修投訴</x:v>
      </x:c>
      <x:c r="D149" s="17" t="n">
        <x:v>1205</x:v>
      </x:c>
      <x:c r="E149" s="4" t="str">
        <x:v>宗</x:v>
      </x:c>
      <x:c r="F149" s="16" t="str">
        <x:v>2017–2023</x:v>
      </x:c>
      <x:c r="G149" s="4" t="str">
        <x:v>七年累積，非2024單年</x:v>
      </x:c>
      <x:c r="H149" s="4" t="str">
        <x:v>HK01</x:v>
      </x:c>
      <x:c r="I149" s="4" t="str">
        <x:v>https://www.consumer.org.hk/tc/press-release/p-home-renovation-study-report</x:v>
      </x:c>
      <x:c r="J149" s="4" t="str">
        <x:v>是</x:v>
      </x:c>
      <x:c r="K149" s="4" t="str">
        <x:v>是</x:v>
      </x:c>
      <x:c r="L149" s="4" t="str">
        <x:v>是</x:v>
      </x:c>
      <x:c r="M149" s="4" t="str">
        <x:v>是</x:v>
      </x:c>
      <x:c r="N149" s="4" t="str">
        <x:v>pass</x:v>
      </x:c>
      <x:c r="O149" s="4" t="str">
        <x:v>B</x:v>
      </x:c>
      <x:c r="P149" s="4" t="str">
        <x:v>是</x:v>
      </x:c>
      <x:c r="Q149" s="17" t="n">
        <x:v>1205</x:v>
      </x:c>
      <x:c r="R149" s="16" t="str">
        <x:v>2017–2023</x:v>
      </x:c>
      <x:c r="S149" s="4" t="str">
        <x:v>【示意】七年累積，非2024單年；獨立來源1；來源B級</x:v>
      </x:c>
      <x:c r="T149" s="4" t="str">
        <x:v>示意</x:v>
      </x:c>
      <x:c r="U149" s="16" t="n">
        <x:v>1</x:v>
      </x:c>
      <x:c r="V149" s="4" t="str">
        <x:v>低</x:v>
      </x:c>
      <x:c r="W149" s="4" t="str">
        <x:v>消委會新聞稿 L189：2017–2023累積1,205宗家居裝修服務投訴。</x:v>
      </x:c>
      <x:c r="X149" s="4" t="str">
        <x:v>單一獨立來源；按整合協議低信心，即使A級原始披露亦未達雙源實際門檻。</x:v>
      </x:c>
      <x:c r="Y149" s="37" t="d">
        <x:v>2026-10-09T00:00:00.000Z</x:v>
      </x:c>
      <x:c r="Z149" s="4" t="str">
        <x:v>turn170view0</x:v>
      </x:c>
    </x:row>
    <x:row r="150" ht="38" customHeight="1">
      <x:c r="A150" s="4" t="str">
        <x:v>M0149</x:v>
      </x:c>
      <x:c r="B150" s="4" t="str">
        <x:v>HK</x:v>
      </x:c>
      <x:c r="C150" s="4" t="str">
        <x:v>家居裝修投訴涉及金額下限</x:v>
      </x:c>
      <x:c r="D150" s="17" t="n">
        <x:v>270000000</x:v>
      </x:c>
      <x:c r="E150" s="4" t="str">
        <x:v>HKD</x:v>
      </x:c>
      <x:c r="F150" s="16" t="str">
        <x:v>2017–2023</x:v>
      </x:c>
      <x:c r="G150" s="4" t="str">
        <x:v>超過此金額，非市場總產值</x:v>
      </x:c>
      <x:c r="H150" s="4" t="str">
        <x:v>HK01</x:v>
      </x:c>
      <x:c r="I150" s="4" t="str">
        <x:v>https://www.consumer.org.hk/tc/press-release/p-home-renovation-study-report</x:v>
      </x:c>
      <x:c r="J150" s="4" t="str">
        <x:v>是</x:v>
      </x:c>
      <x:c r="K150" s="4" t="str">
        <x:v>是</x:v>
      </x:c>
      <x:c r="L150" s="4" t="str">
        <x:v>是</x:v>
      </x:c>
      <x:c r="M150" s="4" t="str">
        <x:v>是</x:v>
      </x:c>
      <x:c r="N150" s="4" t="str">
        <x:v>pass</x:v>
      </x:c>
      <x:c r="O150" s="4" t="str">
        <x:v>B</x:v>
      </x:c>
      <x:c r="P150" s="4" t="str">
        <x:v>是</x:v>
      </x:c>
      <x:c r="Q150" s="17" t="n">
        <x:v>270000000</x:v>
      </x:c>
      <x:c r="R150" s="16" t="str">
        <x:v>2017–2023</x:v>
      </x:c>
      <x:c r="S150" s="4" t="str">
        <x:v>【示意】超過此金額，非市場總產值；獨立來源1；來源B級</x:v>
      </x:c>
      <x:c r="T150" s="4" t="str">
        <x:v>示意</x:v>
      </x:c>
      <x:c r="U150" s="16" t="n">
        <x:v>1</x:v>
      </x:c>
      <x:c r="V150" s="4" t="str">
        <x:v>低</x:v>
      </x:c>
      <x:c r="W150" s="4" t="str">
        <x:v>消委會新聞稿 L189：同期間投訴涉及金額逾2.7億港元。</x:v>
      </x:c>
      <x:c r="X150" s="4" t="str">
        <x:v>單一獨立來源；按整合協議低信心，即使A級原始披露亦未達雙源實際門檻。</x:v>
      </x:c>
      <x:c r="Y150" s="37" t="d">
        <x:v>2026-10-09T00:00:00.000Z</x:v>
      </x:c>
      <x:c r="Z150" s="4" t="str">
        <x:v>turn170view0</x:v>
      </x:c>
    </x:row>
    <x:row r="151" ht="52" customHeight="1">
      <x:c r="A151" s="4" t="str">
        <x:v>M0150</x:v>
      </x:c>
      <x:c r="B151" s="4" t="str">
        <x:v>HK</x:v>
      </x:c>
      <x:c r="C151" s="4" t="str">
        <x:v>裝修資訊來自親友比率</x:v>
      </x:c>
      <x:c r="D151" s="17" t="n">
        <x:v>93</x:v>
      </x:c>
      <x:c r="E151" s="4" t="str">
        <x:v>%</x:v>
      </x:c>
      <x:c r="F151" s="16" t="n">
        <x:v>2024</x:v>
      </x:c>
      <x:c r="G151" s="4" t="str">
        <x:v>認知調查樣本，非全港住戶普查</x:v>
      </x:c>
      <x:c r="H151" s="4" t="str">
        <x:v>HK01</x:v>
      </x:c>
      <x:c r="I151" s="4" t="str">
        <x:v>https://www.consumer.org.hk/tc/press-release/p-home-renovation-study-report</x:v>
      </x:c>
      <x:c r="J151" s="4" t="str">
        <x:v>是</x:v>
      </x:c>
      <x:c r="K151" s="4" t="str">
        <x:v>是</x:v>
      </x:c>
      <x:c r="L151" s="4" t="str">
        <x:v>否</x:v>
      </x:c>
      <x:c r="M151" s="4" t="str">
        <x:v>否</x:v>
      </x:c>
      <x:c r="N151" s="4" t="str">
        <x:v>partial</x:v>
      </x:c>
      <x:c r="O151" s="4" t="str">
        <x:v>B</x:v>
      </x:c>
      <x:c r="P151" s="4" t="str">
        <x:v>是</x:v>
      </x:c>
      <x:c r="Q151" s="17" t="n">
        <x:v>93</x:v>
      </x:c>
      <x:c r="R151" s="16" t="str">
        <x:v>2024年發布（研究期2022-04至2024-01）</x:v>
      </x:c>
      <x:c r="S151" s="4" t="str">
        <x:v>【示意】消委會505名符合條件消費者認知調查；資訊來源可複選；不是全港住戶普查或2024年度市場比例；研究期由HK13核實。；獨立來源1；來源B級；查核限制：新聞稿 L210有93%；L274為505人調查；HK13 L210載研究期2022年4月至2024年1月，並非2024年年度普查。</x:v>
      </x:c>
      <x:c r="T151" s="4" t="str">
        <x:v>示意</x:v>
      </x:c>
      <x:c r="U151" s="16" t="n">
        <x:v>1</x:v>
      </x:c>
      <x:c r="V151" s="4" t="str">
        <x:v>低</x:v>
      </x:c>
      <x:c r="W151" s="4" t="str">
        <x:v>新聞稿 L210有93%；L274為505人調查；HK13 L210載研究期2022年4月至2024年1月，並非2024年年度普查。</x:v>
      </x:c>
      <x:c r="X151" s="4" t="str">
        <x:v>2024為發布年，原欄未區分研究期間；HK01與HK13同一機構同一研究，只算1獨立來源。</x:v>
      </x:c>
      <x:c r="Y151" s="37" t="d">
        <x:v>2026-10-09T00:00:00.000Z</x:v>
      </x:c>
      <x:c r="Z151" s="4" t="str">
        <x:v>turn170view0</x:v>
      </x:c>
    </x:row>
    <x:row r="152" ht="52" customHeight="1">
      <x:c r="A152" s="4" t="str">
        <x:v>M0151</x:v>
      </x:c>
      <x:c r="B152" s="4" t="str">
        <x:v>HK</x:v>
      </x:c>
      <x:c r="C152" s="4" t="str">
        <x:v>裝修資訊來自網路比率</x:v>
      </x:c>
      <x:c r="D152" s="17" t="n">
        <x:v>50</x:v>
      </x:c>
      <x:c r="E152" s="4" t="str">
        <x:v>%</x:v>
      </x:c>
      <x:c r="F152" s="16" t="n">
        <x:v>2024</x:v>
      </x:c>
      <x:c r="G152" s="4" t="str">
        <x:v>認知調查可複選，非平台成交滲透率</x:v>
      </x:c>
      <x:c r="H152" s="4" t="str">
        <x:v>HK01</x:v>
      </x:c>
      <x:c r="I152" s="4" t="str">
        <x:v>https://www.consumer.org.hk/tc/press-release/p-home-renovation-study-report</x:v>
      </x:c>
      <x:c r="J152" s="4" t="str">
        <x:v>是</x:v>
      </x:c>
      <x:c r="K152" s="4" t="str">
        <x:v>是</x:v>
      </x:c>
      <x:c r="L152" s="4" t="str">
        <x:v>否</x:v>
      </x:c>
      <x:c r="M152" s="4" t="str">
        <x:v>否</x:v>
      </x:c>
      <x:c r="N152" s="4" t="str">
        <x:v>partial</x:v>
      </x:c>
      <x:c r="O152" s="4" t="str">
        <x:v>B</x:v>
      </x:c>
      <x:c r="P152" s="4" t="str">
        <x:v>是</x:v>
      </x:c>
      <x:c r="Q152" s="17" t="n">
        <x:v>50</x:v>
      </x:c>
      <x:c r="R152" s="16" t="str">
        <x:v>2024年發布（研究期2022-04至2024-01）</x:v>
      </x:c>
      <x:c r="S152" s="4" t="str">
        <x:v>【示意】消委會505名符合條件消費者認知調查；資訊來源可複選；不是全港住戶普查或2024年度市場比例；研究期由HK13核實。；獨立來源1；來源B級；查核限制：新聞稿 L210有50%；L274為505人調查；HK13 L210載研究期2022年4月至2024年1月。</x:v>
      </x:c>
      <x:c r="T152" s="4" t="str">
        <x:v>示意</x:v>
      </x:c>
      <x:c r="U152" s="16" t="n">
        <x:v>1</x:v>
      </x:c>
      <x:c r="V152" s="4" t="str">
        <x:v>低</x:v>
      </x:c>
      <x:c r="W152" s="4" t="str">
        <x:v>新聞稿 L210有50%；L274為505人調查；HK13 L210載研究期2022年4月至2024年1月。</x:v>
      </x:c>
      <x:c r="X152" s="4" t="str">
        <x:v>2024為發布年，原欄未區分研究期間；HK01與HK13同一機構同一研究，只算1獨立來源。</x:v>
      </x:c>
      <x:c r="Y152" s="37" t="d">
        <x:v>2026-10-09T00:00:00.000Z</x:v>
      </x:c>
      <x:c r="Z152" s="4" t="str">
        <x:v>turn170view0</x:v>
      </x:c>
    </x:row>
    <x:row r="153" ht="30" customHeight="1">
      <x:c r="A153" s="4" t="str">
        <x:v>M0152</x:v>
      </x:c>
      <x:c r="B153" s="4" t="str">
        <x:v>HK</x:v>
      </x:c>
      <x:c r="C153" s="4" t="str">
        <x:v>私人住宅落成量</x:v>
      </x:c>
      <x:c r="D153" s="17" t="n">
        <x:v>24260</x:v>
      </x:c>
      <x:c r="E153" s="4" t="str">
        <x:v>戶</x:v>
      </x:c>
      <x:c r="F153" s="16" t="n">
        <x:v>2024</x:v>
      </x:c>
      <x:c r="G153" s="4" t="str">
        <x:v>獲發佔用許可證，不包括村屋</x:v>
      </x:c>
      <x:c r="H153" s="4" t="str">
        <x:v>HK02</x:v>
      </x:c>
      <x:c r="I153" s="4" t="str">
        <x:v>https://www.rvd.gov.hk/doc/tc/HKPR2025_Preliminary_Findings_TC.pdf</x:v>
      </x:c>
      <x:c r="J153" s="4" t="str">
        <x:v>是</x:v>
      </x:c>
      <x:c r="K153" s="4" t="str">
        <x:v>是</x:v>
      </x:c>
      <x:c r="L153" s="4" t="str">
        <x:v>是</x:v>
      </x:c>
      <x:c r="M153" s="4" t="str">
        <x:v>是</x:v>
      </x:c>
      <x:c r="N153" s="4" t="str">
        <x:v>pass</x:v>
      </x:c>
      <x:c r="O153" s="4" t="str">
        <x:v>A</x:v>
      </x:c>
      <x:c r="P153" s="4" t="str">
        <x:v>是</x:v>
      </x:c>
      <x:c r="Q153" s="17" t="n">
        <x:v>24260</x:v>
      </x:c>
      <x:c r="R153" s="16" t="n">
        <x:v>2024</x:v>
      </x:c>
      <x:c r="S153" s="4" t="str">
        <x:v>【示意】獲發佔用許可證，不包括村屋；獨立來源1；來源A級</x:v>
      </x:c>
      <x:c r="T153" s="4" t="str">
        <x:v>示意</x:v>
      </x:c>
      <x:c r="U153" s="16" t="n">
        <x:v>1</x:v>
      </x:c>
      <x:c r="V153" s="4" t="str">
        <x:v>低</x:v>
      </x:c>
      <x:c r="W153" s="4" t="str">
        <x:v>香港物業報告2025 PDF第2頁：2024私人住宅落成24,260個，定義在第1頁。</x:v>
      </x:c>
      <x:c r="X153" s="4" t="str">
        <x:v>單一獨立來源；按整合協議低信心，即使A級原始披露亦未達雙源實際門檻。</x:v>
      </x:c>
      <x:c r="Y153" s="37" t="d">
        <x:v>2026-10-09T00:00:00.000Z</x:v>
      </x:c>
      <x:c r="Z153" s="4" t="str">
        <x:v>turn170view1</x:v>
      </x:c>
    </x:row>
    <x:row r="154" ht="30" customHeight="1">
      <x:c r="A154" s="4" t="str">
        <x:v>M0153</x:v>
      </x:c>
      <x:c r="B154" s="4" t="str">
        <x:v>HK</x:v>
      </x:c>
      <x:c r="C154" s="4" t="str">
        <x:v>私人住宅落成量年增率</x:v>
      </x:c>
      <x:c r="D154" s="17" t="n">
        <x:v>75</x:v>
      </x:c>
      <x:c r="E154" s="4" t="str">
        <x:v>%</x:v>
      </x:c>
      <x:c r="F154" s="16" t="n">
        <x:v>2024</x:v>
      </x:c>
      <x:c r="G154" s="4" t="str">
        <x:v>報告四捨五入</x:v>
      </x:c>
      <x:c r="H154" s="4" t="str">
        <x:v>HK02</x:v>
      </x:c>
      <x:c r="I154" s="4" t="str">
        <x:v>https://www.rvd.gov.hk/doc/tc/HKPR2025_Preliminary_Findings_TC.pdf</x:v>
      </x:c>
      <x:c r="J154" s="4" t="str">
        <x:v>是</x:v>
      </x:c>
      <x:c r="K154" s="4" t="str">
        <x:v>是</x:v>
      </x:c>
      <x:c r="L154" s="4" t="str">
        <x:v>是</x:v>
      </x:c>
      <x:c r="M154" s="4" t="str">
        <x:v>是</x:v>
      </x:c>
      <x:c r="N154" s="4" t="str">
        <x:v>pass</x:v>
      </x:c>
      <x:c r="O154" s="4" t="str">
        <x:v>A</x:v>
      </x:c>
      <x:c r="P154" s="4" t="str">
        <x:v>是</x:v>
      </x:c>
      <x:c r="Q154" s="17" t="n">
        <x:v>75</x:v>
      </x:c>
      <x:c r="R154" s="16" t="n">
        <x:v>2024</x:v>
      </x:c>
      <x:c r="S154" s="4" t="str">
        <x:v>【示意】報告四捨五入；獨立來源1；來源A級</x:v>
      </x:c>
      <x:c r="T154" s="4" t="str">
        <x:v>示意</x:v>
      </x:c>
      <x:c r="U154" s="16" t="n">
        <x:v>1</x:v>
      </x:c>
      <x:c r="V154" s="4" t="str">
        <x:v>低</x:v>
      </x:c>
      <x:c r="W154" s="4" t="str">
        <x:v>同報告PDF第2頁：落成量較2023年上升75%。</x:v>
      </x:c>
      <x:c r="X154" s="4" t="str">
        <x:v>單一獨立來源；按整合協議低信心，即使A級原始披露亦未達雙源實際門檻。</x:v>
      </x:c>
      <x:c r="Y154" s="37" t="d">
        <x:v>2026-10-09T00:00:00.000Z</x:v>
      </x:c>
      <x:c r="Z154" s="4" t="str">
        <x:v>turn170view1</x:v>
      </x:c>
    </x:row>
    <x:row r="155" ht="30" customHeight="1">
      <x:c r="A155" s="4" t="str">
        <x:v>M0154</x:v>
      </x:c>
      <x:c r="B155" s="4" t="str">
        <x:v>HK</x:v>
      </x:c>
      <x:c r="C155" s="4" t="str">
        <x:v>私人住宅淨入住量</x:v>
      </x:c>
      <x:c r="D155" s="17" t="n">
        <x:v>17310</x:v>
      </x:c>
      <x:c r="E155" s="4" t="str">
        <x:v>戶</x:v>
      </x:c>
      <x:c r="F155" s="16" t="n">
        <x:v>2024</x:v>
      </x:c>
      <x:c r="G155" s="4" t="str">
        <x:v>落成+年初空置-拆卸-年底空置</x:v>
      </x:c>
      <x:c r="H155" s="4" t="str">
        <x:v>HK02</x:v>
      </x:c>
      <x:c r="I155" s="4" t="str">
        <x:v>https://www.rvd.gov.hk/doc/tc/HKPR2025_Preliminary_Findings_TC.pdf</x:v>
      </x:c>
      <x:c r="J155" s="4" t="str">
        <x:v>是</x:v>
      </x:c>
      <x:c r="K155" s="4" t="str">
        <x:v>是</x:v>
      </x:c>
      <x:c r="L155" s="4" t="str">
        <x:v>是</x:v>
      </x:c>
      <x:c r="M155" s="4" t="str">
        <x:v>是</x:v>
      </x:c>
      <x:c r="N155" s="4" t="str">
        <x:v>pass</x:v>
      </x:c>
      <x:c r="O155" s="4" t="str">
        <x:v>A</x:v>
      </x:c>
      <x:c r="P155" s="4" t="str">
        <x:v>是</x:v>
      </x:c>
      <x:c r="Q155" s="17" t="n">
        <x:v>17310</x:v>
      </x:c>
      <x:c r="R155" s="16" t="n">
        <x:v>2024</x:v>
      </x:c>
      <x:c r="S155" s="4" t="str">
        <x:v>【示意】落成+年初空置-拆卸-年底空置；獨立來源1；來源A級</x:v>
      </x:c>
      <x:c r="T155" s="4" t="str">
        <x:v>示意</x:v>
      </x:c>
      <x:c r="U155" s="16" t="n">
        <x:v>1</x:v>
      </x:c>
      <x:c r="V155" s="4" t="str">
        <x:v>低</x:v>
      </x:c>
      <x:c r="W155" s="4" t="str">
        <x:v>同報告PDF第2、6頁：2024淨入住量17,310；第1頁定義公式。</x:v>
      </x:c>
      <x:c r="X155" s="4" t="str">
        <x:v>單一獨立來源；按整合協議低信心，即使A級原始披露亦未達雙源實際門檻。</x:v>
      </x:c>
      <x:c r="Y155" s="37" t="d">
        <x:v>2026-10-09T00:00:00.000Z</x:v>
      </x:c>
      <x:c r="Z155" s="4" t="str">
        <x:v>turn170view1</x:v>
      </x:c>
    </x:row>
    <x:row r="156" ht="30" customHeight="1">
      <x:c r="A156" s="4" t="str">
        <x:v>M0155</x:v>
      </x:c>
      <x:c r="B156" s="4" t="str">
        <x:v>HK</x:v>
      </x:c>
      <x:c r="C156" s="4" t="str">
        <x:v>私人住宅空置率</x:v>
      </x:c>
      <x:c r="D156" s="19" t="n">
        <x:v>4.5</x:v>
      </x:c>
      <x:c r="E156" s="4" t="str">
        <x:v>%</x:v>
      </x:c>
      <x:c r="F156" s="16" t="n">
        <x:v>2024</x:v>
      </x:c>
      <x:c r="G156" s="4" t="str">
        <x:v>報告2024年底</x:v>
      </x:c>
      <x:c r="H156" s="4" t="str">
        <x:v>HK02</x:v>
      </x:c>
      <x:c r="I156" s="4" t="str">
        <x:v>https://www.rvd.gov.hk/doc/tc/HKPR2025_Preliminary_Findings_TC.pdf</x:v>
      </x:c>
      <x:c r="J156" s="4" t="str">
        <x:v>是</x:v>
      </x:c>
      <x:c r="K156" s="4" t="str">
        <x:v>是</x:v>
      </x:c>
      <x:c r="L156" s="4" t="str">
        <x:v>是</x:v>
      </x:c>
      <x:c r="M156" s="4" t="str">
        <x:v>是</x:v>
      </x:c>
      <x:c r="N156" s="4" t="str">
        <x:v>pass</x:v>
      </x:c>
      <x:c r="O156" s="4" t="str">
        <x:v>A</x:v>
      </x:c>
      <x:c r="P156" s="4" t="str">
        <x:v>是</x:v>
      </x:c>
      <x:c r="Q156" s="19" t="n">
        <x:v>4.5</x:v>
      </x:c>
      <x:c r="R156" s="16" t="n">
        <x:v>2024</x:v>
      </x:c>
      <x:c r="S156" s="4" t="str">
        <x:v>【示意】報告2024年底；獨立來源1；來源A級</x:v>
      </x:c>
      <x:c r="T156" s="4" t="str">
        <x:v>示意</x:v>
      </x:c>
      <x:c r="U156" s="16" t="n">
        <x:v>1</x:v>
      </x:c>
      <x:c r="V156" s="4" t="str">
        <x:v>低</x:v>
      </x:c>
      <x:c r="W156" s="4" t="str">
        <x:v>同報告PDF第2、6頁：年底空置率4.5%。</x:v>
      </x:c>
      <x:c r="X156" s="4" t="str">
        <x:v>單一獨立來源；按整合協議低信心，即使A級原始披露亦未達雙源實際門檻。</x:v>
      </x:c>
      <x:c r="Y156" s="37" t="d">
        <x:v>2026-10-09T00:00:00.000Z</x:v>
      </x:c>
      <x:c r="Z156" s="4" t="str">
        <x:v>turn170view1</x:v>
      </x:c>
    </x:row>
    <x:row r="157" ht="30" customHeight="1">
      <x:c r="A157" s="4" t="str">
        <x:v>M0156</x:v>
      </x:c>
      <x:c r="B157" s="4" t="str">
        <x:v>HK</x:v>
      </x:c>
      <x:c r="C157" s="4" t="str">
        <x:v>私人住宅空置量</x:v>
      </x:c>
      <x:c r="D157" s="17" t="n">
        <x:v>57900</x:v>
      </x:c>
      <x:c r="E157" s="4" t="str">
        <x:v>戶</x:v>
      </x:c>
      <x:c r="F157" s="16" t="n">
        <x:v>2024</x:v>
      </x:c>
      <x:c r="G157" s="4" t="str">
        <x:v>包括正在裝修的空置住宅</x:v>
      </x:c>
      <x:c r="H157" s="4" t="str">
        <x:v>HK02</x:v>
      </x:c>
      <x:c r="I157" s="4" t="str">
        <x:v>https://www.rvd.gov.hk/doc/tc/HKPR2025_Preliminary_Findings_TC.pdf</x:v>
      </x:c>
      <x:c r="J157" s="4" t="str">
        <x:v>是</x:v>
      </x:c>
      <x:c r="K157" s="4" t="str">
        <x:v>是</x:v>
      </x:c>
      <x:c r="L157" s="4" t="str">
        <x:v>是</x:v>
      </x:c>
      <x:c r="M157" s="4" t="str">
        <x:v>是</x:v>
      </x:c>
      <x:c r="N157" s="4" t="str">
        <x:v>pass</x:v>
      </x:c>
      <x:c r="O157" s="4" t="str">
        <x:v>A</x:v>
      </x:c>
      <x:c r="P157" s="4" t="str">
        <x:v>是</x:v>
      </x:c>
      <x:c r="Q157" s="17" t="n">
        <x:v>57900</x:v>
      </x:c>
      <x:c r="R157" s="16" t="n">
        <x:v>2024</x:v>
      </x:c>
      <x:c r="S157" s="4" t="str">
        <x:v>【示意】包括正在裝修的空置住宅；獨立來源1；來源A級</x:v>
      </x:c>
      <x:c r="T157" s="4" t="str">
        <x:v>示意</x:v>
      </x:c>
      <x:c r="U157" s="16" t="n">
        <x:v>1</x:v>
      </x:c>
      <x:c r="V157" s="4" t="str">
        <x:v>低</x:v>
      </x:c>
      <x:c r="W157" s="4" t="str">
        <x:v>同報告PDF第2、6頁：年底空置57,900；第1頁明列在裝修單位亦計空置。</x:v>
      </x:c>
      <x:c r="X157" s="4" t="str">
        <x:v>單一獨立來源；按整合協議低信心，即使A級原始披露亦未達雙源實際門檻。</x:v>
      </x:c>
      <x:c r="Y157" s="37" t="d">
        <x:v>2026-10-09T00:00:00.000Z</x:v>
      </x:c>
      <x:c r="Z157" s="4" t="str">
        <x:v>turn170view1</x:v>
      </x:c>
    </x:row>
    <x:row r="158" ht="30" customHeight="1">
      <x:c r="A158" s="4" t="str">
        <x:v>M0157</x:v>
      </x:c>
      <x:c r="B158" s="4" t="str">
        <x:v>HK</x:v>
      </x:c>
      <x:c r="C158" s="4" t="str">
        <x:v>私人住宅售價按年變動</x:v>
      </x:c>
      <x:c r="D158" s="19" t="n">
        <x:v>-7.2</x:v>
      </x:c>
      <x:c r="E158" s="4" t="str">
        <x:v>%</x:v>
      </x:c>
      <x:c r="F158" s="16" t="n">
        <x:v>2024</x:v>
      </x:c>
      <x:c r="G158" s="4" t="str">
        <x:v>2024年12月對上年12月</x:v>
      </x:c>
      <x:c r="H158" s="4" t="str">
        <x:v>HK02</x:v>
      </x:c>
      <x:c r="I158" s="4" t="str">
        <x:v>https://www.rvd.gov.hk/doc/tc/HKPR2025_Preliminary_Findings_TC.pdf</x:v>
      </x:c>
      <x:c r="J158" s="4" t="str">
        <x:v>是</x:v>
      </x:c>
      <x:c r="K158" s="4" t="str">
        <x:v>是</x:v>
      </x:c>
      <x:c r="L158" s="4" t="str">
        <x:v>是</x:v>
      </x:c>
      <x:c r="M158" s="4" t="str">
        <x:v>是</x:v>
      </x:c>
      <x:c r="N158" s="4" t="str">
        <x:v>pass</x:v>
      </x:c>
      <x:c r="O158" s="4" t="str">
        <x:v>A</x:v>
      </x:c>
      <x:c r="P158" s="4" t="str">
        <x:v>是</x:v>
      </x:c>
      <x:c r="Q158" s="19" t="n">
        <x:v>-7.2</x:v>
      </x:c>
      <x:c r="R158" s="16" t="n">
        <x:v>2024</x:v>
      </x:c>
      <x:c r="S158" s="4" t="str">
        <x:v>【示意】2024年12月對上年12月；獨立來源1；來源A級</x:v>
      </x:c>
      <x:c r="T158" s="4" t="str">
        <x:v>示意</x:v>
      </x:c>
      <x:c r="U158" s="16" t="n">
        <x:v>1</x:v>
      </x:c>
      <x:c r="V158" s="4" t="str">
        <x:v>低</x:v>
      </x:c>
      <x:c r="W158" s="4" t="str">
        <x:v>同報告PDF第2頁：2024年12月住宅售價按年下降7.2%。</x:v>
      </x:c>
      <x:c r="X158" s="4" t="str">
        <x:v>單一獨立來源；按整合協議低信心，即使A級原始披露亦未達雙源實際門檻。</x:v>
      </x:c>
      <x:c r="Y158" s="37" t="d">
        <x:v>2026-10-09T00:00:00.000Z</x:v>
      </x:c>
      <x:c r="Z158" s="4" t="str">
        <x:v>turn170view1</x:v>
      </x:c>
    </x:row>
    <x:row r="159" ht="30" customHeight="1">
      <x:c r="A159" s="4" t="str">
        <x:v>M0158</x:v>
      </x:c>
      <x:c r="B159" s="4" t="str">
        <x:v>HK</x:v>
      </x:c>
      <x:c r="C159" s="4" t="str">
        <x:v>私人住宅租金按年變動</x:v>
      </x:c>
      <x:c r="D159" s="19" t="n">
        <x:v>3.3</x:v>
      </x:c>
      <x:c r="E159" s="4" t="str">
        <x:v>%</x:v>
      </x:c>
      <x:c r="F159" s="16" t="n">
        <x:v>2024</x:v>
      </x:c>
      <x:c r="G159" s="4" t="str">
        <x:v>2024年12月對上年12月</x:v>
      </x:c>
      <x:c r="H159" s="4" t="str">
        <x:v>HK02</x:v>
      </x:c>
      <x:c r="I159" s="4" t="str">
        <x:v>https://www.rvd.gov.hk/doc/tc/HKPR2025_Preliminary_Findings_TC.pdf</x:v>
      </x:c>
      <x:c r="J159" s="4" t="str">
        <x:v>是</x:v>
      </x:c>
      <x:c r="K159" s="4" t="str">
        <x:v>是</x:v>
      </x:c>
      <x:c r="L159" s="4" t="str">
        <x:v>是</x:v>
      </x:c>
      <x:c r="M159" s="4" t="str">
        <x:v>是</x:v>
      </x:c>
      <x:c r="N159" s="4" t="str">
        <x:v>pass</x:v>
      </x:c>
      <x:c r="O159" s="4" t="str">
        <x:v>A</x:v>
      </x:c>
      <x:c r="P159" s="4" t="str">
        <x:v>是</x:v>
      </x:c>
      <x:c r="Q159" s="19" t="n">
        <x:v>3.3</x:v>
      </x:c>
      <x:c r="R159" s="16" t="n">
        <x:v>2024</x:v>
      </x:c>
      <x:c r="S159" s="4" t="str">
        <x:v>【示意】2024年12月對上年12月；獨立來源1；來源A級</x:v>
      </x:c>
      <x:c r="T159" s="4" t="str">
        <x:v>示意</x:v>
      </x:c>
      <x:c r="U159" s="16" t="n">
        <x:v>1</x:v>
      </x:c>
      <x:c r="V159" s="4" t="str">
        <x:v>低</x:v>
      </x:c>
      <x:c r="W159" s="4" t="str">
        <x:v>同報告PDF第2頁：2024年12月住宅租金按年上升3.3%。</x:v>
      </x:c>
      <x:c r="X159" s="4" t="str">
        <x:v>單一獨立來源；按整合協議低信心，即使A級原始披露亦未達雙源實際門檻。</x:v>
      </x:c>
      <x:c r="Y159" s="37" t="d">
        <x:v>2026-10-09T00:00:00.000Z</x:v>
      </x:c>
      <x:c r="Z159" s="4" t="str">
        <x:v>turn170view1</x:v>
      </x:c>
    </x:row>
    <x:row r="160" ht="52" customHeight="1">
      <x:c r="A160" s="4" t="str">
        <x:v>M0159</x:v>
      </x:c>
      <x:c r="B160" s="4" t="str">
        <x:v>HK</x:v>
      </x:c>
      <x:c r="C160" s="4" t="str">
        <x:v>人均GDP</x:v>
      </x:c>
      <x:c r="D160" s="17" t="n">
        <x:v>54101</x:v>
      </x:c>
      <x:c r="E160" s="4" t="str">
        <x:v>USD/人</x:v>
      </x:c>
      <x:c r="F160" s="16" t="n">
        <x:v>2024</x:v>
      </x:c>
      <x:c r="G160" s="4" t="str">
        <x:v>日本外務省引用香港統計；原幣421990港元、其換算率7.80；最終橫比可改用統一WB年度</x:v>
      </x:c>
      <x:c r="H160" s="4" t="str">
        <x:v>HK07</x:v>
      </x:c>
      <x:c r="I160" s="4" t="str">
        <x:v>https://www.mofa.go.jp/mofaj/area/hongkong/data.html</x:v>
      </x:c>
      <x:c r="J160" s="4" t="str">
        <x:v>是</x:v>
      </x:c>
      <x:c r="K160" s="4" t="str">
        <x:v>是</x:v>
      </x:c>
      <x:c r="L160" s="4" t="str">
        <x:v>是</x:v>
      </x:c>
      <x:c r="M160" s="4" t="str">
        <x:v>否</x:v>
      </x:c>
      <x:c r="N160" s="4" t="str">
        <x:v>partial</x:v>
      </x:c>
      <x:c r="O160" s="4" t="str">
        <x:v>A</x:v>
      </x:c>
      <x:c r="P160" s="4" t="str">
        <x:v>是</x:v>
      </x:c>
      <x:c r="Q160" s="17" t="n">
        <x:v>54101</x:v>
      </x:c>
      <x:c r="R160" s="16" t="n">
        <x:v>2024</x:v>
      </x:c>
      <x:c r="S160" s="4" t="str">
        <x:v>【示意】日本外務省頁所列2024人均GDP；原幣421,990港元、該頁美元換算率7.80；未確認數值出處為香港統計處，不作此歸屬。；獨立來源1；來源A級；查核限制：外務省頁 L113–124：2024年一人GDP 421,990港元／54,101美元；頁面自述換算7.80。</x:v>
      </x:c>
      <x:c r="T160" s="4" t="str">
        <x:v>示意</x:v>
      </x:c>
      <x:c r="U160" s="16" t="n">
        <x:v>1</x:v>
      </x:c>
      <x:c r="V160" s="4" t="str">
        <x:v>低</x:v>
      </x:c>
      <x:c r="W160" s="4" t="str">
        <x:v>外務省頁 L113–124：2024年一人GDP 421,990港元／54,101美元；頁面自述換算7.80。</x:v>
      </x:c>
      <x:c r="X160" s="4" t="str">
        <x:v>數值及年一致；刪去未受該段支持的「引用香港統計」。</x:v>
      </x:c>
      <x:c r="Y160" s="37" t="d">
        <x:v>2026-10-09T00:00:00.000Z</x:v>
      </x:c>
      <x:c r="Z160" s="4" t="str">
        <x:v>turn170view4</x:v>
      </x:c>
    </x:row>
    <x:row r="161" ht="30" customHeight="1">
      <x:c r="A161" s="4" t="str">
        <x:v>M0160</x:v>
      </x:c>
      <x:c r="B161" s="4" t="str">
        <x:v>HK</x:v>
      </x:c>
      <x:c r="C161" s="4" t="str">
        <x:v>SLD集團營收</x:v>
      </x:c>
      <x:c r="D161" s="17" t="n">
        <x:v>422703000</x:v>
      </x:c>
      <x:c r="E161" s="4" t="str">
        <x:v>HKD</x:v>
      </x:c>
      <x:c r="F161" s="16" t="n">
        <x:v>2025</x:v>
      </x:c>
      <x:c r="G161" s="4" t="str">
        <x:v>全球合併，含設計及家居產品貿易</x:v>
      </x:c>
      <x:c r="H161" s="4" t="str">
        <x:v>HK10</x:v>
      </x:c>
      <x:c r="I161" s="4" t="str">
        <x:v>https://api.aconnect.com.hk/Attachment/158306</x:v>
      </x:c>
      <x:c r="J161" s="4" t="str">
        <x:v>是</x:v>
      </x:c>
      <x:c r="K161" s="4" t="str">
        <x:v>是</x:v>
      </x:c>
      <x:c r="L161" s="4" t="str">
        <x:v>是</x:v>
      </x:c>
      <x:c r="M161" s="4" t="str">
        <x:v>是</x:v>
      </x:c>
      <x:c r="N161" s="4" t="str">
        <x:v>pass</x:v>
      </x:c>
      <x:c r="O161" s="4" t="str">
        <x:v>A</x:v>
      </x:c>
      <x:c r="P161" s="4" t="str">
        <x:v>是</x:v>
      </x:c>
      <x:c r="Q161" s="17" t="n">
        <x:v>422703000</x:v>
      </x:c>
      <x:c r="R161" s="16" t="n">
        <x:v>2025</x:v>
      </x:c>
      <x:c r="S161" s="4" t="str">
        <x:v>【示意】全球合併，含設計及家居產品貿易；獨立來源1；來源A級</x:v>
      </x:c>
      <x:c r="T161" s="4" t="str">
        <x:v>示意</x:v>
      </x:c>
      <x:c r="U161" s="16" t="n">
        <x:v>1</x:v>
      </x:c>
      <x:c r="V161" s="4" t="str">
        <x:v>低</x:v>
      </x:c>
      <x:c r="W161" s="4" t="str">
        <x:v>SLD2025經審核業績PDF第2頁，HK$千元，Revenue 422,703。</x:v>
      </x:c>
      <x:c r="X161" s="4" t="str">
        <x:v>單一獨立來源；按整合協議低信心，即使A級原始披露亦未達雙源實際門檻。</x:v>
      </x:c>
      <x:c r="Y161" s="37" t="d">
        <x:v>2026-10-09T00:00:00.000Z</x:v>
      </x:c>
      <x:c r="Z161" s="4" t="str">
        <x:v>turn170view2</x:v>
      </x:c>
    </x:row>
    <x:row r="162" ht="30" customHeight="1">
      <x:c r="A162" s="4" t="str">
        <x:v>M0161</x:v>
      </x:c>
      <x:c r="B162" s="4" t="str">
        <x:v>HK</x:v>
      </x:c>
      <x:c r="C162" s="4" t="str">
        <x:v>SLD集團營收</x:v>
      </x:c>
      <x:c r="D162" s="17" t="n">
        <x:v>367695000</x:v>
      </x:c>
      <x:c r="E162" s="4" t="str">
        <x:v>HKD</x:v>
      </x:c>
      <x:c r="F162" s="16" t="n">
        <x:v>2024</x:v>
      </x:c>
      <x:c r="G162" s="4" t="str">
        <x:v>全球合併，非香港市場</x:v>
      </x:c>
      <x:c r="H162" s="4" t="str">
        <x:v>HK10</x:v>
      </x:c>
      <x:c r="I162" s="4" t="str">
        <x:v>https://api.aconnect.com.hk/Attachment/158306</x:v>
      </x:c>
      <x:c r="J162" s="4" t="str">
        <x:v>是</x:v>
      </x:c>
      <x:c r="K162" s="4" t="str">
        <x:v>是</x:v>
      </x:c>
      <x:c r="L162" s="4" t="str">
        <x:v>是</x:v>
      </x:c>
      <x:c r="M162" s="4" t="str">
        <x:v>是</x:v>
      </x:c>
      <x:c r="N162" s="4" t="str">
        <x:v>pass</x:v>
      </x:c>
      <x:c r="O162" s="4" t="str">
        <x:v>A</x:v>
      </x:c>
      <x:c r="P162" s="4" t="str">
        <x:v>是</x:v>
      </x:c>
      <x:c r="Q162" s="17" t="n">
        <x:v>367695000</x:v>
      </x:c>
      <x:c r="R162" s="16" t="n">
        <x:v>2024</x:v>
      </x:c>
      <x:c r="S162" s="4" t="str">
        <x:v>【示意】全球合併，非香港市場；獨立來源1；來源A級</x:v>
      </x:c>
      <x:c r="T162" s="4" t="str">
        <x:v>示意</x:v>
      </x:c>
      <x:c r="U162" s="16" t="n">
        <x:v>1</x:v>
      </x:c>
      <x:c r="V162" s="4" t="str">
        <x:v>低</x:v>
      </x:c>
      <x:c r="W162" s="4" t="str">
        <x:v>同表2024比較欄367,695千港元。</x:v>
      </x:c>
      <x:c r="X162" s="4" t="str">
        <x:v>單一獨立來源；按整合協議低信心，即使A級原始披露亦未達雙源實際門檻。</x:v>
      </x:c>
      <x:c r="Y162" s="37" t="d">
        <x:v>2026-10-09T00:00:00.000Z</x:v>
      </x:c>
      <x:c r="Z162" s="4" t="str">
        <x:v>turn170view2</x:v>
      </x:c>
    </x:row>
    <x:row r="163" ht="30" customHeight="1">
      <x:c r="A163" s="4" t="str">
        <x:v>M0162</x:v>
      </x:c>
      <x:c r="B163" s="4" t="str">
        <x:v>HK</x:v>
      </x:c>
      <x:c r="C163" s="4" t="str">
        <x:v>SLD集團服務收入</x:v>
      </x:c>
      <x:c r="D163" s="17" t="n">
        <x:v>283764000</x:v>
      </x:c>
      <x:c r="E163" s="4" t="str">
        <x:v>HKD</x:v>
      </x:c>
      <x:c r="F163" s="16" t="n">
        <x:v>2025</x:v>
      </x:c>
      <x:c r="G163" s="4" t="str">
        <x:v>各地室內設計、陳設設計及產品設計服務</x:v>
      </x:c>
      <x:c r="H163" s="4" t="str">
        <x:v>HK10</x:v>
      </x:c>
      <x:c r="I163" s="4" t="str">
        <x:v>https://api.aconnect.com.hk/Attachment/158306</x:v>
      </x:c>
      <x:c r="J163" s="4" t="str">
        <x:v>是</x:v>
      </x:c>
      <x:c r="K163" s="4" t="str">
        <x:v>是</x:v>
      </x:c>
      <x:c r="L163" s="4" t="str">
        <x:v>是</x:v>
      </x:c>
      <x:c r="M163" s="4" t="str">
        <x:v>是</x:v>
      </x:c>
      <x:c r="N163" s="4" t="str">
        <x:v>pass</x:v>
      </x:c>
      <x:c r="O163" s="4" t="str">
        <x:v>A</x:v>
      </x:c>
      <x:c r="P163" s="4" t="str">
        <x:v>是</x:v>
      </x:c>
      <x:c r="Q163" s="17" t="n">
        <x:v>283764000</x:v>
      </x:c>
      <x:c r="R163" s="16" t="n">
        <x:v>2025</x:v>
      </x:c>
      <x:c r="S163" s="4" t="str">
        <x:v>【示意】各地室內設計、陳設設計及產品設計服務；獨立來源1；來源A級</x:v>
      </x:c>
      <x:c r="T163" s="4" t="str">
        <x:v>示意</x:v>
      </x:c>
      <x:c r="U163" s="16" t="n">
        <x:v>1</x:v>
      </x:c>
      <x:c r="V163" s="4" t="str">
        <x:v>低</x:v>
      </x:c>
      <x:c r="W163" s="4" t="str">
        <x:v>同公告PDF第8頁：Service revenue 283,764千港元；第9頁說明設計、陳設及產品設計。</x:v>
      </x:c>
      <x:c r="X163" s="4" t="str">
        <x:v>單一獨立來源；按整合協議低信心，即使A級原始披露亦未達雙源實際門檻。</x:v>
      </x:c>
      <x:c r="Y163" s="37" t="d">
        <x:v>2026-10-09T00:00:00.000Z</x:v>
      </x:c>
      <x:c r="Z163" s="4" t="str">
        <x:v>turn170view2</x:v>
      </x:c>
    </x:row>
    <x:row r="164" ht="30" customHeight="1">
      <x:c r="A164" s="4" t="str">
        <x:v>M0163</x:v>
      </x:c>
      <x:c r="B164" s="4" t="str">
        <x:v>HK</x:v>
      </x:c>
      <x:c r="C164" s="4" t="str">
        <x:v>SLD集團中國大陸收入</x:v>
      </x:c>
      <x:c r="D164" s="17" t="n">
        <x:v>367059000</x:v>
      </x:c>
      <x:c r="E164" s="4" t="str">
        <x:v>HKD</x:v>
      </x:c>
      <x:c r="F164" s="16" t="n">
        <x:v>2025</x:v>
      </x:c>
      <x:c r="G164" s="4" t="str">
        <x:v>全球合併收入地理分項</x:v>
      </x:c>
      <x:c r="H164" s="4" t="str">
        <x:v>HK10</x:v>
      </x:c>
      <x:c r="I164" s="4" t="str">
        <x:v>https://api.aconnect.com.hk/Attachment/158306</x:v>
      </x:c>
      <x:c r="J164" s="4" t="str">
        <x:v>是</x:v>
      </x:c>
      <x:c r="K164" s="4" t="str">
        <x:v>是</x:v>
      </x:c>
      <x:c r="L164" s="4" t="str">
        <x:v>是</x:v>
      </x:c>
      <x:c r="M164" s="4" t="str">
        <x:v>是</x:v>
      </x:c>
      <x:c r="N164" s="4" t="str">
        <x:v>pass</x:v>
      </x:c>
      <x:c r="O164" s="4" t="str">
        <x:v>A</x:v>
      </x:c>
      <x:c r="P164" s="4" t="str">
        <x:v>是</x:v>
      </x:c>
      <x:c r="Q164" s="17" t="n">
        <x:v>367059000</x:v>
      </x:c>
      <x:c r="R164" s="16" t="n">
        <x:v>2025</x:v>
      </x:c>
      <x:c r="S164" s="4" t="str">
        <x:v>【示意】全球合併收入地理分項；獨立來源1；來源A級</x:v>
      </x:c>
      <x:c r="T164" s="4" t="str">
        <x:v>示意</x:v>
      </x:c>
      <x:c r="U164" s="16" t="n">
        <x:v>1</x:v>
      </x:c>
      <x:c r="V164" s="4" t="str">
        <x:v>低</x:v>
      </x:c>
      <x:c r="W164" s="4" t="str">
        <x:v>同公告PDF第8頁地理市場Mainland China 367,059千港元。</x:v>
      </x:c>
      <x:c r="X164" s="4" t="str">
        <x:v>單一獨立來源；按整合協議低信心，即使A級原始披露亦未達雙源實際門檻。</x:v>
      </x:c>
      <x:c r="Y164" s="37" t="d">
        <x:v>2026-10-09T00:00:00.000Z</x:v>
      </x:c>
      <x:c r="Z164" s="4" t="str">
        <x:v>turn170view2</x:v>
      </x:c>
    </x:row>
    <x:row r="165" ht="30" customHeight="1">
      <x:c r="A165" s="4" t="str">
        <x:v>M0164</x:v>
      </x:c>
      <x:c r="B165" s="4" t="str">
        <x:v>HK</x:v>
      </x:c>
      <x:c r="C165" s="4" t="str">
        <x:v>SLD集團全年淨利</x:v>
      </x:c>
      <x:c r="D165" s="17" t="n">
        <x:v>10080000</x:v>
      </x:c>
      <x:c r="E165" s="4" t="str">
        <x:v>HKD</x:v>
      </x:c>
      <x:c r="F165" s="16" t="n">
        <x:v>2025</x:v>
      </x:c>
      <x:c r="G165" s="4" t="str">
        <x:v>全年合併淨利，非擁有人應佔淨利</x:v>
      </x:c>
      <x:c r="H165" s="4" t="str">
        <x:v>HK10</x:v>
      </x:c>
      <x:c r="I165" s="4" t="str">
        <x:v>https://api.aconnect.com.hk/Attachment/158306</x:v>
      </x:c>
      <x:c r="J165" s="4" t="str">
        <x:v>是</x:v>
      </x:c>
      <x:c r="K165" s="4" t="str">
        <x:v>是</x:v>
      </x:c>
      <x:c r="L165" s="4" t="str">
        <x:v>是</x:v>
      </x:c>
      <x:c r="M165" s="4" t="str">
        <x:v>是</x:v>
      </x:c>
      <x:c r="N165" s="4" t="str">
        <x:v>pass</x:v>
      </x:c>
      <x:c r="O165" s="4" t="str">
        <x:v>A</x:v>
      </x:c>
      <x:c r="P165" s="4" t="str">
        <x:v>是</x:v>
      </x:c>
      <x:c r="Q165" s="17" t="n">
        <x:v>10080000</x:v>
      </x:c>
      <x:c r="R165" s="16" t="n">
        <x:v>2025</x:v>
      </x:c>
      <x:c r="S165" s="4" t="str">
        <x:v>【示意】全年合併淨利，非擁有人應佔淨利；獨立來源1；來源A級</x:v>
      </x:c>
      <x:c r="T165" s="4" t="str">
        <x:v>示意</x:v>
      </x:c>
      <x:c r="U165" s="16" t="n">
        <x:v>1</x:v>
      </x:c>
      <x:c r="V165" s="4" t="str">
        <x:v>低</x:v>
      </x:c>
      <x:c r="W165" s="4" t="str">
        <x:v>同公告PDF第2–3頁Profit for the year 10,080千港元；Owners 11,189另列，沒有混用。</x:v>
      </x:c>
      <x:c r="X165" s="4" t="str">
        <x:v>單一獨立來源；按整合協議低信心，即使A級原始披露亦未達雙源實際門檻。</x:v>
      </x:c>
      <x:c r="Y165" s="37" t="d">
        <x:v>2026-10-09T00:00:00.000Z</x:v>
      </x:c>
      <x:c r="Z165" s="4" t="str">
        <x:v>turn170view2</x:v>
      </x:c>
    </x:row>
    <x:row r="166" ht="30" customHeight="1">
      <x:c r="A166" s="4" t="str">
        <x:v>M0165</x:v>
      </x:c>
      <x:c r="B166" s="4" t="str">
        <x:v>HK</x:v>
      </x:c>
      <x:c r="C166" s="4" t="str">
        <x:v>SLD全職員工</x:v>
      </x:c>
      <x:c r="D166" s="17" t="n">
        <x:v>413</x:v>
      </x:c>
      <x:c r="E166" s="4" t="str">
        <x:v>人</x:v>
      </x:c>
      <x:c r="F166" s="16" t="n">
        <x:v>2025</x:v>
      </x:c>
      <x:c r="G166" s="4" t="str">
        <x:v>全球員工，不是香港設計師數</x:v>
      </x:c>
      <x:c r="H166" s="4" t="str">
        <x:v>HK10</x:v>
      </x:c>
      <x:c r="I166" s="4" t="str">
        <x:v>https://api.aconnect.com.hk/Attachment/158306</x:v>
      </x:c>
      <x:c r="J166" s="4" t="str">
        <x:v>是</x:v>
      </x:c>
      <x:c r="K166" s="4" t="str">
        <x:v>是</x:v>
      </x:c>
      <x:c r="L166" s="4" t="str">
        <x:v>是</x:v>
      </x:c>
      <x:c r="M166" s="4" t="str">
        <x:v>是</x:v>
      </x:c>
      <x:c r="N166" s="4" t="str">
        <x:v>pass</x:v>
      </x:c>
      <x:c r="O166" s="4" t="str">
        <x:v>A</x:v>
      </x:c>
      <x:c r="P166" s="4" t="str">
        <x:v>是</x:v>
      </x:c>
      <x:c r="Q166" s="17" t="n">
        <x:v>413</x:v>
      </x:c>
      <x:c r="R166" s="16" t="n">
        <x:v>2025</x:v>
      </x:c>
      <x:c r="S166" s="4" t="str">
        <x:v>【示意】全球員工，不是香港設計師數；獨立來源1；來源A級</x:v>
      </x:c>
      <x:c r="T166" s="4" t="str">
        <x:v>示意</x:v>
      </x:c>
      <x:c r="U166" s="16" t="n">
        <x:v>1</x:v>
      </x:c>
      <x:c r="V166" s="4" t="str">
        <x:v>低</x:v>
      </x:c>
      <x:c r="W166" s="4" t="str">
        <x:v>同公告PDF第40頁：截至2025-12-31全職員工413。</x:v>
      </x:c>
      <x:c r="X166" s="4" t="str">
        <x:v>單一獨立來源；按整合協議低信心，即使A級原始披露亦未達雙源實際門檻。</x:v>
      </x:c>
      <x:c r="Y166" s="37" t="d">
        <x:v>2026-10-09T00:00:00.000Z</x:v>
      </x:c>
      <x:c r="Z166" s="4" t="str">
        <x:v>turn170view2</x:v>
      </x:c>
    </x:row>
    <x:row r="167" ht="38" customHeight="1">
      <x:c r="A167" s="4" t="str">
        <x:v>M0166</x:v>
      </x:c>
      <x:c r="B167" s="4" t="str">
        <x:v>HK</x:v>
      </x:c>
      <x:c r="C167" s="4" t="str">
        <x:v>預防性維修資助計劃涵蓋住宅</x:v>
      </x:c>
      <x:c r="D167" s="17" t="n">
        <x:v>7600</x:v>
      </x:c>
      <x:c r="E167" s="4" t="str">
        <x:v>戶以上</x:v>
      </x:c>
      <x:c r="F167" s="16" t="n">
        <x:v>2025</x:v>
      </x:c>
      <x:c r="G167" s="4" t="str">
        <x:v>截至2025年5月申請，不是已完成室內翻修</x:v>
      </x:c>
      <x:c r="H167" s="4" t="str">
        <x:v>HK11</x:v>
      </x:c>
      <x:c r="I167" s="4" t="str">
        <x:v>https://www.ura.org.hk/tc/news-centre/managing-director-s-blog/mdblog_20250614</x:v>
      </x:c>
      <x:c r="J167" s="4" t="str">
        <x:v>是</x:v>
      </x:c>
      <x:c r="K167" s="4" t="str">
        <x:v>是</x:v>
      </x:c>
      <x:c r="L167" s="4" t="str">
        <x:v>是</x:v>
      </x:c>
      <x:c r="M167" s="4" t="str">
        <x:v>是</x:v>
      </x:c>
      <x:c r="N167" s="4" t="str">
        <x:v>pass</x:v>
      </x:c>
      <x:c r="O167" s="4" t="str">
        <x:v>A</x:v>
      </x:c>
      <x:c r="P167" s="4" t="str">
        <x:v>是</x:v>
      </x:c>
      <x:c r="Q167" s="17" t="n">
        <x:v>7600</x:v>
      </x:c>
      <x:c r="R167" s="16" t="n">
        <x:v>2025</x:v>
      </x:c>
      <x:c r="S167" s="4" t="str">
        <x:v>【示意】截至2025年5月申請，不是已完成室內翻修；獨立來源1；來源A級</x:v>
      </x:c>
      <x:c r="T167" s="4" t="str">
        <x:v>示意</x:v>
      </x:c>
      <x:c r="U167" s="16" t="n">
        <x:v>1</x:v>
      </x:c>
      <x:c r="V167" s="4" t="str">
        <x:v>低</x:v>
      </x:c>
      <x:c r="W167" s="4" t="str">
        <x:v>市建局2025-06-14網誌L103：截至當年5月，申請涉及超過7,600戶。</x:v>
      </x:c>
      <x:c r="X167" s="4" t="str">
        <x:v>單一獨立來源；按整合協議低信心，即使A級原始披露亦未達雙源實際門檻。</x:v>
      </x:c>
      <x:c r="Y167" s="37" t="d">
        <x:v>2026-10-09T00:00:00.000Z</x:v>
      </x:c>
      <x:c r="Z167" s="4" t="str">
        <x:v>turn170view3</x:v>
      </x:c>
    </x:row>
    <x:row r="168" ht="38" customHeight="1">
      <x:c r="A168" s="4" t="str">
        <x:v>M0167</x:v>
      </x:c>
      <x:c r="B168" s="4" t="str">
        <x:v>HK</x:v>
      </x:c>
      <x:c r="C168" s="4" t="str">
        <x:v>樓宇維修保養計畫周期</x:v>
      </x:c>
      <x:c r="D168" s="17" t="n">
        <x:v>10</x:v>
      </x:c>
      <x:c r="E168" s="4" t="str">
        <x:v>年</x:v>
      </x:c>
      <x:c r="F168" s="16" t="n">
        <x:v>2025</x:v>
      </x:c>
      <x:c r="G168" s="4" t="str">
        <x:v>市建局計劃，不是家戶室內重新裝潢週期</x:v>
      </x:c>
      <x:c r="H168" s="4" t="str">
        <x:v>HK11</x:v>
      </x:c>
      <x:c r="I168" s="4" t="str">
        <x:v>https://www.ura.org.hk/tc/news-centre/managing-director-s-blog/mdblog_20250614</x:v>
      </x:c>
      <x:c r="J168" s="4" t="str">
        <x:v>是</x:v>
      </x:c>
      <x:c r="K168" s="4" t="str">
        <x:v>是</x:v>
      </x:c>
      <x:c r="L168" s="4" t="str">
        <x:v>是</x:v>
      </x:c>
      <x:c r="M168" s="4" t="str">
        <x:v>是</x:v>
      </x:c>
      <x:c r="N168" s="4" t="str">
        <x:v>pass</x:v>
      </x:c>
      <x:c r="O168" s="4" t="str">
        <x:v>A</x:v>
      </x:c>
      <x:c r="P168" s="4" t="str">
        <x:v>是</x:v>
      </x:c>
      <x:c r="Q168" s="17" t="n">
        <x:v>10</x:v>
      </x:c>
      <x:c r="R168" s="16" t="n">
        <x:v>2025</x:v>
      </x:c>
      <x:c r="S168" s="4" t="str">
        <x:v>【示意】市建局計劃，不是家戶室內重新裝潢週期；獨立來源1；來源A級</x:v>
      </x:c>
      <x:c r="T168" s="4" t="str">
        <x:v>示意</x:v>
      </x:c>
      <x:c r="U168" s="16" t="n">
        <x:v>1</x:v>
      </x:c>
      <x:c r="V168" s="4" t="str">
        <x:v>低</x:v>
      </x:c>
      <x:c r="W168" s="4" t="str">
        <x:v>同網誌L101：以10年為一周期制定維修保養計劃，非室內重裝週期。</x:v>
      </x:c>
      <x:c r="X168" s="4" t="str">
        <x:v>單一獨立來源；按整合協議低信心，即使A級原始披露亦未達雙源實際門檻。</x:v>
      </x:c>
      <x:c r="Y168" s="37" t="d">
        <x:v>2026-10-09T00:00:00.000Z</x:v>
      </x:c>
      <x:c r="Z168" s="4" t="str">
        <x:v>turn170view3</x:v>
      </x:c>
    </x:row>
    <x:row r="169" ht="52" customHeight="1">
      <x:c r="A169" s="4" t="str">
        <x:v>M0168</x:v>
      </x:c>
      <x:c r="B169" s="4" t="str">
        <x:v>HK</x:v>
      </x:c>
      <x:c r="C169" s="4" t="str">
        <x:v>Arcadis建造投標價格指數年變動</x:v>
      </x:c>
      <x:c r="D169" s="19" t="n">
        <x:v>-1.5</x:v>
      </x:c>
      <x:c r="E169" s="4" t="str">
        <x:v>%</x:v>
      </x:c>
      <x:c r="F169" s="16" t="n">
        <x:v>2025</x:v>
      </x:c>
      <x:c r="G169" s="4" t="str">
        <x:v>香港總體建造，不是單純住宅裝修價格指數</x:v>
      </x:c>
      <x:c r="H169" s="4" t="str">
        <x:v>HK12</x:v>
      </x:c>
      <x:c r="I169" s="4" t="str">
        <x:v>https://media.arcadis.com/-/media/project/arcadiscom/com/perspectives/asia/publications/cch/2026/cnhk-cost-handbook-2026-cn.pdf?rev=2ca3da9efc8d465dab292a4fbd8c847b</x:v>
      </x:c>
      <x:c r="J169" s="4" t="str">
        <x:v>是</x:v>
      </x:c>
      <x:c r="K169" s="4" t="str">
        <x:v>是</x:v>
      </x:c>
      <x:c r="L169" s="4" t="str">
        <x:v>是</x:v>
      </x:c>
      <x:c r="M169" s="4" t="str">
        <x:v>是</x:v>
      </x:c>
      <x:c r="N169" s="4" t="str">
        <x:v>pass</x:v>
      </x:c>
      <x:c r="O169" s="4" t="str">
        <x:v>B</x:v>
      </x:c>
      <x:c r="P169" s="4" t="str">
        <x:v>是</x:v>
      </x:c>
      <x:c r="Q169" s="19" t="n">
        <x:v>-1.5</x:v>
      </x:c>
      <x:c r="R169" s="16" t="n">
        <x:v>2025</x:v>
      </x:c>
      <x:c r="S169" s="4" t="str">
        <x:v>【示意】香港總體建造，不是單純住宅裝修價格指數；獨立來源1；來源B級</x:v>
      </x:c>
      <x:c r="T169" s="4" t="str">
        <x:v>示意</x:v>
      </x:c>
      <x:c r="U169" s="16" t="n">
        <x:v>1</x:v>
      </x:c>
      <x:c r="V169" s="4" t="str">
        <x:v>低</x:v>
      </x:c>
      <x:c r="W169" s="4" t="str">
        <x:v>本地Arcadis2026 PDF第26頁／印刷47頁：2025香港TPI同比下降1.5%。</x:v>
      </x:c>
      <x:c r="X169" s="4" t="str">
        <x:v>web open先返回Internal Error；本輪改用直接HTTP成功讀取22,591,045 bytes，SHA256 b0364877376bd89bfd771502643f5a7104297d814493f4603cd8dc454968e69f 與本地PDF一致；逐頁數值、年份及定義均通過。B級顧問報告，單源低信心。</x:v>
      </x:c>
      <x:c r="Y169" s="37" t="d">
        <x:v>2026-10-09T00:00:00.000Z</x:v>
      </x:c>
      <x:c r="Z169" s="4" t="str">
        <x:v>local:research/arcadis2026_cn.pdf</x:v>
      </x:c>
    </x:row>
    <x:row r="170" ht="52" customHeight="1">
      <x:c r="A170" s="4" t="str">
        <x:v>M0169</x:v>
      </x:c>
      <x:c r="B170" s="4" t="str">
        <x:v>HK</x:v>
      </x:c>
      <x:c r="C170" s="4" t="str">
        <x:v>一般寫字樓装修成本低值</x:v>
      </x:c>
      <x:c r="D170" s="17" t="n">
        <x:v>7400</x:v>
      </x:c>
      <x:c r="E170" s="4" t="str">
        <x:v>HKD/m²</x:v>
      </x:c>
      <x:c r="F170" s="16" t="str">
        <x:v>2025Q4</x:v>
      </x:c>
      <x:c r="G170" s="4" t="str">
        <x:v>含家具隔間電氣與小幅空調消防改動；不含電話資料線辦公設備</x:v>
      </x:c>
      <x:c r="H170" s="4" t="str">
        <x:v>HK12</x:v>
      </x:c>
      <x:c r="I170" s="4" t="str">
        <x:v>https://media.arcadis.com/-/media/project/arcadiscom/com/perspectives/asia/publications/cch/2026/cnhk-cost-handbook-2026-cn.pdf?rev=2ca3da9efc8d465dab292a4fbd8c847b</x:v>
      </x:c>
      <x:c r="J170" s="4" t="str">
        <x:v>是</x:v>
      </x:c>
      <x:c r="K170" s="4" t="str">
        <x:v>是</x:v>
      </x:c>
      <x:c r="L170" s="4" t="str">
        <x:v>是</x:v>
      </x:c>
      <x:c r="M170" s="4" t="str">
        <x:v>是</x:v>
      </x:c>
      <x:c r="N170" s="4" t="str">
        <x:v>pass</x:v>
      </x:c>
      <x:c r="O170" s="4" t="str">
        <x:v>B</x:v>
      </x:c>
      <x:c r="P170" s="4" t="str">
        <x:v>是</x:v>
      </x:c>
      <x:c r="Q170" s="17" t="n">
        <x:v>7400</x:v>
      </x:c>
      <x:c r="R170" s="16" t="str">
        <x:v>2025Q4</x:v>
      </x:c>
      <x:c r="S170" s="4" t="str">
        <x:v>【示意】含家具隔間電氣與小幅空調消防改動；不含電話資料線辦公設備；獨立來源1；來源B級</x:v>
      </x:c>
      <x:c r="T170" s="4" t="str">
        <x:v>示意</x:v>
      </x:c>
      <x:c r="U170" s="16" t="n">
        <x:v>1</x:v>
      </x:c>
      <x:c r="V170" s="4" t="str">
        <x:v>低</x:v>
      </x:c>
      <x:c r="W170" s="4" t="str">
        <x:v>同PDF第9頁／印刷13頁：一般寫字樓7,400–11,400港元/m²；頁尾2025Q4；含家具、隔間、電氣與小幅機電調整。</x:v>
      </x:c>
      <x:c r="X170" s="4" t="str">
        <x:v>web open先返回Internal Error；本輪改用直接HTTP成功讀取22,591,045 bytes，SHA256 b0364877376bd89bfd771502643f5a7104297d814493f4603cd8dc454968e69f 與本地PDF一致；逐頁數值、年份及定義均通過。B級顧問報告，單源低信心。</x:v>
      </x:c>
      <x:c r="Y170" s="37" t="d">
        <x:v>2026-10-09T00:00:00.000Z</x:v>
      </x:c>
      <x:c r="Z170" s="4" t="str">
        <x:v>local:research/arcadis2026_cn.pdf</x:v>
      </x:c>
    </x:row>
    <x:row r="171" ht="52" customHeight="1">
      <x:c r="A171" s="4" t="str">
        <x:v>M0170</x:v>
      </x:c>
      <x:c r="B171" s="4" t="str">
        <x:v>HK</x:v>
      </x:c>
      <x:c r="C171" s="4" t="str">
        <x:v>一般寫字樓装修成本高值</x:v>
      </x:c>
      <x:c r="D171" s="17" t="n">
        <x:v>11400</x:v>
      </x:c>
      <x:c r="E171" s="4" t="str">
        <x:v>HKD/m²</x:v>
      </x:c>
      <x:c r="F171" s="16" t="str">
        <x:v>2025Q4</x:v>
      </x:c>
      <x:c r="G171" s="4" t="str">
        <x:v>與低值相同口徑，不可當住宅價</x:v>
      </x:c>
      <x:c r="H171" s="4" t="str">
        <x:v>HK12</x:v>
      </x:c>
      <x:c r="I171" s="4" t="str">
        <x:v>https://media.arcadis.com/-/media/project/arcadiscom/com/perspectives/asia/publications/cch/2026/cnhk-cost-handbook-2026-cn.pdf?rev=2ca3da9efc8d465dab292a4fbd8c847b</x:v>
      </x:c>
      <x:c r="J171" s="4" t="str">
        <x:v>是</x:v>
      </x:c>
      <x:c r="K171" s="4" t="str">
        <x:v>是</x:v>
      </x:c>
      <x:c r="L171" s="4" t="str">
        <x:v>是</x:v>
      </x:c>
      <x:c r="M171" s="4" t="str">
        <x:v>是</x:v>
      </x:c>
      <x:c r="N171" s="4" t="str">
        <x:v>pass</x:v>
      </x:c>
      <x:c r="O171" s="4" t="str">
        <x:v>B</x:v>
      </x:c>
      <x:c r="P171" s="4" t="str">
        <x:v>是</x:v>
      </x:c>
      <x:c r="Q171" s="17" t="n">
        <x:v>11400</x:v>
      </x:c>
      <x:c r="R171" s="16" t="str">
        <x:v>2025Q4</x:v>
      </x:c>
      <x:c r="S171" s="4" t="str">
        <x:v>【示意】與低值相同口徑，不可當住宅價；獨立來源1；來源B級</x:v>
      </x:c>
      <x:c r="T171" s="4" t="str">
        <x:v>示意</x:v>
      </x:c>
      <x:c r="U171" s="16" t="n">
        <x:v>1</x:v>
      </x:c>
      <x:c r="V171" s="4" t="str">
        <x:v>低</x:v>
      </x:c>
      <x:c r="W171" s="4" t="str">
        <x:v>同PDF第9頁／印刷13頁，區間上端11,400；不含電話資料布線與辦公設備。</x:v>
      </x:c>
      <x:c r="X171" s="4" t="str">
        <x:v>web open先返回Internal Error；本輪改用直接HTTP成功讀取22,591,045 bytes，SHA256 b0364877376bd89bfd771502643f5a7104297d814493f4603cd8dc454968e69f 與本地PDF一致；逐頁數值、年份及定義均通過。B級顧問報告，單源低信心。</x:v>
      </x:c>
      <x:c r="Y171" s="37" t="d">
        <x:v>2026-10-09T00:00:00.000Z</x:v>
      </x:c>
      <x:c r="Z171" s="4" t="str">
        <x:v>local:research/arcadis2026_cn.pdf</x:v>
      </x:c>
    </x:row>
    <x:row r="172" ht="52" customHeight="1">
      <x:c r="A172" s="4" t="str">
        <x:v>M0171</x:v>
      </x:c>
      <x:c r="B172" s="4" t="str">
        <x:v>HK</x:v>
      </x:c>
      <x:c r="C172" s="4" t="str">
        <x:v>一般餐廳装修成本低值</x:v>
      </x:c>
      <x:c r="D172" s="17" t="n">
        <x:v>13300</x:v>
      </x:c>
      <x:c r="E172" s="4" t="str">
        <x:v>HKD/m²</x:v>
      </x:c>
      <x:c r="F172" s="16" t="str">
        <x:v>2025Q4</x:v>
      </x:c>
      <x:c r="G172" s="4" t="str">
        <x:v>含家具及局部機電；不含煙道營運設備</x:v>
      </x:c>
      <x:c r="H172" s="4" t="str">
        <x:v>HK12</x:v>
      </x:c>
      <x:c r="I172" s="4" t="str">
        <x:v>https://media.arcadis.com/-/media/project/arcadiscom/com/perspectives/asia/publications/cch/2026/cnhk-cost-handbook-2026-cn.pdf?rev=2ca3da9efc8d465dab292a4fbd8c847b</x:v>
      </x:c>
      <x:c r="J172" s="4" t="str">
        <x:v>是</x:v>
      </x:c>
      <x:c r="K172" s="4" t="str">
        <x:v>是</x:v>
      </x:c>
      <x:c r="L172" s="4" t="str">
        <x:v>是</x:v>
      </x:c>
      <x:c r="M172" s="4" t="str">
        <x:v>是</x:v>
      </x:c>
      <x:c r="N172" s="4" t="str">
        <x:v>pass</x:v>
      </x:c>
      <x:c r="O172" s="4" t="str">
        <x:v>B</x:v>
      </x:c>
      <x:c r="P172" s="4" t="str">
        <x:v>是</x:v>
      </x:c>
      <x:c r="Q172" s="17" t="n">
        <x:v>13300</x:v>
      </x:c>
      <x:c r="R172" s="16" t="str">
        <x:v>2025Q4</x:v>
      </x:c>
      <x:c r="S172" s="4" t="str">
        <x:v>【示意】含家具及局部機電；不含煙道營運設備；獨立來源1；來源B級</x:v>
      </x:c>
      <x:c r="T172" s="4" t="str">
        <x:v>示意</x:v>
      </x:c>
      <x:c r="U172" s="16" t="n">
        <x:v>1</x:v>
      </x:c>
      <x:c r="V172" s="4" t="str">
        <x:v>低</x:v>
      </x:c>
      <x:c r="W172" s="4" t="str">
        <x:v>同PDF第9頁／印刷14頁：一般餐廳13,300–20,700港元/m²；不含煙道營運設備；頁尾2025Q4。</x:v>
      </x:c>
      <x:c r="X172" s="4" t="str">
        <x:v>web open先返回Internal Error；本輪改用直接HTTP成功讀取22,591,045 bytes，SHA256 b0364877376bd89bfd771502643f5a7104297d814493f4603cd8dc454968e69f 與本地PDF一致；逐頁數值、年份及定義均通過。B級顧問報告，單源低信心。</x:v>
      </x:c>
      <x:c r="Y172" s="37" t="d">
        <x:v>2026-10-09T00:00:00.000Z</x:v>
      </x:c>
      <x:c r="Z172" s="4" t="str">
        <x:v>local:research/arcadis2026_cn.pdf</x:v>
      </x:c>
    </x:row>
    <x:row r="173" ht="52" customHeight="1">
      <x:c r="A173" s="4" t="str">
        <x:v>M0172</x:v>
      </x:c>
      <x:c r="B173" s="4" t="str">
        <x:v>HK</x:v>
      </x:c>
      <x:c r="C173" s="4" t="str">
        <x:v>一般餐廳装修成本高值</x:v>
      </x:c>
      <x:c r="D173" s="17" t="n">
        <x:v>20700</x:v>
      </x:c>
      <x:c r="E173" s="4" t="str">
        <x:v>HKD/m²</x:v>
      </x:c>
      <x:c r="F173" s="16" t="str">
        <x:v>2025Q4</x:v>
      </x:c>
      <x:c r="G173" s="4" t="str">
        <x:v>不含煙道與營運設備</x:v>
      </x:c>
      <x:c r="H173" s="4" t="str">
        <x:v>HK12</x:v>
      </x:c>
      <x:c r="I173" s="4" t="str">
        <x:v>https://media.arcadis.com/-/media/project/arcadiscom/com/perspectives/asia/publications/cch/2026/cnhk-cost-handbook-2026-cn.pdf?rev=2ca3da9efc8d465dab292a4fbd8c847b</x:v>
      </x:c>
      <x:c r="J173" s="4" t="str">
        <x:v>是</x:v>
      </x:c>
      <x:c r="K173" s="4" t="str">
        <x:v>是</x:v>
      </x:c>
      <x:c r="L173" s="4" t="str">
        <x:v>是</x:v>
      </x:c>
      <x:c r="M173" s="4" t="str">
        <x:v>是</x:v>
      </x:c>
      <x:c r="N173" s="4" t="str">
        <x:v>pass</x:v>
      </x:c>
      <x:c r="O173" s="4" t="str">
        <x:v>B</x:v>
      </x:c>
      <x:c r="P173" s="4" t="str">
        <x:v>是</x:v>
      </x:c>
      <x:c r="Q173" s="17" t="n">
        <x:v>20700</x:v>
      </x:c>
      <x:c r="R173" s="16" t="str">
        <x:v>2025Q4</x:v>
      </x:c>
      <x:c r="S173" s="4" t="str">
        <x:v>【示意】不含煙道與營運設備；獨立來源1；來源B級</x:v>
      </x:c>
      <x:c r="T173" s="4" t="str">
        <x:v>示意</x:v>
      </x:c>
      <x:c r="U173" s="16" t="n">
        <x:v>1</x:v>
      </x:c>
      <x:c r="V173" s="4" t="str">
        <x:v>低</x:v>
      </x:c>
      <x:c r="W173" s="4" t="str">
        <x:v>同PDF第9頁／印刷14頁，區間上端20,700。</x:v>
      </x:c>
      <x:c r="X173" s="4" t="str">
        <x:v>web open先返回Internal Error；本輪改用直接HTTP成功讀取22,591,045 bytes，SHA256 b0364877376bd89bfd771502643f5a7104297d814493f4603cd8dc454968e69f 與本地PDF一致；逐頁數值、年份及定義均通過。B級顧問報告，單源低信心。</x:v>
      </x:c>
      <x:c r="Y173" s="37" t="d">
        <x:v>2026-10-09T00:00:00.000Z</x:v>
      </x:c>
      <x:c r="Z173" s="4" t="str">
        <x:v>local:research/arcadis2026_cn.pdf</x:v>
      </x:c>
    </x:row>
    <x:row r="174" ht="38" customHeight="1">
      <x:c r="A174" s="4" t="str">
        <x:v>M0173</x:v>
      </x:c>
      <x:c r="B174" s="4" t="str">
        <x:v>HK</x:v>
      </x:c>
      <x:c r="C174" s="4" t="str">
        <x:v>人均GDP</x:v>
      </x:c>
      <x:c r="D174" s="21" t="n">
        <x:v>56983.066</x:v>
      </x:c>
      <x:c r="E174" s="4" t="str">
        <x:v>USD/人</x:v>
      </x:c>
      <x:c r="F174" s="16" t="n">
        <x:v>2025</x:v>
      </x:c>
      <x:c r="G174" s="4" t="str">
        <x:v>名目、現價美元；WDI 2025歷史數列，可能修訂，非家庭可支配所得</x:v>
      </x:c>
      <x:c r="H174" s="4" t="str">
        <x:v>MHK</x:v>
      </x:c>
      <x:c r="I174" s="4" t="str">
        <x:v>https://data.worldbank.org/country/hong-kong-sar-china</x:v>
      </x:c>
      <x:c r="J174" s="4" t="str">
        <x:v>是</x:v>
      </x:c>
      <x:c r="K174" s="4" t="str">
        <x:v>是</x:v>
      </x:c>
      <x:c r="L174" s="4" t="str">
        <x:v>是</x:v>
      </x:c>
      <x:c r="M174" s="4" t="str">
        <x:v>是</x:v>
      </x:c>
      <x:c r="N174" s="4" t="str">
        <x:v>pass</x:v>
      </x:c>
      <x:c r="O174" s="4" t="str">
        <x:v>A</x:v>
      </x:c>
      <x:c r="P174" s="4" t="str">
        <x:v>是</x:v>
      </x:c>
      <x:c r="Q174" s="21" t="n">
        <x:v>56983.066</x:v>
      </x:c>
      <x:c r="R174" s="16" t="n">
        <x:v>2025</x:v>
      </x:c>
      <x:c r="S174" s="4" t="str">
        <x:v>【示意】名目、現價美元；WDI 2025歷史數列，可能修訂，非家庭可支配所得；獨立來源1；來源A級</x:v>
      </x:c>
      <x:c r="T174" s="4" t="str">
        <x:v>示意</x:v>
      </x:c>
      <x:c r="U174" s="16" t="n">
        <x:v>1</x:v>
      </x:c>
      <x:c r="V174" s="4" t="str">
        <x:v>低</x:v>
      </x:c>
      <x:c r="W174" s="4" t="str">
        <x:v>WDI國家頁Latest value(2025)：人均GDP=56983.066 USD/人；人口=7498900 人；GDP=427310000000.0 USD。GDP和CN/IN人口按頁面取整，不提高精度。</x:v>
      </x:c>
      <x:c r="X174" s="4" t="str">
        <x:v>單一獨立原始機構，依協議第4條低信心示意；A/B來源等級不等於已三角驗證。</x:v>
      </x:c>
      <x:c r="Y174" s="37" t="d">
        <x:v>2026-10-09T00:00:00.000Z</x:v>
      </x:c>
      <x:c r="Z174" s="4" t="str">
        <x:v>turn215view3</x:v>
      </x:c>
    </x:row>
    <x:row r="175" ht="38" customHeight="1">
      <x:c r="A175" s="4" t="str">
        <x:v>M0174</x:v>
      </x:c>
      <x:c r="B175" s="4" t="str">
        <x:v>HK</x:v>
      </x:c>
      <x:c r="C175" s="4" t="str">
        <x:v>人口</x:v>
      </x:c>
      <x:c r="D175" s="17" t="n">
        <x:v>7498900</x:v>
      </x:c>
      <x:c r="E175" s="4" t="str">
        <x:v>人</x:v>
      </x:c>
      <x:c r="F175" s="16" t="n">
        <x:v>2025</x:v>
      </x:c>
      <x:c r="G175" s="4" t="str">
        <x:v>WDI 2025；CN、IN為頁面billion顯示的四捨五入值，其餘依顯示人數</x:v>
      </x:c>
      <x:c r="H175" s="4" t="str">
        <x:v>MHK</x:v>
      </x:c>
      <x:c r="I175" s="4" t="str">
        <x:v>https://data.worldbank.org/country/hong-kong-sar-china</x:v>
      </x:c>
      <x:c r="J175" s="4" t="str">
        <x:v>是</x:v>
      </x:c>
      <x:c r="K175" s="4" t="str">
        <x:v>是</x:v>
      </x:c>
      <x:c r="L175" s="4" t="str">
        <x:v>是</x:v>
      </x:c>
      <x:c r="M175" s="4" t="str">
        <x:v>是</x:v>
      </x:c>
      <x:c r="N175" s="4" t="str">
        <x:v>pass</x:v>
      </x:c>
      <x:c r="O175" s="4" t="str">
        <x:v>A</x:v>
      </x:c>
      <x:c r="P175" s="4" t="str">
        <x:v>是</x:v>
      </x:c>
      <x:c r="Q175" s="17" t="n">
        <x:v>7498900</x:v>
      </x:c>
      <x:c r="R175" s="16" t="n">
        <x:v>2025</x:v>
      </x:c>
      <x:c r="S175" s="4" t="str">
        <x:v>【示意】WDI 2025；CN、IN為頁面billion顯示的四捨五入值，其餘依顯示人數；獨立來源1；來源A級</x:v>
      </x:c>
      <x:c r="T175" s="4" t="str">
        <x:v>示意</x:v>
      </x:c>
      <x:c r="U175" s="16" t="n">
        <x:v>1</x:v>
      </x:c>
      <x:c r="V175" s="4" t="str">
        <x:v>低</x:v>
      </x:c>
      <x:c r="W175" s="4" t="str">
        <x:v>WDI國家頁Latest value(2025)：人均GDP=56983.066 USD/人；人口=7498900 人；GDP=427310000000.0 USD。GDP和CN/IN人口按頁面取整，不提高精度。</x:v>
      </x:c>
      <x:c r="X175" s="4" t="str">
        <x:v>單一獨立原始機構，依協議第4條低信心示意；A/B來源等級不等於已三角驗證。</x:v>
      </x:c>
      <x:c r="Y175" s="37" t="d">
        <x:v>2026-10-09T00:00:00.000Z</x:v>
      </x:c>
      <x:c r="Z175" s="4" t="str">
        <x:v>turn215view3</x:v>
      </x:c>
    </x:row>
    <x:row r="176" ht="38" customHeight="1">
      <x:c r="A176" s="4" t="str">
        <x:v>M0175</x:v>
      </x:c>
      <x:c r="B176" s="4" t="str">
        <x:v>HK</x:v>
      </x:c>
      <x:c r="C176" s="4" t="str">
        <x:v>GDP</x:v>
      </x:c>
      <x:c r="D176" s="17" t="n">
        <x:v>427310000000</x:v>
      </x:c>
      <x:c r="E176" s="4" t="str">
        <x:v>USD</x:v>
      </x:c>
      <x:c r="F176" s="16" t="n">
        <x:v>2025</x:v>
      </x:c>
      <x:c r="G176" s="4" t="str">
        <x:v>WDI 2025現價；頁面billion/trillion四捨五入值</x:v>
      </x:c>
      <x:c r="H176" s="4" t="str">
        <x:v>MHK</x:v>
      </x:c>
      <x:c r="I176" s="4" t="str">
        <x:v>https://data.worldbank.org/country/hong-kong-sar-china</x:v>
      </x:c>
      <x:c r="J176" s="4" t="str">
        <x:v>是</x:v>
      </x:c>
      <x:c r="K176" s="4" t="str">
        <x:v>是</x:v>
      </x:c>
      <x:c r="L176" s="4" t="str">
        <x:v>是</x:v>
      </x:c>
      <x:c r="M176" s="4" t="str">
        <x:v>是</x:v>
      </x:c>
      <x:c r="N176" s="4" t="str">
        <x:v>pass</x:v>
      </x:c>
      <x:c r="O176" s="4" t="str">
        <x:v>A</x:v>
      </x:c>
      <x:c r="P176" s="4" t="str">
        <x:v>是</x:v>
      </x:c>
      <x:c r="Q176" s="17" t="n">
        <x:v>427310000000</x:v>
      </x:c>
      <x:c r="R176" s="16" t="n">
        <x:v>2025</x:v>
      </x:c>
      <x:c r="S176" s="4" t="str">
        <x:v>【示意】WDI 2025現價；頁面billion/trillion四捨五入值；獨立來源1；來源A級</x:v>
      </x:c>
      <x:c r="T176" s="4" t="str">
        <x:v>示意</x:v>
      </x:c>
      <x:c r="U176" s="16" t="n">
        <x:v>1</x:v>
      </x:c>
      <x:c r="V176" s="4" t="str">
        <x:v>低</x:v>
      </x:c>
      <x:c r="W176" s="4" t="str">
        <x:v>WDI國家頁Latest value(2025)：人均GDP=56983.066 USD/人；人口=7498900 人；GDP=427310000000.0 USD。GDP和CN/IN人口按頁面取整，不提高精度。</x:v>
      </x:c>
      <x:c r="X176" s="4" t="str">
        <x:v>單一獨立原始機構，依協議第4條低信心示意；A/B來源等級不等於已三角驗證。</x:v>
      </x:c>
      <x:c r="Y176" s="37" t="d">
        <x:v>2026-10-09T00:00:00.000Z</x:v>
      </x:c>
      <x:c r="Z176" s="4" t="str">
        <x:v>turn215view3</x:v>
      </x:c>
    </x:row>
    <x:row r="177" ht="38" customHeight="1">
      <x:c r="A177" s="4" t="str">
        <x:v>M0176</x:v>
      </x:c>
      <x:c r="B177" s="4" t="str">
        <x:v>HK</x:v>
      </x:c>
      <x:c r="C177" s="4" t="str">
        <x:v>香港商辦裝修成本</x:v>
      </x:c>
      <x:c r="D177" s="20" t="n">
        <x:v>1722.2256666735555</x:v>
      </x:c>
      <x:c r="E177" s="4" t="str">
        <x:v>USD/m²</x:v>
      </x:c>
      <x:c r="F177" s="16" t="n">
        <x:v>2026</x:v>
      </x:c>
      <x:c r="G177" s="4" t="str">
        <x:v>C&amp;W 2026商辦fit-out，價格基準2025年12月；USD/ft²÷0.09290304，非住宅報價，報告自身匯率</x:v>
      </x:c>
      <x:c r="H177" s="4" t="str">
        <x:v>X02</x:v>
      </x:c>
      <x:c r="I177" s="4" t="str">
        <x:v>https://digital.cushmanwakefield.com/fitoutcostguide-03-2026-apac-regional-en-content-pds-office/30-31/</x:v>
      </x:c>
      <x:c r="J177" s="4" t="str">
        <x:v>是</x:v>
      </x:c>
      <x:c r="K177" s="4" t="str">
        <x:v>是</x:v>
      </x:c>
      <x:c r="L177" s="4" t="str">
        <x:v>是</x:v>
      </x:c>
      <x:c r="M177" s="4" t="str">
        <x:v>是</x:v>
      </x:c>
      <x:c r="N177" s="4" t="str">
        <x:v>pass</x:v>
      </x:c>
      <x:c r="O177" s="4" t="str">
        <x:v>B</x:v>
      </x:c>
      <x:c r="P177" s="4" t="str">
        <x:v>是</x:v>
      </x:c>
      <x:c r="Q177" s="20" t="n">
        <x:v>1722.2256666735555</x:v>
      </x:c>
      <x:c r="R177" s="16" t="n">
        <x:v>2026</x:v>
      </x:c>
      <x:c r="S177" s="4" t="str">
        <x:v>【示意】C&amp;W 2026商辦fit-out，價格基準2025年12月；USD/ft²÷0.09290304，非住宅報價，報告自身匯率；獨立來源1；來源B級</x:v>
      </x:c>
      <x:c r="T177" s="4" t="str">
        <x:v>示意</x:v>
      </x:c>
      <x:c r="U177" s="16" t="n">
        <x:v>1</x:v>
      </x:c>
      <x:c r="V177" s="4" t="str">
        <x:v>低</x:v>
      </x:c>
      <x:c r="W177" s="4" t="str">
        <x:v>成本頁逐城讀USD/ft²；配合X11方法頁確定價格2025-12，報告2026。 香港=160USD/ft²，除0.09290304得1722.2256666735555USD/m²；原幣1245HKD/ft²。</x:v>
      </x:c>
      <x:c r="X177" s="4" t="str">
        <x:v>單一獨立原始機構，依協議第4條低信心示意；A/B來源等級不等於已三角驗證。</x:v>
      </x:c>
      <x:c r="Y177" s="37" t="d">
        <x:v>2026-10-09T00:00:00.000Z</x:v>
      </x:c>
      <x:c r="Z177" s="4" t="str">
        <x:v>turn202view1</x:v>
      </x:c>
    </x:row>
    <x:row r="178" ht="38" customHeight="1">
      <x:c r="A178" s="4" t="str">
        <x:v>M0177</x:v>
      </x:c>
      <x:c r="B178" s="4" t="str">
        <x:v>CN</x:v>
      </x:c>
      <x:c r="C178" s="4" t="str">
        <x:v>住宅竣工面積</x:v>
      </x:c>
      <x:c r="D178" s="17" t="n">
        <x:v>53741</x:v>
      </x:c>
      <x:c r="E178" s="4" t="str">
        <x:v>萬m²</x:v>
      </x:c>
      <x:c r="F178" s="16" t="n">
        <x:v>2024</x:v>
      </x:c>
      <x:c r="G178" s="4" t="str">
        <x:v>全國房地產開發企業；不是竣工戶數、也不是沿海翻修面積</x:v>
      </x:c>
      <x:c r="H178" s="4" t="str">
        <x:v>CN01</x:v>
      </x:c>
      <x:c r="I178" s="4" t="str">
        <x:v>https://www.stats.gov.cn/sj/zxfb/202501/t20250117_1958328.html</x:v>
      </x:c>
      <x:c r="J178" s="4" t="str">
        <x:v>是</x:v>
      </x:c>
      <x:c r="K178" s="4" t="str">
        <x:v>是</x:v>
      </x:c>
      <x:c r="L178" s="4" t="str">
        <x:v>是</x:v>
      </x:c>
      <x:c r="M178" s="4" t="str">
        <x:v>是</x:v>
      </x:c>
      <x:c r="N178" s="4" t="str">
        <x:v>pass</x:v>
      </x:c>
      <x:c r="O178" s="4" t="str">
        <x:v>A</x:v>
      </x:c>
      <x:c r="P178" s="4" t="str">
        <x:v>是</x:v>
      </x:c>
      <x:c r="Q178" s="17" t="n">
        <x:v>53741</x:v>
      </x:c>
      <x:c r="R178" s="16" t="n">
        <x:v>2024</x:v>
      </x:c>
      <x:c r="S178" s="4" t="str">
        <x:v>【示意】全國房地產開發企業；不是竣工戶數、也不是沿海翻修面積；獨立來源1；來源A級</x:v>
      </x:c>
      <x:c r="T178" s="4" t="str">
        <x:v>示意</x:v>
      </x:c>
      <x:c r="U178" s="16" t="n">
        <x:v>1</x:v>
      </x:c>
      <x:c r="V178" s="4" t="str">
        <x:v>低</x:v>
      </x:c>
      <x:c r="W178" s="4" t="str">
        <x:v>CN01原始HTML成功HTTP下載並讀正文：2024住宅竣工53,741萬m²；CN14官方轉載同值。</x:v>
      </x:c>
      <x:c r="X178" s="4" t="str">
        <x:v>單一獨立來源；按整合協議低信心，即使A級原始披露亦未達雙源實際門檻。</x:v>
      </x:c>
      <x:c r="Y178" s="37" t="d">
        <x:v>2026-10-09T00:00:00.000Z</x:v>
      </x:c>
      <x:c r="Z178" s="4" t="str">
        <x:v>direct-http:research_r2/agents/hk_cn_CN01_fetch.html</x:v>
      </x:c>
    </x:row>
    <x:row r="179" ht="38" customHeight="1">
      <x:c r="A179" s="4" t="str">
        <x:v>M0178</x:v>
      </x:c>
      <x:c r="B179" s="4" t="str">
        <x:v>CN</x:v>
      </x:c>
      <x:c r="C179" s="4" t="str">
        <x:v>住宅竣工面積年變動</x:v>
      </x:c>
      <x:c r="D179" s="19" t="n">
        <x:v>-27.4</x:v>
      </x:c>
      <x:c r="E179" s="4" t="str">
        <x:v>%</x:v>
      </x:c>
      <x:c r="F179" s="16" t="n">
        <x:v>2024</x:v>
      </x:c>
      <x:c r="G179" s="4" t="str">
        <x:v>全國可比口徑</x:v>
      </x:c>
      <x:c r="H179" s="4" t="str">
        <x:v>CN01</x:v>
      </x:c>
      <x:c r="I179" s="4" t="str">
        <x:v>https://www.stats.gov.cn/sj/zxfb/202501/t20250117_1958328.html</x:v>
      </x:c>
      <x:c r="J179" s="4" t="str">
        <x:v>是</x:v>
      </x:c>
      <x:c r="K179" s="4" t="str">
        <x:v>是</x:v>
      </x:c>
      <x:c r="L179" s="4" t="str">
        <x:v>是</x:v>
      </x:c>
      <x:c r="M179" s="4" t="str">
        <x:v>是</x:v>
      </x:c>
      <x:c r="N179" s="4" t="str">
        <x:v>pass</x:v>
      </x:c>
      <x:c r="O179" s="4" t="str">
        <x:v>A</x:v>
      </x:c>
      <x:c r="P179" s="4" t="str">
        <x:v>是</x:v>
      </x:c>
      <x:c r="Q179" s="19" t="n">
        <x:v>-27.4</x:v>
      </x:c>
      <x:c r="R179" s="16" t="n">
        <x:v>2024</x:v>
      </x:c>
      <x:c r="S179" s="4" t="str">
        <x:v>【示意】全國可比口徑；獨立來源1；來源A級</x:v>
      </x:c>
      <x:c r="T179" s="4" t="str">
        <x:v>示意</x:v>
      </x:c>
      <x:c r="U179" s="16" t="n">
        <x:v>1</x:v>
      </x:c>
      <x:c r="V179" s="4" t="str">
        <x:v>低</x:v>
      </x:c>
      <x:c r="W179" s="4" t="str">
        <x:v>同原文：住宅竣工面積下降27.4%。</x:v>
      </x:c>
      <x:c r="X179" s="4" t="str">
        <x:v>單一獨立來源；按整合協議低信心，即使A級原始披露亦未達雙源實際門檻。</x:v>
      </x:c>
      <x:c r="Y179" s="37" t="d">
        <x:v>2026-10-09T00:00:00.000Z</x:v>
      </x:c>
      <x:c r="Z179" s="4" t="str">
        <x:v>direct-http:research_r2/agents/hk_cn_CN01_fetch.html</x:v>
      </x:c>
    </x:row>
    <x:row r="180" ht="38" customHeight="1">
      <x:c r="A180" s="4" t="str">
        <x:v>M0179</x:v>
      </x:c>
      <x:c r="B180" s="4" t="str">
        <x:v>CN</x:v>
      </x:c>
      <x:c r="C180" s="4" t="str">
        <x:v>住宅新開工面積</x:v>
      </x:c>
      <x:c r="D180" s="17" t="n">
        <x:v>53660</x:v>
      </x:c>
      <x:c r="E180" s="4" t="str">
        <x:v>萬m²</x:v>
      </x:c>
      <x:c r="F180" s="16" t="n">
        <x:v>2024</x:v>
      </x:c>
      <x:c r="G180" s="4" t="str">
        <x:v>全國房地產開發企業</x:v>
      </x:c>
      <x:c r="H180" s="4" t="str">
        <x:v>CN01</x:v>
      </x:c>
      <x:c r="I180" s="4" t="str">
        <x:v>https://www.stats.gov.cn/sj/zxfb/202501/t20250117_1958328.html</x:v>
      </x:c>
      <x:c r="J180" s="4" t="str">
        <x:v>是</x:v>
      </x:c>
      <x:c r="K180" s="4" t="str">
        <x:v>是</x:v>
      </x:c>
      <x:c r="L180" s="4" t="str">
        <x:v>是</x:v>
      </x:c>
      <x:c r="M180" s="4" t="str">
        <x:v>是</x:v>
      </x:c>
      <x:c r="N180" s="4" t="str">
        <x:v>pass</x:v>
      </x:c>
      <x:c r="O180" s="4" t="str">
        <x:v>A</x:v>
      </x:c>
      <x:c r="P180" s="4" t="str">
        <x:v>是</x:v>
      </x:c>
      <x:c r="Q180" s="17" t="n">
        <x:v>53660</x:v>
      </x:c>
      <x:c r="R180" s="16" t="n">
        <x:v>2024</x:v>
      </x:c>
      <x:c r="S180" s="4" t="str">
        <x:v>【示意】全國房地產開發企業；獨立來源1；來源A級</x:v>
      </x:c>
      <x:c r="T180" s="4" t="str">
        <x:v>示意</x:v>
      </x:c>
      <x:c r="U180" s="16" t="n">
        <x:v>1</x:v>
      </x:c>
      <x:c r="V180" s="4" t="str">
        <x:v>低</x:v>
      </x:c>
      <x:c r="W180" s="4" t="str">
        <x:v>同原文：住宅新開工53,660萬m²。</x:v>
      </x:c>
      <x:c r="X180" s="4" t="str">
        <x:v>單一獨立來源；按整合協議低信心，即使A級原始披露亦未達雙源實際門檻。</x:v>
      </x:c>
      <x:c r="Y180" s="37" t="d">
        <x:v>2026-10-09T00:00:00.000Z</x:v>
      </x:c>
      <x:c r="Z180" s="4" t="str">
        <x:v>direct-http:research_r2/agents/hk_cn_CN01_fetch.html</x:v>
      </x:c>
    </x:row>
    <x:row r="181" ht="38" customHeight="1">
      <x:c r="A181" s="4" t="str">
        <x:v>M0180</x:v>
      </x:c>
      <x:c r="B181" s="4" t="str">
        <x:v>CN</x:v>
      </x:c>
      <x:c r="C181" s="4" t="str">
        <x:v>住宅新開工面積年變動</x:v>
      </x:c>
      <x:c r="D181" s="17" t="n">
        <x:v>-23</x:v>
      </x:c>
      <x:c r="E181" s="4" t="str">
        <x:v>%</x:v>
      </x:c>
      <x:c r="F181" s="16" t="n">
        <x:v>2024</x:v>
      </x:c>
      <x:c r="G181" s="4" t="str">
        <x:v>全國可比口徑</x:v>
      </x:c>
      <x:c r="H181" s="4" t="str">
        <x:v>CN01</x:v>
      </x:c>
      <x:c r="I181" s="4" t="str">
        <x:v>https://www.stats.gov.cn/sj/zxfb/202501/t20250117_1958328.html</x:v>
      </x:c>
      <x:c r="J181" s="4" t="str">
        <x:v>是</x:v>
      </x:c>
      <x:c r="K181" s="4" t="str">
        <x:v>是</x:v>
      </x:c>
      <x:c r="L181" s="4" t="str">
        <x:v>是</x:v>
      </x:c>
      <x:c r="M181" s="4" t="str">
        <x:v>是</x:v>
      </x:c>
      <x:c r="N181" s="4" t="str">
        <x:v>pass</x:v>
      </x:c>
      <x:c r="O181" s="4" t="str">
        <x:v>A</x:v>
      </x:c>
      <x:c r="P181" s="4" t="str">
        <x:v>是</x:v>
      </x:c>
      <x:c r="Q181" s="17" t="n">
        <x:v>-23</x:v>
      </x:c>
      <x:c r="R181" s="16" t="n">
        <x:v>2024</x:v>
      </x:c>
      <x:c r="S181" s="4" t="str">
        <x:v>【示意】全國可比口徑；獨立來源1；來源A級</x:v>
      </x:c>
      <x:c r="T181" s="4" t="str">
        <x:v>示意</x:v>
      </x:c>
      <x:c r="U181" s="16" t="n">
        <x:v>1</x:v>
      </x:c>
      <x:c r="V181" s="4" t="str">
        <x:v>低</x:v>
      </x:c>
      <x:c r="W181" s="4" t="str">
        <x:v>同原文：住宅新開工面積下降23.0%。</x:v>
      </x:c>
      <x:c r="X181" s="4" t="str">
        <x:v>單一獨立來源；按整合協議低信心，即使A級原始披露亦未達雙源實際門檻。</x:v>
      </x:c>
      <x:c r="Y181" s="37" t="d">
        <x:v>2026-10-09T00:00:00.000Z</x:v>
      </x:c>
      <x:c r="Z181" s="4" t="str">
        <x:v>direct-http:research_r2/agents/hk_cn_CN01_fetch.html</x:v>
      </x:c>
    </x:row>
    <x:row r="182" ht="38" customHeight="1">
      <x:c r="A182" s="4" t="str">
        <x:v>M0181</x:v>
      </x:c>
      <x:c r="B182" s="4" t="str">
        <x:v>CN</x:v>
      </x:c>
      <x:c r="C182" s="4" t="str">
        <x:v>新建商品住宅銷售面積年變動</x:v>
      </x:c>
      <x:c r="D182" s="19" t="n">
        <x:v>-14.1</x:v>
      </x:c>
      <x:c r="E182" s="4" t="str">
        <x:v>%</x:v>
      </x:c>
      <x:c r="F182" s="16" t="n">
        <x:v>2024</x:v>
      </x:c>
      <x:c r="G182" s="4" t="str">
        <x:v>全國，不是住宅翻修產值</x:v>
      </x:c>
      <x:c r="H182" s="4" t="str">
        <x:v>CN01</x:v>
      </x:c>
      <x:c r="I182" s="4" t="str">
        <x:v>https://www.stats.gov.cn/sj/zxfb/202501/t20250117_1958328.html</x:v>
      </x:c>
      <x:c r="J182" s="4" t="str">
        <x:v>是</x:v>
      </x:c>
      <x:c r="K182" s="4" t="str">
        <x:v>是</x:v>
      </x:c>
      <x:c r="L182" s="4" t="str">
        <x:v>是</x:v>
      </x:c>
      <x:c r="M182" s="4" t="str">
        <x:v>是</x:v>
      </x:c>
      <x:c r="N182" s="4" t="str">
        <x:v>pass</x:v>
      </x:c>
      <x:c r="O182" s="4" t="str">
        <x:v>A</x:v>
      </x:c>
      <x:c r="P182" s="4" t="str">
        <x:v>是</x:v>
      </x:c>
      <x:c r="Q182" s="19" t="n">
        <x:v>-14.1</x:v>
      </x:c>
      <x:c r="R182" s="16" t="n">
        <x:v>2024</x:v>
      </x:c>
      <x:c r="S182" s="4" t="str">
        <x:v>【示意】全國，不是住宅翻修產值；獨立來源1；來源A級</x:v>
      </x:c>
      <x:c r="T182" s="4" t="str">
        <x:v>示意</x:v>
      </x:c>
      <x:c r="U182" s="16" t="n">
        <x:v>1</x:v>
      </x:c>
      <x:c r="V182" s="4" t="str">
        <x:v>低</x:v>
      </x:c>
      <x:c r="W182" s="4" t="str">
        <x:v>同原文新建商品房段落：住宅銷售面積下降14.1%。</x:v>
      </x:c>
      <x:c r="X182" s="4" t="str">
        <x:v>單一獨立來源；按整合協議低信心，即使A級原始披露亦未達雙源實際門檻。</x:v>
      </x:c>
      <x:c r="Y182" s="37" t="d">
        <x:v>2026-10-09T00:00:00.000Z</x:v>
      </x:c>
      <x:c r="Z182" s="4" t="str">
        <x:v>direct-http:research_r2/agents/hk_cn_CN01_fetch.html</x:v>
      </x:c>
    </x:row>
    <x:row r="183" ht="38" customHeight="1">
      <x:c r="A183" s="4" t="str">
        <x:v>M0182</x:v>
      </x:c>
      <x:c r="B183" s="4" t="str">
        <x:v>CN</x:v>
      </x:c>
      <x:c r="C183" s="4" t="str">
        <x:v>新建商品住宅銷售額年變動</x:v>
      </x:c>
      <x:c r="D183" s="19" t="n">
        <x:v>-17.6</x:v>
      </x:c>
      <x:c r="E183" s="4" t="str">
        <x:v>%</x:v>
      </x:c>
      <x:c r="F183" s="16" t="n">
        <x:v>2024</x:v>
      </x:c>
      <x:c r="G183" s="4" t="str">
        <x:v>全國可比口徑</x:v>
      </x:c>
      <x:c r="H183" s="4" t="str">
        <x:v>CN01</x:v>
      </x:c>
      <x:c r="I183" s="4" t="str">
        <x:v>https://www.stats.gov.cn/sj/zxfb/202501/t20250117_1958328.html</x:v>
      </x:c>
      <x:c r="J183" s="4" t="str">
        <x:v>是</x:v>
      </x:c>
      <x:c r="K183" s="4" t="str">
        <x:v>是</x:v>
      </x:c>
      <x:c r="L183" s="4" t="str">
        <x:v>是</x:v>
      </x:c>
      <x:c r="M183" s="4" t="str">
        <x:v>是</x:v>
      </x:c>
      <x:c r="N183" s="4" t="str">
        <x:v>pass</x:v>
      </x:c>
      <x:c r="O183" s="4" t="str">
        <x:v>A</x:v>
      </x:c>
      <x:c r="P183" s="4" t="str">
        <x:v>是</x:v>
      </x:c>
      <x:c r="Q183" s="19" t="n">
        <x:v>-17.6</x:v>
      </x:c>
      <x:c r="R183" s="16" t="n">
        <x:v>2024</x:v>
      </x:c>
      <x:c r="S183" s="4" t="str">
        <x:v>【示意】全國可比口徑；獨立來源1；來源A級</x:v>
      </x:c>
      <x:c r="T183" s="4" t="str">
        <x:v>示意</x:v>
      </x:c>
      <x:c r="U183" s="16" t="n">
        <x:v>1</x:v>
      </x:c>
      <x:c r="V183" s="4" t="str">
        <x:v>低</x:v>
      </x:c>
      <x:c r="W183" s="4" t="str">
        <x:v>同原文新建商品房段落：住宅銷售額下降17.6%。</x:v>
      </x:c>
      <x:c r="X183" s="4" t="str">
        <x:v>單一獨立來源；按整合協議低信心，即使A級原始披露亦未達雙源實際門檻。</x:v>
      </x:c>
      <x:c r="Y183" s="37" t="d">
        <x:v>2026-10-09T00:00:00.000Z</x:v>
      </x:c>
      <x:c r="Z183" s="4" t="str">
        <x:v>direct-http:research_r2/agents/hk_cn_CN01_fetch.html</x:v>
      </x:c>
    </x:row>
    <x:row r="184" ht="38" customHeight="1">
      <x:c r="A184" s="4" t="str">
        <x:v>M0183</x:v>
      </x:c>
      <x:c r="B184" s="4" t="str">
        <x:v>CN</x:v>
      </x:c>
      <x:c r="C184" s="4" t="str">
        <x:v>貝殼家裝家居季度收入</x:v>
      </x:c>
      <x:c r="D184" s="17" t="n">
        <x:v>3200000000</x:v>
      </x:c>
      <x:c r="E184" s="4" t="str">
        <x:v>CNY</x:v>
      </x:c>
      <x:c r="F184" s="16" t="str">
        <x:v>2026Q2</x:v>
      </x:c>
      <x:c r="G184" s="4" t="str">
        <x:v>含設計施工與家具家電，公告約數</x:v>
      </x:c>
      <x:c r="H184" s="4" t="str">
        <x:v>CN03</x:v>
      </x:c>
      <x:c r="I184" s="4" t="str">
        <x:v>https://investors.ke.com/zh-hans/news-releases/news-release-details/ke-holdings-inc-announces-second-quarter-2026-unaudited</x:v>
      </x:c>
      <x:c r="J184" s="4" t="str">
        <x:v>是</x:v>
      </x:c>
      <x:c r="K184" s="4" t="str">
        <x:v>是</x:v>
      </x:c>
      <x:c r="L184" s="4" t="str">
        <x:v>是</x:v>
      </x:c>
      <x:c r="M184" s="4" t="str">
        <x:v>是</x:v>
      </x:c>
      <x:c r="N184" s="4" t="str">
        <x:v>pass</x:v>
      </x:c>
      <x:c r="O184" s="4" t="str">
        <x:v>C</x:v>
      </x:c>
      <x:c r="P184" s="4" t="str">
        <x:v>是</x:v>
      </x:c>
      <x:c r="Q184" s="17" t="n">
        <x:v>3200000000</x:v>
      </x:c>
      <x:c r="R184" s="16" t="str">
        <x:v>2026Q2</x:v>
      </x:c>
      <x:c r="S184" s="4" t="str">
        <x:v>【示意】含設計施工與家具家電，公告約數；獨立來源1；來源C級</x:v>
      </x:c>
      <x:c r="T184" s="4" t="str">
        <x:v>示意</x:v>
      </x:c>
      <x:c r="U184" s="16" t="n">
        <x:v>1</x:v>
      </x:c>
      <x:c r="V184" s="4" t="str">
        <x:v>低</x:v>
      </x:c>
      <x:c r="W184" s="4" t="str">
        <x:v>貝殼2026Q2未經審核公告L57：home renovation and furnishing 3.2 billion RMB，為約數。</x:v>
      </x:c>
      <x:c r="X184" s="4" t="str">
        <x:v>單一獨立來源；按整合協議低信心，即使A級原始披露亦未達雙源實際門檻。</x:v>
      </x:c>
      <x:c r="Y184" s="37" t="d">
        <x:v>2026-10-09T00:00:00.000Z</x:v>
      </x:c>
      <x:c r="Z184" s="4" t="str">
        <x:v>turn184view2</x:v>
      </x:c>
    </x:row>
    <x:row r="185" ht="38" customHeight="1">
      <x:c r="A185" s="4" t="str">
        <x:v>M0184</x:v>
      </x:c>
      <x:c r="B185" s="4" t="str">
        <x:v>CN</x:v>
      </x:c>
      <x:c r="C185" s="4" t="str">
        <x:v>貝殼家裝家居季度收入年變動</x:v>
      </x:c>
      <x:c r="D185" s="19" t="n">
        <x:v>-30.1</x:v>
      </x:c>
      <x:c r="E185" s="4" t="str">
        <x:v>%</x:v>
      </x:c>
      <x:c r="F185" s="16" t="str">
        <x:v>2026Q2</x:v>
      </x:c>
      <x:c r="G185" s="4" t="str">
        <x:v>公司稱主動優化獲客渠道组合及放緩非房仲渠道</x:v>
      </x:c>
      <x:c r="H185" s="4" t="str">
        <x:v>CN03</x:v>
      </x:c>
      <x:c r="I185" s="4" t="str">
        <x:v>https://investors.ke.com/zh-hans/news-releases/news-release-details/ke-holdings-inc-announces-second-quarter-2026-unaudited</x:v>
      </x:c>
      <x:c r="J185" s="4" t="str">
        <x:v>是</x:v>
      </x:c>
      <x:c r="K185" s="4" t="str">
        <x:v>是</x:v>
      </x:c>
      <x:c r="L185" s="4" t="str">
        <x:v>是</x:v>
      </x:c>
      <x:c r="M185" s="4" t="str">
        <x:v>是</x:v>
      </x:c>
      <x:c r="N185" s="4" t="str">
        <x:v>pass</x:v>
      </x:c>
      <x:c r="O185" s="4" t="str">
        <x:v>C</x:v>
      </x:c>
      <x:c r="P185" s="4" t="str">
        <x:v>是</x:v>
      </x:c>
      <x:c r="Q185" s="19" t="n">
        <x:v>-30.1</x:v>
      </x:c>
      <x:c r="R185" s="16" t="str">
        <x:v>2026Q2</x:v>
      </x:c>
      <x:c r="S185" s="4" t="str">
        <x:v>【示意】公司稱主動優化獲客渠道组合及放緩非房仲渠道；獨立來源1；來源C級</x:v>
      </x:c>
      <x:c r="T185" s="4" t="str">
        <x:v>示意</x:v>
      </x:c>
      <x:c r="U185" s="16" t="n">
        <x:v>1</x:v>
      </x:c>
      <x:c r="V185" s="4" t="str">
        <x:v>低</x:v>
      </x:c>
      <x:c r="W185" s="4" t="str">
        <x:v>同公告L57：年減30.1%，說明主動調整獲客渠道。</x:v>
      </x:c>
      <x:c r="X185" s="4" t="str">
        <x:v>單一獨立來源；按整合協議低信心，即使A級原始披露亦未達雙源實際門檻。</x:v>
      </x:c>
      <x:c r="Y185" s="37" t="d">
        <x:v>2026-10-09T00:00:00.000Z</x:v>
      </x:c>
      <x:c r="Z185" s="4" t="str">
        <x:v>turn184view2</x:v>
      </x:c>
    </x:row>
    <x:row r="186" ht="52" customHeight="1">
      <x:c r="A186" s="4" t="str">
        <x:v>M0185</x:v>
      </x:c>
      <x:c r="B186" s="4" t="str">
        <x:v>CN</x:v>
      </x:c>
      <x:c r="C186" s="4" t="str">
        <x:v>貝殼家裝家居貢獻利潤率</x:v>
      </x:c>
      <x:c r="D186" s="19" t="n">
        <x:v>39.6</x:v>
      </x:c>
      <x:c r="E186" s="4" t="str">
        <x:v>%</x:v>
      </x:c>
      <x:c r="F186" s="16" t="str">
        <x:v>2026Q2</x:v>
      </x:c>
      <x:c r="G186" s="4" t="str">
        <x:v>收入減該服務直接成本；非部門淨利率</x:v>
      </x:c>
      <x:c r="H186" s="4" t="str">
        <x:v>CN03</x:v>
      </x:c>
      <x:c r="I186" s="4" t="str">
        <x:v>https://investors.ke.com/zh-hans/news-releases/news-release-details/ke-holdings-inc-announces-second-quarter-2026-unaudited</x:v>
      </x:c>
      <x:c r="J186" s="4" t="str">
        <x:v>是</x:v>
      </x:c>
      <x:c r="K186" s="4" t="str">
        <x:v>是</x:v>
      </x:c>
      <x:c r="L186" s="4" t="str">
        <x:v>是</x:v>
      </x:c>
      <x:c r="M186" s="4" t="str">
        <x:v>否</x:v>
      </x:c>
      <x:c r="N186" s="4" t="str">
        <x:v>partial</x:v>
      </x:c>
      <x:c r="O186" s="4" t="str">
        <x:v>C</x:v>
      </x:c>
      <x:c r="P186" s="4" t="str">
        <x:v>是</x:v>
      </x:c>
      <x:c r="Q186" s="19" t="n">
        <x:v>39.6</x:v>
      </x:c>
      <x:c r="R186" s="16" t="str">
        <x:v>2026Q2</x:v>
      </x:c>
      <x:c r="S186" s="4" t="str">
        <x:v>【示意】公司分部淨收入減直接歸屬變動成本，再除分部淨收入；家裝成本主要含材料及裝修工人薪酬；不含完整總部/行銷固定費用，非部門淨利率。；獨立來源1；來源C級；查核限制：同公告L67：貢獻利潤率39.6%；CN02年報PDF第33／246頁解釋直接歸属變動成本。</x:v>
      </x:c>
      <x:c r="T186" s="4" t="str">
        <x:v>示意</x:v>
      </x:c>
      <x:c r="U186" s="16" t="n">
        <x:v>1</x:v>
      </x:c>
      <x:c r="V186" s="4" t="str">
        <x:v>低</x:v>
      </x:c>
      <x:c r="W186" s="4" t="str">
        <x:v>同公告L67：貢獻利潤率39.6%；CN02年報PDF第33／246頁解釋直接歸属變動成本。</x:v>
      </x:c>
      <x:c r="X186" s="4" t="str">
        <x:v>原「直接成本」過度簡略，補上變動成本範圍；CN02與CN03同公司會計資料，不算獨立雙源。</x:v>
      </x:c>
      <x:c r="Y186" s="37" t="d">
        <x:v>2026-10-09T00:00:00.000Z</x:v>
      </x:c>
      <x:c r="Z186" s="4" t="str">
        <x:v>turn184view2</x:v>
      </x:c>
    </x:row>
    <x:row r="187" ht="38" customHeight="1">
      <x:c r="A187" s="4" t="str">
        <x:v>M0186</x:v>
      </x:c>
      <x:c r="B187" s="4" t="str">
        <x:v>CN</x:v>
      </x:c>
      <x:c r="C187" s="4" t="str">
        <x:v>齊屹科技合併營收</x:v>
      </x:c>
      <x:c r="D187" s="17" t="n">
        <x:v>1055639000</x:v>
      </x:c>
      <x:c r="E187" s="4" t="str">
        <x:v>CNY</x:v>
      </x:c>
      <x:c r="F187" s="16" t="n">
        <x:v>2024</x:v>
      </x:c>
      <x:c r="G187" s="4" t="str">
        <x:v>SaaS行銷+室內設計施工+其他</x:v>
      </x:c>
      <x:c r="H187" s="4" t="str">
        <x:v>CN04</x:v>
      </x:c>
      <x:c r="I187" s="4" t="str">
        <x:v>https://www1.hkexnews.hk/listedco/listconews/sehk/2025/0425/2025042501676_c.pdf</x:v>
      </x:c>
      <x:c r="J187" s="4" t="str">
        <x:v>是</x:v>
      </x:c>
      <x:c r="K187" s="4" t="str">
        <x:v>是</x:v>
      </x:c>
      <x:c r="L187" s="4" t="str">
        <x:v>是</x:v>
      </x:c>
      <x:c r="M187" s="4" t="str">
        <x:v>是</x:v>
      </x:c>
      <x:c r="N187" s="4" t="str">
        <x:v>pass</x:v>
      </x:c>
      <x:c r="O187" s="4" t="str">
        <x:v>A</x:v>
      </x:c>
      <x:c r="P187" s="4" t="str">
        <x:v>是</x:v>
      </x:c>
      <x:c r="Q187" s="17" t="n">
        <x:v>1055639000</x:v>
      </x:c>
      <x:c r="R187" s="16" t="n">
        <x:v>2024</x:v>
      </x:c>
      <x:c r="S187" s="4" t="str">
        <x:v>【示意】SaaS行銷+室內設計施工+其他；獨立來源1；來源A級</x:v>
      </x:c>
      <x:c r="T187" s="4" t="str">
        <x:v>示意</x:v>
      </x:c>
      <x:c r="U187" s="16" t="n">
        <x:v>1</x:v>
      </x:c>
      <x:c r="V187" s="4" t="str">
        <x:v>低</x:v>
      </x:c>
      <x:c r="W187" s="4" t="str">
        <x:v>齊屹2024年報PDF第11頁：收入合計1,055,639千人民幣。</x:v>
      </x:c>
      <x:c r="X187" s="4" t="str">
        <x:v>單一獨立來源；按整合協議低信心，即使A級原始披露亦未達雙源實際門檻。</x:v>
      </x:c>
      <x:c r="Y187" s="37" t="d">
        <x:v>2026-10-09T00:00:00.000Z</x:v>
      </x:c>
      <x:c r="Z187" s="4" t="str">
        <x:v>turn184view3</x:v>
      </x:c>
    </x:row>
    <x:row r="188" ht="38" customHeight="1">
      <x:c r="A188" s="4" t="str">
        <x:v>M0187</x:v>
      </x:c>
      <x:c r="B188" s="4" t="str">
        <x:v>CN</x:v>
      </x:c>
      <x:c r="C188" s="4" t="str">
        <x:v>齊屹SaaS及行銷營收</x:v>
      </x:c>
      <x:c r="D188" s="17" t="n">
        <x:v>333709000</x:v>
      </x:c>
      <x:c r="E188" s="4" t="str">
        <x:v>CNY</x:v>
      </x:c>
      <x:c r="F188" s="16" t="n">
        <x:v>2024</x:v>
      </x:c>
      <x:c r="G188" s="4" t="str">
        <x:v>平台線索變現，非施工總交易額</x:v>
      </x:c>
      <x:c r="H188" s="4" t="str">
        <x:v>CN04</x:v>
      </x:c>
      <x:c r="I188" s="4" t="str">
        <x:v>https://www1.hkexnews.hk/listedco/listconews/sehk/2025/0425/2025042501676_c.pdf</x:v>
      </x:c>
      <x:c r="J188" s="4" t="str">
        <x:v>是</x:v>
      </x:c>
      <x:c r="K188" s="4" t="str">
        <x:v>是</x:v>
      </x:c>
      <x:c r="L188" s="4" t="str">
        <x:v>是</x:v>
      </x:c>
      <x:c r="M188" s="4" t="str">
        <x:v>是</x:v>
      </x:c>
      <x:c r="N188" s="4" t="str">
        <x:v>pass</x:v>
      </x:c>
      <x:c r="O188" s="4" t="str">
        <x:v>A</x:v>
      </x:c>
      <x:c r="P188" s="4" t="str">
        <x:v>是</x:v>
      </x:c>
      <x:c r="Q188" s="17" t="n">
        <x:v>333709000</x:v>
      </x:c>
      <x:c r="R188" s="16" t="n">
        <x:v>2024</x:v>
      </x:c>
      <x:c r="S188" s="4" t="str">
        <x:v>【示意】平台線索變現，非施工總交易額；獨立來源1；來源A級</x:v>
      </x:c>
      <x:c r="T188" s="4" t="str">
        <x:v>示意</x:v>
      </x:c>
      <x:c r="U188" s="16" t="n">
        <x:v>1</x:v>
      </x:c>
      <x:c r="V188" s="4" t="str">
        <x:v>低</x:v>
      </x:c>
      <x:c r="W188" s="4" t="str">
        <x:v>同表SaaS及營銷服務333,709千人民幣。</x:v>
      </x:c>
      <x:c r="X188" s="4" t="str">
        <x:v>單一獨立來源；按整合協議低信心，即使A級原始披露亦未達雙源實際門檻。</x:v>
      </x:c>
      <x:c r="Y188" s="37" t="d">
        <x:v>2026-10-09T00:00:00.000Z</x:v>
      </x:c>
      <x:c r="Z188" s="4" t="str">
        <x:v>turn184view3</x:v>
      </x:c>
    </x:row>
    <x:row r="189" ht="38" customHeight="1">
      <x:c r="A189" s="4" t="str">
        <x:v>M0188</x:v>
      </x:c>
      <x:c r="B189" s="4" t="str">
        <x:v>CN</x:v>
      </x:c>
      <x:c r="C189" s="4" t="str">
        <x:v>齊屹設計施工營收</x:v>
      </x:c>
      <x:c r="D189" s="17" t="n">
        <x:v>665184000</x:v>
      </x:c>
      <x:c r="E189" s="4" t="str">
        <x:v>CNY</x:v>
      </x:c>
      <x:c r="F189" s="16" t="n">
        <x:v>2024</x:v>
      </x:c>
      <x:c r="G189" s="4" t="str">
        <x:v>公司分部，不是中國純設計市場</x:v>
      </x:c>
      <x:c r="H189" s="4" t="str">
        <x:v>CN04</x:v>
      </x:c>
      <x:c r="I189" s="4" t="str">
        <x:v>https://www1.hkexnews.hk/listedco/listconews/sehk/2025/0425/2025042501676_c.pdf</x:v>
      </x:c>
      <x:c r="J189" s="4" t="str">
        <x:v>是</x:v>
      </x:c>
      <x:c r="K189" s="4" t="str">
        <x:v>是</x:v>
      </x:c>
      <x:c r="L189" s="4" t="str">
        <x:v>是</x:v>
      </x:c>
      <x:c r="M189" s="4" t="str">
        <x:v>是</x:v>
      </x:c>
      <x:c r="N189" s="4" t="str">
        <x:v>pass</x:v>
      </x:c>
      <x:c r="O189" s="4" t="str">
        <x:v>A</x:v>
      </x:c>
      <x:c r="P189" s="4" t="str">
        <x:v>是</x:v>
      </x:c>
      <x:c r="Q189" s="17" t="n">
        <x:v>665184000</x:v>
      </x:c>
      <x:c r="R189" s="16" t="n">
        <x:v>2024</x:v>
      </x:c>
      <x:c r="S189" s="4" t="str">
        <x:v>【示意】公司分部，不是中國純設計市場；獨立來源1；來源A級</x:v>
      </x:c>
      <x:c r="T189" s="4" t="str">
        <x:v>示意</x:v>
      </x:c>
      <x:c r="U189" s="16" t="n">
        <x:v>1</x:v>
      </x:c>
      <x:c r="V189" s="4" t="str">
        <x:v>低</x:v>
      </x:c>
      <x:c r="W189" s="4" t="str">
        <x:v>同表室內設計及建築業務665,184千人民幣。</x:v>
      </x:c>
      <x:c r="X189" s="4" t="str">
        <x:v>單一獨立來源；按整合協議低信心，即使A級原始披露亦未達雙源實際門檻。</x:v>
      </x:c>
      <x:c r="Y189" s="37" t="d">
        <x:v>2026-10-09T00:00:00.000Z</x:v>
      </x:c>
      <x:c r="Z189" s="4" t="str">
        <x:v>turn184view3</x:v>
      </x:c>
    </x:row>
    <x:row r="190" ht="38" customHeight="1">
      <x:c r="A190" s="4" t="str">
        <x:v>M0189</x:v>
      </x:c>
      <x:c r="B190" s="4" t="str">
        <x:v>CN</x:v>
      </x:c>
      <x:c r="C190" s="4" t="str">
        <x:v>齊屹銷售線索數</x:v>
      </x:c>
      <x:c r="D190" s="17" t="n">
        <x:v>633769</x:v>
      </x:c>
      <x:c r="E190" s="4" t="str">
        <x:v>條</x:v>
      </x:c>
      <x:c r="F190" s="16" t="n">
        <x:v>2024</x:v>
      </x:c>
      <x:c r="G190" s="4" t="str">
        <x:v>潛在設計施工需求資料數，非成交戶數</x:v>
      </x:c>
      <x:c r="H190" s="4" t="str">
        <x:v>CN04</x:v>
      </x:c>
      <x:c r="I190" s="4" t="str">
        <x:v>https://www1.hkexnews.hk/listedco/listconews/sehk/2025/0425/2025042501676_c.pdf</x:v>
      </x:c>
      <x:c r="J190" s="4" t="str">
        <x:v>是</x:v>
      </x:c>
      <x:c r="K190" s="4" t="str">
        <x:v>是</x:v>
      </x:c>
      <x:c r="L190" s="4" t="str">
        <x:v>是</x:v>
      </x:c>
      <x:c r="M190" s="4" t="str">
        <x:v>是</x:v>
      </x:c>
      <x:c r="N190" s="4" t="str">
        <x:v>pass</x:v>
      </x:c>
      <x:c r="O190" s="4" t="str">
        <x:v>A</x:v>
      </x:c>
      <x:c r="P190" s="4" t="str">
        <x:v>是</x:v>
      </x:c>
      <x:c r="Q190" s="17" t="n">
        <x:v>633769</x:v>
      </x:c>
      <x:c r="R190" s="16" t="n">
        <x:v>2024</x:v>
      </x:c>
      <x:c r="S190" s="4" t="str">
        <x:v>【示意】潛在設計施工需求資料數，非成交戶數；獨立來源1；來源A級</x:v>
      </x:c>
      <x:c r="T190" s="4" t="str">
        <x:v>示意</x:v>
      </x:c>
      <x:c r="U190" s="16" t="n">
        <x:v>1</x:v>
      </x:c>
      <x:c r="V190" s="4" t="str">
        <x:v>低</x:v>
      </x:c>
      <x:c r="W190" s="4" t="str">
        <x:v>同年報PDF第7頁：2024銷售線索633,769；附註定義潛在需求資料數。</x:v>
      </x:c>
      <x:c r="X190" s="4" t="str">
        <x:v>單一獨立來源；按整合協議低信心，即使A級原始披露亦未達雙源實際門檻。</x:v>
      </x:c>
      <x:c r="Y190" s="37" t="d">
        <x:v>2026-10-09T00:00:00.000Z</x:v>
      </x:c>
      <x:c r="Z190" s="4" t="str">
        <x:v>turn184view3</x:v>
      </x:c>
    </x:row>
    <x:row r="191" ht="38" customHeight="1">
      <x:c r="A191" s="4" t="str">
        <x:v>M0190</x:v>
      </x:c>
      <x:c r="B191" s="4" t="str">
        <x:v>CN</x:v>
      </x:c>
      <x:c r="C191" s="4" t="str">
        <x:v>齊屹每條線索平均收入</x:v>
      </x:c>
      <x:c r="D191" s="17" t="n">
        <x:v>527</x:v>
      </x:c>
      <x:c r="E191" s="4" t="str">
        <x:v>CNY/條</x:v>
      </x:c>
      <x:c r="F191" s="16" t="n">
        <x:v>2024</x:v>
      </x:c>
      <x:c r="G191" s="4" t="str">
        <x:v>SaaS及行銷收入除銷售線索，非成交獲客成本</x:v>
      </x:c>
      <x:c r="H191" s="4" t="str">
        <x:v>CN04</x:v>
      </x:c>
      <x:c r="I191" s="4" t="str">
        <x:v>https://www1.hkexnews.hk/listedco/listconews/sehk/2025/0425/2025042501676_c.pdf</x:v>
      </x:c>
      <x:c r="J191" s="4" t="str">
        <x:v>是</x:v>
      </x:c>
      <x:c r="K191" s="4" t="str">
        <x:v>是</x:v>
      </x:c>
      <x:c r="L191" s="4" t="str">
        <x:v>是</x:v>
      </x:c>
      <x:c r="M191" s="4" t="str">
        <x:v>是</x:v>
      </x:c>
      <x:c r="N191" s="4" t="str">
        <x:v>pass</x:v>
      </x:c>
      <x:c r="O191" s="4" t="str">
        <x:v>A</x:v>
      </x:c>
      <x:c r="P191" s="4" t="str">
        <x:v>是</x:v>
      </x:c>
      <x:c r="Q191" s="17" t="n">
        <x:v>527</x:v>
      </x:c>
      <x:c r="R191" s="16" t="n">
        <x:v>2024</x:v>
      </x:c>
      <x:c r="S191" s="4" t="str">
        <x:v>【示意】SaaS及行銷收入除銷售線索，非成交獲客成本；獨立來源1；來源A級</x:v>
      </x:c>
      <x:c r="T191" s="4" t="str">
        <x:v>示意</x:v>
      </x:c>
      <x:c r="U191" s="16" t="n">
        <x:v>1</x:v>
      </x:c>
      <x:c r="V191" s="4" t="str">
        <x:v>低</x:v>
      </x:c>
      <x:c r="W191" s="4" t="str">
        <x:v>同年報PDF第7頁：每條線索平均收入527元，收入除線索數。</x:v>
      </x:c>
      <x:c r="X191" s="4" t="str">
        <x:v>單一獨立來源；按整合協議低信心，即使A級原始披露亦未達雙源實際門檻。</x:v>
      </x:c>
      <x:c r="Y191" s="37" t="d">
        <x:v>2026-10-09T00:00:00.000Z</x:v>
      </x:c>
      <x:c r="Z191" s="4" t="str">
        <x:v>turn184view3</x:v>
      </x:c>
    </x:row>
    <x:row r="192" ht="38" customHeight="1">
      <x:c r="A192" s="4" t="str">
        <x:v>M0191</x:v>
      </x:c>
      <x:c r="B192" s="4" t="str">
        <x:v>CN</x:v>
      </x:c>
      <x:c r="C192" s="4" t="str">
        <x:v>齊屹經營現金流量淨額</x:v>
      </x:c>
      <x:c r="D192" s="17" t="n">
        <x:v>-66301000</x:v>
      </x:c>
      <x:c r="E192" s="4" t="str">
        <x:v>CNY</x:v>
      </x:c>
      <x:c r="F192" s="16" t="n">
        <x:v>2024</x:v>
      </x:c>
      <x:c r="G192" s="4" t="str">
        <x:v>合併經營現金流，非破產證據</x:v>
      </x:c>
      <x:c r="H192" s="4" t="str">
        <x:v>CN04</x:v>
      </x:c>
      <x:c r="I192" s="4" t="str">
        <x:v>https://www1.hkexnews.hk/listedco/listconews/sehk/2025/0425/2025042501676_c.pdf</x:v>
      </x:c>
      <x:c r="J192" s="4" t="str">
        <x:v>是</x:v>
      </x:c>
      <x:c r="K192" s="4" t="str">
        <x:v>是</x:v>
      </x:c>
      <x:c r="L192" s="4" t="str">
        <x:v>是</x:v>
      </x:c>
      <x:c r="M192" s="4" t="str">
        <x:v>是</x:v>
      </x:c>
      <x:c r="N192" s="4" t="str">
        <x:v>pass</x:v>
      </x:c>
      <x:c r="O192" s="4" t="str">
        <x:v>A</x:v>
      </x:c>
      <x:c r="P192" s="4" t="str">
        <x:v>是</x:v>
      </x:c>
      <x:c r="Q192" s="17" t="n">
        <x:v>-66301000</x:v>
      </x:c>
      <x:c r="R192" s="16" t="n">
        <x:v>2024</x:v>
      </x:c>
      <x:c r="S192" s="4" t="str">
        <x:v>【示意】合併經營現金流，非破產證據；獨立來源1；來源A級</x:v>
      </x:c>
      <x:c r="T192" s="4" t="str">
        <x:v>示意</x:v>
      </x:c>
      <x:c r="U192" s="16" t="n">
        <x:v>1</x:v>
      </x:c>
      <x:c r="V192" s="4" t="str">
        <x:v>低</x:v>
      </x:c>
      <x:c r="W192" s="4" t="str">
        <x:v>同年報PDF第15／107頁：經營活動所用現金淨額66,301千人民幣。</x:v>
      </x:c>
      <x:c r="X192" s="4" t="str">
        <x:v>單一獨立來源；按整合協議低信心，即使A級原始披露亦未達雙源實際門檻。</x:v>
      </x:c>
      <x:c r="Y192" s="37" t="d">
        <x:v>2026-10-09T00:00:00.000Z</x:v>
      </x:c>
      <x:c r="Z192" s="4" t="str">
        <x:v>turn184view3</x:v>
      </x:c>
    </x:row>
    <x:row r="193" ht="38" customHeight="1">
      <x:c r="A193" s="4" t="str">
        <x:v>M0192</x:v>
      </x:c>
      <x:c r="B193" s="4" t="str">
        <x:v>CN</x:v>
      </x:c>
      <x:c r="C193" s="4" t="str">
        <x:v>齊屹權益持有人應佔虧損</x:v>
      </x:c>
      <x:c r="D193" s="17" t="n">
        <x:v>-126957000</x:v>
      </x:c>
      <x:c r="E193" s="4" t="str">
        <x:v>CNY</x:v>
      </x:c>
      <x:c r="F193" s="16" t="n">
        <x:v>2024</x:v>
      </x:c>
      <x:c r="G193" s="4" t="str">
        <x:v>IFRS經審核淨虧損</x:v>
      </x:c>
      <x:c r="H193" s="4" t="str">
        <x:v>CN04</x:v>
      </x:c>
      <x:c r="I193" s="4" t="str">
        <x:v>https://www1.hkexnews.hk/listedco/listconews/sehk/2025/0425/2025042501676_c.pdf</x:v>
      </x:c>
      <x:c r="J193" s="4" t="str">
        <x:v>是</x:v>
      </x:c>
      <x:c r="K193" s="4" t="str">
        <x:v>是</x:v>
      </x:c>
      <x:c r="L193" s="4" t="str">
        <x:v>是</x:v>
      </x:c>
      <x:c r="M193" s="4" t="str">
        <x:v>是</x:v>
      </x:c>
      <x:c r="N193" s="4" t="str">
        <x:v>pass</x:v>
      </x:c>
      <x:c r="O193" s="4" t="str">
        <x:v>A</x:v>
      </x:c>
      <x:c r="P193" s="4" t="str">
        <x:v>是</x:v>
      </x:c>
      <x:c r="Q193" s="17" t="n">
        <x:v>-126957000</x:v>
      </x:c>
      <x:c r="R193" s="16" t="n">
        <x:v>2024</x:v>
      </x:c>
      <x:c r="S193" s="4" t="str">
        <x:v>【示意】IFRS經審核淨虧損；獨立來源1；來源A級</x:v>
      </x:c>
      <x:c r="T193" s="4" t="str">
        <x:v>示意</x:v>
      </x:c>
      <x:c r="U193" s="16" t="n">
        <x:v>1</x:v>
      </x:c>
      <x:c r="V193" s="4" t="str">
        <x:v>低</x:v>
      </x:c>
      <x:c r="W193" s="4" t="str">
        <x:v>同年報PDF第106頁：權益持有人年內虧損126,957千人民幣；不是含非控股的132,230千元。</x:v>
      </x:c>
      <x:c r="X193" s="4" t="str">
        <x:v>單一獨立來源；按整合協議低信心，即使A級原始披露亦未達雙源實際門檻。</x:v>
      </x:c>
      <x:c r="Y193" s="37" t="d">
        <x:v>2026-10-09T00:00:00.000Z</x:v>
      </x:c>
      <x:c r="Z193" s="4" t="str">
        <x:v>turn184view3</x:v>
      </x:c>
    </x:row>
    <x:row r="194" ht="38" customHeight="1">
      <x:c r="A194" s="4" t="str">
        <x:v>M0193</x:v>
      </x:c>
      <x:c r="B194" s="4" t="str">
        <x:v>CN</x:v>
      </x:c>
      <x:c r="C194" s="4" t="str">
        <x:v>住宅裝修最低保修期</x:v>
      </x:c>
      <x:c r="D194" s="17" t="n">
        <x:v>2</x:v>
      </x:c>
      <x:c r="E194" s="4" t="str">
        <x:v>年</x:v>
      </x:c>
      <x:c r="F194" s="16" t="str">
        <x:v>現行規章</x:v>
      </x:c>
      <x:c r="G194" s="4" t="str">
        <x:v>正常使用，自竣工驗收合格起；需專業確認</x:v>
      </x:c>
      <x:c r="H194" s="4" t="str">
        <x:v>CN05</x:v>
      </x:c>
      <x:c r="I194" s="4" t="str">
        <x:v>https://ghzrzyw.beijing.gov.cn/zhengwuxinxi/zcfg/gz/202205/t20220528_2723556.html</x:v>
      </x:c>
      <x:c r="J194" s="4" t="str">
        <x:v>是</x:v>
      </x:c>
      <x:c r="K194" s="4" t="str">
        <x:v>是</x:v>
      </x:c>
      <x:c r="L194" s="4" t="str">
        <x:v>是</x:v>
      </x:c>
      <x:c r="M194" s="4" t="str">
        <x:v>是</x:v>
      </x:c>
      <x:c r="N194" s="4" t="str">
        <x:v>pass</x:v>
      </x:c>
      <x:c r="O194" s="4" t="str">
        <x:v>A</x:v>
      </x:c>
      <x:c r="P194" s="4" t="str">
        <x:v>是</x:v>
      </x:c>
      <x:c r="Q194" s="17" t="n">
        <x:v>2</x:v>
      </x:c>
      <x:c r="R194" s="16" t="str">
        <x:v>現行規章</x:v>
      </x:c>
      <x:c r="S194" s="4" t="str">
        <x:v>【示意】正常使用，自竣工驗收合格起；需專業確認；獨立來源1；來源A級</x:v>
      </x:c>
      <x:c r="T194" s="4" t="str">
        <x:v>示意</x:v>
      </x:c>
      <x:c r="U194" s="16" t="n">
        <x:v>1</x:v>
      </x:c>
      <x:c r="V194" s="4" t="str">
        <x:v>低</x:v>
      </x:c>
      <x:c r="W194" s="4" t="str">
        <x:v>管理辦法第三十二條：正常使用最低保修二年，自竣工驗收合格起。</x:v>
      </x:c>
      <x:c r="X194" s="4" t="str">
        <x:v>單一獨立來源；按整合協議低信心，即使A級原始披露亦未達雙源實際門檻。</x:v>
      </x:c>
      <x:c r="Y194" s="37" t="d">
        <x:v>2026-10-09T00:00:00.000Z</x:v>
      </x:c>
      <x:c r="Z194" s="4" t="str">
        <x:v>turn191view2</x:v>
      </x:c>
    </x:row>
    <x:row r="195" ht="38" customHeight="1">
      <x:c r="A195" s="4" t="str">
        <x:v>M0194</x:v>
      </x:c>
      <x:c r="B195" s="4" t="str">
        <x:v>CN</x:v>
      </x:c>
      <x:c r="C195" s="4" t="str">
        <x:v>防滲漏最低保修期</x:v>
      </x:c>
      <x:c r="D195" s="17" t="n">
        <x:v>5</x:v>
      </x:c>
      <x:c r="E195" s="4" t="str">
        <x:v>年</x:v>
      </x:c>
      <x:c r="F195" s="16" t="str">
        <x:v>現行規章</x:v>
      </x:c>
      <x:c r="G195" s="4" t="str">
        <x:v>有防水要求廚衛及外牆；需專業確認</x:v>
      </x:c>
      <x:c r="H195" s="4" t="str">
        <x:v>CN05</x:v>
      </x:c>
      <x:c r="I195" s="4" t="str">
        <x:v>https://ghzrzyw.beijing.gov.cn/zhengwuxinxi/zcfg/gz/202205/t20220528_2723556.html</x:v>
      </x:c>
      <x:c r="J195" s="4" t="str">
        <x:v>是</x:v>
      </x:c>
      <x:c r="K195" s="4" t="str">
        <x:v>是</x:v>
      </x:c>
      <x:c r="L195" s="4" t="str">
        <x:v>是</x:v>
      </x:c>
      <x:c r="M195" s="4" t="str">
        <x:v>是</x:v>
      </x:c>
      <x:c r="N195" s="4" t="str">
        <x:v>pass</x:v>
      </x:c>
      <x:c r="O195" s="4" t="str">
        <x:v>A</x:v>
      </x:c>
      <x:c r="P195" s="4" t="str">
        <x:v>是</x:v>
      </x:c>
      <x:c r="Q195" s="17" t="n">
        <x:v>5</x:v>
      </x:c>
      <x:c r="R195" s="16" t="str">
        <x:v>現行規章</x:v>
      </x:c>
      <x:c r="S195" s="4" t="str">
        <x:v>【示意】有防水要求廚衛及外牆；需專業確認；獨立來源1；來源A級</x:v>
      </x:c>
      <x:c r="T195" s="4" t="str">
        <x:v>示意</x:v>
      </x:c>
      <x:c r="U195" s="16" t="n">
        <x:v>1</x:v>
      </x:c>
      <x:c r="V195" s="4" t="str">
        <x:v>低</x:v>
      </x:c>
      <x:c r="W195" s="4" t="str">
        <x:v>同條：有防水要求廚房、衛生間、外牆防滲漏五年。</x:v>
      </x:c>
      <x:c r="X195" s="4" t="str">
        <x:v>單一獨立來源；按整合協議低信心，即使A級原始披露亦未達雙源實際門檻。</x:v>
      </x:c>
      <x:c r="Y195" s="37" t="d">
        <x:v>2026-10-09T00:00:00.000Z</x:v>
      </x:c>
      <x:c r="Z195" s="4" t="str">
        <x:v>turn191view2</x:v>
      </x:c>
    </x:row>
    <x:row r="196" ht="38" customHeight="1">
      <x:c r="A196" s="4" t="str">
        <x:v>M0195</x:v>
      </x:c>
      <x:c r="B196" s="4" t="str">
        <x:v>CN</x:v>
      </x:c>
      <x:c r="C196" s="4" t="str">
        <x:v>上海二手住宅成交量</x:v>
      </x:c>
      <x:c r="D196" s="17" t="n">
        <x:v>101000</x:v>
      </x:c>
      <x:c r="E196" s="4" t="str">
        <x:v>套</x:v>
      </x:c>
      <x:c r="F196" s="16" t="str">
        <x:v>2026年3–6月</x:v>
      </x:c>
      <x:c r="G196" s="4" t="str">
        <x:v>市政府刊載市房管局資訊，非全年</x:v>
      </x:c>
      <x:c r="H196" s="4" t="str">
        <x:v>CN07</x:v>
      </x:c>
      <x:c r="I196" s="4" t="str">
        <x:v>https://www.shanghai.gov.cn/nw4411/20260730/6ad68292af8e4c42a37c7ae45be8dd7f.html</x:v>
      </x:c>
      <x:c r="J196" s="4" t="str">
        <x:v>是</x:v>
      </x:c>
      <x:c r="K196" s="4" t="str">
        <x:v>是</x:v>
      </x:c>
      <x:c r="L196" s="4" t="str">
        <x:v>是</x:v>
      </x:c>
      <x:c r="M196" s="4" t="str">
        <x:v>是</x:v>
      </x:c>
      <x:c r="N196" s="4" t="str">
        <x:v>pass</x:v>
      </x:c>
      <x:c r="O196" s="4" t="str">
        <x:v>B</x:v>
      </x:c>
      <x:c r="P196" s="4" t="str">
        <x:v>是</x:v>
      </x:c>
      <x:c r="Q196" s="17" t="n">
        <x:v>101000</x:v>
      </x:c>
      <x:c r="R196" s="16" t="str">
        <x:v>2026年3–6月</x:v>
      </x:c>
      <x:c r="S196" s="4" t="str">
        <x:v>【示意】市政府刊載市房管局資訊，非全年；獨立來源1；來源B級</x:v>
      </x:c>
      <x:c r="T196" s="4" t="str">
        <x:v>示意</x:v>
      </x:c>
      <x:c r="U196" s="16" t="n">
        <x:v>1</x:v>
      </x:c>
      <x:c r="V196" s="4" t="str">
        <x:v>低</x:v>
      </x:c>
      <x:c r="W196" s="4" t="str">
        <x:v>上海市政府轉載解放日報，2026-07-30，L24：2026年3–6月二手住房10.1萬套。</x:v>
      </x:c>
      <x:c r="X196" s="4" t="str">
        <x:v>單一獨立來源；按整合協議低信心，即使A級原始披露亦未達雙源實際門檻。 市政府網站為媒體轉載，分級B，不能因網址gov便誤列政府原始統計。</x:v>
      </x:c>
      <x:c r="Y196" s="37" t="d">
        <x:v>2026-10-09T00:00:00.000Z</x:v>
      </x:c>
      <x:c r="Z196" s="4" t="str">
        <x:v>turn191view4</x:v>
      </x:c>
    </x:row>
    <x:row r="197" ht="38" customHeight="1">
      <x:c r="A197" s="4" t="str">
        <x:v>M0196</x:v>
      </x:c>
      <x:c r="B197" s="4" t="str">
        <x:v>CN</x:v>
      </x:c>
      <x:c r="C197" s="4" t="str">
        <x:v>上海二手住宅成交年變動</x:v>
      </x:c>
      <x:c r="D197" s="17" t="n">
        <x:v>20</x:v>
      </x:c>
      <x:c r="E197" s="4" t="str">
        <x:v>%</x:v>
      </x:c>
      <x:c r="F197" s="16" t="str">
        <x:v>2026年3–6月</x:v>
      </x:c>
      <x:c r="G197" s="4" t="str">
        <x:v>同期變動，不能外推全國</x:v>
      </x:c>
      <x:c r="H197" s="4" t="str">
        <x:v>CN07</x:v>
      </x:c>
      <x:c r="I197" s="4" t="str">
        <x:v>https://www.shanghai.gov.cn/nw4411/20260730/6ad68292af8e4c42a37c7ae45be8dd7f.html</x:v>
      </x:c>
      <x:c r="J197" s="4" t="str">
        <x:v>是</x:v>
      </x:c>
      <x:c r="K197" s="4" t="str">
        <x:v>是</x:v>
      </x:c>
      <x:c r="L197" s="4" t="str">
        <x:v>是</x:v>
      </x:c>
      <x:c r="M197" s="4" t="str">
        <x:v>是</x:v>
      </x:c>
      <x:c r="N197" s="4" t="str">
        <x:v>pass</x:v>
      </x:c>
      <x:c r="O197" s="4" t="str">
        <x:v>B</x:v>
      </x:c>
      <x:c r="P197" s="4" t="str">
        <x:v>是</x:v>
      </x:c>
      <x:c r="Q197" s="17" t="n">
        <x:v>20</x:v>
      </x:c>
      <x:c r="R197" s="16" t="str">
        <x:v>2026年3–6月</x:v>
      </x:c>
      <x:c r="S197" s="4" t="str">
        <x:v>【示意】同期變動，不能外推全國；獨立來源1；來源B級</x:v>
      </x:c>
      <x:c r="T197" s="4" t="str">
        <x:v>示意</x:v>
      </x:c>
      <x:c r="U197" s="16" t="n">
        <x:v>1</x:v>
      </x:c>
      <x:c r="V197" s="4" t="str">
        <x:v>低</x:v>
      </x:c>
      <x:c r="W197" s="4" t="str">
        <x:v>同篇L24：較去年同期增加20%。</x:v>
      </x:c>
      <x:c r="X197" s="4" t="str">
        <x:v>單一獨立來源；按整合協議低信心，即使A級原始披露亦未達雙源實際門檻。 市政府網站為媒體轉載，分級B，不能因網址gov便誤列政府原始統計。</x:v>
      </x:c>
      <x:c r="Y197" s="37" t="d">
        <x:v>2026-10-09T00:00:00.000Z</x:v>
      </x:c>
      <x:c r="Z197" s="4" t="str">
        <x:v>turn191view4</x:v>
      </x:c>
    </x:row>
    <x:row r="198" ht="38" customHeight="1">
      <x:c r="A198" s="4" t="str">
        <x:v>M0197</x:v>
      </x:c>
      <x:c r="B198" s="4" t="str">
        <x:v>CN</x:v>
      </x:c>
      <x:c r="C198" s="4" t="str">
        <x:v>歐派家居營收</x:v>
      </x:c>
      <x:c r="D198" s="18" t="n">
        <x:v>17232089820.26</x:v>
      </x:c>
      <x:c r="E198" s="4" t="str">
        <x:v>CNY</x:v>
      </x:c>
      <x:c r="F198" s="16" t="n">
        <x:v>2025</x:v>
      </x:c>
      <x:c r="G198" s="4" t="str">
        <x:v>家具製造與家居整合，非裝修施工產值</x:v>
      </x:c>
      <x:c r="H198" s="4" t="str">
        <x:v>CN08</x:v>
      </x:c>
      <x:c r="I198" s="4" t="str">
        <x:v>https://vip.stock.finance.sina.com.cn/corp/view/vCB_AllBulletinDetail.php?id=12179735&amp;stockid=603833</x:v>
      </x:c>
      <x:c r="J198" s="4" t="str">
        <x:v>是</x:v>
      </x:c>
      <x:c r="K198" s="4" t="str">
        <x:v>是</x:v>
      </x:c>
      <x:c r="L198" s="4" t="str">
        <x:v>是</x:v>
      </x:c>
      <x:c r="M198" s="4" t="str">
        <x:v>是</x:v>
      </x:c>
      <x:c r="N198" s="4" t="str">
        <x:v>pass</x:v>
      </x:c>
      <x:c r="O198" s="4" t="str">
        <x:v>A</x:v>
      </x:c>
      <x:c r="P198" s="4" t="str">
        <x:v>是</x:v>
      </x:c>
      <x:c r="Q198" s="18" t="n">
        <x:v>17232089820.26</x:v>
      </x:c>
      <x:c r="R198" s="16" t="n">
        <x:v>2025</x:v>
      </x:c>
      <x:c r="S198" s="4" t="str">
        <x:v>【示意】家具製造與家居整合，非裝修施工產值；獨立來源1；來源A級</x:v>
      </x:c>
      <x:c r="T198" s="4" t="str">
        <x:v>示意</x:v>
      </x:c>
      <x:c r="U198" s="16" t="n">
        <x:v>1</x:v>
      </x:c>
      <x:c r="V198" s="4" t="str">
        <x:v>低</x:v>
      </x:c>
      <x:c r="W198" s="4" t="str">
        <x:v>歐派2025年報全文轉載L125–130：2025營收17,232,089,820.26元。</x:v>
      </x:c>
      <x:c r="X198" s="4" t="str">
        <x:v>單一獨立來源；按整合協議低信心，即使A級原始披露亦未達雙源實際門檻。</x:v>
      </x:c>
      <x:c r="Y198" s="37" t="d">
        <x:v>2026-10-09T00:00:00.000Z</x:v>
      </x:c>
      <x:c r="Z198" s="4" t="str">
        <x:v>turn191view5</x:v>
      </x:c>
    </x:row>
    <x:row r="199" ht="38" customHeight="1">
      <x:c r="A199" s="4" t="str">
        <x:v>M0198</x:v>
      </x:c>
      <x:c r="B199" s="4" t="str">
        <x:v>CN</x:v>
      </x:c>
      <x:c r="C199" s="4" t="str">
        <x:v>歐派家居營收年變動</x:v>
      </x:c>
      <x:c r="D199" s="18" t="n">
        <x:v>-8.94</x:v>
      </x:c>
      <x:c r="E199" s="4" t="str">
        <x:v>%</x:v>
      </x:c>
      <x:c r="F199" s="16" t="n">
        <x:v>2025</x:v>
      </x:c>
      <x:c r="G199" s="4" t="str">
        <x:v>合併</x:v>
      </x:c>
      <x:c r="H199" s="4" t="str">
        <x:v>CN08</x:v>
      </x:c>
      <x:c r="I199" s="4" t="str">
        <x:v>https://vip.stock.finance.sina.com.cn/corp/view/vCB_AllBulletinDetail.php?id=12179735&amp;stockid=603833</x:v>
      </x:c>
      <x:c r="J199" s="4" t="str">
        <x:v>是</x:v>
      </x:c>
      <x:c r="K199" s="4" t="str">
        <x:v>是</x:v>
      </x:c>
      <x:c r="L199" s="4" t="str">
        <x:v>是</x:v>
      </x:c>
      <x:c r="M199" s="4" t="str">
        <x:v>是</x:v>
      </x:c>
      <x:c r="N199" s="4" t="str">
        <x:v>pass</x:v>
      </x:c>
      <x:c r="O199" s="4" t="str">
        <x:v>A</x:v>
      </x:c>
      <x:c r="P199" s="4" t="str">
        <x:v>是</x:v>
      </x:c>
      <x:c r="Q199" s="18" t="n">
        <x:v>-8.94</x:v>
      </x:c>
      <x:c r="R199" s="16" t="n">
        <x:v>2025</x:v>
      </x:c>
      <x:c r="S199" s="4" t="str">
        <x:v>【示意】合併；獨立來源1；來源A級</x:v>
      </x:c>
      <x:c r="T199" s="4" t="str">
        <x:v>示意</x:v>
      </x:c>
      <x:c r="U199" s="16" t="n">
        <x:v>1</x:v>
      </x:c>
      <x:c r="V199" s="4" t="str">
        <x:v>低</x:v>
      </x:c>
      <x:c r="W199" s="4" t="str">
        <x:v>同表同比−8.94%。</x:v>
      </x:c>
      <x:c r="X199" s="4" t="str">
        <x:v>單一獨立來源；按整合協議低信心，即使A級原始披露亦未達雙源實際門檻。</x:v>
      </x:c>
      <x:c r="Y199" s="37" t="d">
        <x:v>2026-10-09T00:00:00.000Z</x:v>
      </x:c>
      <x:c r="Z199" s="4" t="str">
        <x:v>turn191view5</x:v>
      </x:c>
    </x:row>
    <x:row r="200" ht="38" customHeight="1">
      <x:c r="A200" s="4" t="str">
        <x:v>M0199</x:v>
      </x:c>
      <x:c r="B200" s="4" t="str">
        <x:v>CN</x:v>
      </x:c>
      <x:c r="C200" s="4" t="str">
        <x:v>歐派家居經營現金流</x:v>
      </x:c>
      <x:c r="D200" s="19" t="n">
        <x:v>3397112444.5</x:v>
      </x:c>
      <x:c r="E200" s="4" t="str">
        <x:v>CNY</x:v>
      </x:c>
      <x:c r="F200" s="16" t="n">
        <x:v>2025</x:v>
      </x:c>
      <x:c r="G200" s="4" t="str">
        <x:v>合併</x:v>
      </x:c>
      <x:c r="H200" s="4" t="str">
        <x:v>CN08</x:v>
      </x:c>
      <x:c r="I200" s="4" t="str">
        <x:v>https://vip.stock.finance.sina.com.cn/corp/view/vCB_AllBulletinDetail.php?id=12179735&amp;stockid=603833</x:v>
      </x:c>
      <x:c r="J200" s="4" t="str">
        <x:v>是</x:v>
      </x:c>
      <x:c r="K200" s="4" t="str">
        <x:v>是</x:v>
      </x:c>
      <x:c r="L200" s="4" t="str">
        <x:v>是</x:v>
      </x:c>
      <x:c r="M200" s="4" t="str">
        <x:v>是</x:v>
      </x:c>
      <x:c r="N200" s="4" t="str">
        <x:v>pass</x:v>
      </x:c>
      <x:c r="O200" s="4" t="str">
        <x:v>A</x:v>
      </x:c>
      <x:c r="P200" s="4" t="str">
        <x:v>是</x:v>
      </x:c>
      <x:c r="Q200" s="19" t="n">
        <x:v>3397112444.5</x:v>
      </x:c>
      <x:c r="R200" s="16" t="n">
        <x:v>2025</x:v>
      </x:c>
      <x:c r="S200" s="4" t="str">
        <x:v>【示意】合併；獨立來源1；來源A級</x:v>
      </x:c>
      <x:c r="T200" s="4" t="str">
        <x:v>示意</x:v>
      </x:c>
      <x:c r="U200" s="16" t="n">
        <x:v>1</x:v>
      </x:c>
      <x:c r="V200" s="4" t="str">
        <x:v>低</x:v>
      </x:c>
      <x:c r="W200" s="4" t="str">
        <x:v>同表經營現金淨額3,397,112,444.50元。</x:v>
      </x:c>
      <x:c r="X200" s="4" t="str">
        <x:v>單一獨立來源；按整合協議低信心，即使A級原始披露亦未達雙源實際門檻。</x:v>
      </x:c>
      <x:c r="Y200" s="37" t="d">
        <x:v>2026-10-09T00:00:00.000Z</x:v>
      </x:c>
      <x:c r="Z200" s="4" t="str">
        <x:v>turn191view5</x:v>
      </x:c>
    </x:row>
    <x:row r="201" ht="38" customHeight="1">
      <x:c r="A201" s="4" t="str">
        <x:v>M0200</x:v>
      </x:c>
      <x:c r="B201" s="4" t="str">
        <x:v>CN</x:v>
      </x:c>
      <x:c r="C201" s="4" t="str">
        <x:v>歐派家居经營現金流年變動</x:v>
      </x:c>
      <x:c r="D201" s="18" t="n">
        <x:v>-38.23</x:v>
      </x:c>
      <x:c r="E201" s="4" t="str">
        <x:v>%</x:v>
      </x:c>
      <x:c r="F201" s="16" t="n">
        <x:v>2025</x:v>
      </x:c>
      <x:c r="G201" s="4" t="str">
        <x:v>銷售收現下降</x:v>
      </x:c>
      <x:c r="H201" s="4" t="str">
        <x:v>CN08</x:v>
      </x:c>
      <x:c r="I201" s="4" t="str">
        <x:v>https://vip.stock.finance.sina.com.cn/corp/view/vCB_AllBulletinDetail.php?id=12179735&amp;stockid=603833</x:v>
      </x:c>
      <x:c r="J201" s="4" t="str">
        <x:v>是</x:v>
      </x:c>
      <x:c r="K201" s="4" t="str">
        <x:v>是</x:v>
      </x:c>
      <x:c r="L201" s="4" t="str">
        <x:v>是</x:v>
      </x:c>
      <x:c r="M201" s="4" t="str">
        <x:v>是</x:v>
      </x:c>
      <x:c r="N201" s="4" t="str">
        <x:v>pass</x:v>
      </x:c>
      <x:c r="O201" s="4" t="str">
        <x:v>A</x:v>
      </x:c>
      <x:c r="P201" s="4" t="str">
        <x:v>是</x:v>
      </x:c>
      <x:c r="Q201" s="18" t="n">
        <x:v>-38.23</x:v>
      </x:c>
      <x:c r="R201" s="16" t="n">
        <x:v>2025</x:v>
      </x:c>
      <x:c r="S201" s="4" t="str">
        <x:v>【示意】銷售收現下降；獨立來源1；來源A級</x:v>
      </x:c>
      <x:c r="T201" s="4" t="str">
        <x:v>示意</x:v>
      </x:c>
      <x:c r="U201" s="16" t="n">
        <x:v>1</x:v>
      </x:c>
      <x:c r="V201" s="4" t="str">
        <x:v>低</x:v>
      </x:c>
      <x:c r="W201" s="4" t="str">
        <x:v>同表同比−38.23%。</x:v>
      </x:c>
      <x:c r="X201" s="4" t="str">
        <x:v>單一獨立來源；按整合協議低信心，即使A級原始披露亦未達雙源實際門檻。</x:v>
      </x:c>
      <x:c r="Y201" s="37" t="d">
        <x:v>2026-10-09T00:00:00.000Z</x:v>
      </x:c>
      <x:c r="Z201" s="4" t="str">
        <x:v>turn191view5</x:v>
      </x:c>
    </x:row>
    <x:row r="202" ht="38" customHeight="1">
      <x:c r="A202" s="4" t="str">
        <x:v>M0201</x:v>
      </x:c>
      <x:c r="B202" s="4" t="str">
        <x:v>CN</x:v>
      </x:c>
      <x:c r="C202" s="4" t="str">
        <x:v>金螳螂營收</x:v>
      </x:c>
      <x:c r="D202" s="18" t="n">
        <x:v>18329220950.08</x:v>
      </x:c>
      <x:c r="E202" s="4" t="str">
        <x:v>CNY</x:v>
      </x:c>
      <x:c r="F202" s="16" t="n">
        <x:v>2024</x:v>
      </x:c>
      <x:c r="G202" s="4" t="str">
        <x:v>含公裝、住宅、幕牆等合併，非住宅翻修</x:v>
      </x:c>
      <x:c r="H202" s="4" t="str">
        <x:v>CN09</x:v>
      </x:c>
      <x:c r="I202" s="4" t="str">
        <x:v>https://money.finance.sina.com.cn/corp/view/vCB_AllBulletinDetail.php?id=11046631&amp;stockid=002081</x:v>
      </x:c>
      <x:c r="J202" s="4" t="str">
        <x:v>是</x:v>
      </x:c>
      <x:c r="K202" s="4" t="str">
        <x:v>是</x:v>
      </x:c>
      <x:c r="L202" s="4" t="str">
        <x:v>是</x:v>
      </x:c>
      <x:c r="M202" s="4" t="str">
        <x:v>是</x:v>
      </x:c>
      <x:c r="N202" s="4" t="str">
        <x:v>pass</x:v>
      </x:c>
      <x:c r="O202" s="4" t="str">
        <x:v>A</x:v>
      </x:c>
      <x:c r="P202" s="4" t="str">
        <x:v>是</x:v>
      </x:c>
      <x:c r="Q202" s="18" t="n">
        <x:v>18329220950.08</x:v>
      </x:c>
      <x:c r="R202" s="16" t="n">
        <x:v>2024</x:v>
      </x:c>
      <x:c r="S202" s="4" t="str">
        <x:v>【示意】含公裝、住宅、幕牆等合併，非住宅翻修；獨立來源1；來源A級</x:v>
      </x:c>
      <x:c r="T202" s="4" t="str">
        <x:v>示意</x:v>
      </x:c>
      <x:c r="U202" s="16" t="n">
        <x:v>1</x:v>
      </x:c>
      <x:c r="V202" s="4" t="str">
        <x:v>低</x:v>
      </x:c>
      <x:c r="W202" s="4" t="str">
        <x:v>金螳螂2024年報全文轉載：營業收入18,329,220,950.08元；合併，非纯家裝。</x:v>
      </x:c>
      <x:c r="X202" s="4" t="str">
        <x:v>單一獨立來源；按整合協議低信心，即使A級原始披露亦未達雙源實際門檻。</x:v>
      </x:c>
      <x:c r="Y202" s="37" t="d">
        <x:v>2026-10-09T00:00:00.000Z</x:v>
      </x:c>
      <x:c r="Z202" s="4" t="str">
        <x:v>turn191view6</x:v>
      </x:c>
    </x:row>
    <x:row r="203" ht="38" customHeight="1">
      <x:c r="A203" s="4" t="str">
        <x:v>M0202</x:v>
      </x:c>
      <x:c r="B203" s="4" t="str">
        <x:v>CN</x:v>
      </x:c>
      <x:c r="C203" s="4" t="str">
        <x:v>金螳螂全年經營現金流</x:v>
      </x:c>
      <x:c r="D203" s="18" t="n">
        <x:v>404600512.55</x:v>
      </x:c>
      <x:c r="E203" s="4" t="str">
        <x:v>CNY</x:v>
      </x:c>
      <x:c r="F203" s="16" t="n">
        <x:v>2024</x:v>
      </x:c>
      <x:c r="G203" s="4" t="str">
        <x:v>全年正值不代表各季均正</x:v>
      </x:c>
      <x:c r="H203" s="4" t="str">
        <x:v>CN09</x:v>
      </x:c>
      <x:c r="I203" s="4" t="str">
        <x:v>https://money.finance.sina.com.cn/corp/view/vCB_AllBulletinDetail.php?id=11046631&amp;stockid=002081</x:v>
      </x:c>
      <x:c r="J203" s="4" t="str">
        <x:v>是</x:v>
      </x:c>
      <x:c r="K203" s="4" t="str">
        <x:v>是</x:v>
      </x:c>
      <x:c r="L203" s="4" t="str">
        <x:v>是</x:v>
      </x:c>
      <x:c r="M203" s="4" t="str">
        <x:v>是</x:v>
      </x:c>
      <x:c r="N203" s="4" t="str">
        <x:v>pass</x:v>
      </x:c>
      <x:c r="O203" s="4" t="str">
        <x:v>A</x:v>
      </x:c>
      <x:c r="P203" s="4" t="str">
        <x:v>是</x:v>
      </x:c>
      <x:c r="Q203" s="18" t="n">
        <x:v>404600512.55</x:v>
      </x:c>
      <x:c r="R203" s="16" t="n">
        <x:v>2024</x:v>
      </x:c>
      <x:c r="S203" s="4" t="str">
        <x:v>【示意】全年正值不代表各季均正；獨立來源1；來源A級</x:v>
      </x:c>
      <x:c r="T203" s="4" t="str">
        <x:v>示意</x:v>
      </x:c>
      <x:c r="U203" s="16" t="n">
        <x:v>1</x:v>
      </x:c>
      <x:c r="V203" s="4" t="str">
        <x:v>低</x:v>
      </x:c>
      <x:c r="W203" s="4" t="str">
        <x:v>同年報L120：2024經營現金淨額404,600,512.55元。</x:v>
      </x:c>
      <x:c r="X203" s="4" t="str">
        <x:v>單一獨立來源；按整合協議低信心，即使A級原始披露亦未達雙源實際門檻。</x:v>
      </x:c>
      <x:c r="Y203" s="37" t="d">
        <x:v>2026-10-09T00:00:00.000Z</x:v>
      </x:c>
      <x:c r="Z203" s="4" t="str">
        <x:v>turn191view6</x:v>
      </x:c>
    </x:row>
    <x:row r="204" ht="38" customHeight="1">
      <x:c r="A204" s="4" t="str">
        <x:v>M0203</x:v>
      </x:c>
      <x:c r="B204" s="4" t="str">
        <x:v>CN</x:v>
      </x:c>
      <x:c r="C204" s="4" t="str">
        <x:v>金螳螂第一季經營現金流</x:v>
      </x:c>
      <x:c r="D204" s="18" t="n">
        <x:v>-1585213082.85</x:v>
      </x:c>
      <x:c r="E204" s="4" t="str">
        <x:v>CNY</x:v>
      </x:c>
      <x:c r="F204" s="16" t="str">
        <x:v>2024Q1</x:v>
      </x:c>
      <x:c r="G204" s="4" t="str">
        <x:v>同年第一季，展示季節資金壓力</x:v>
      </x:c>
      <x:c r="H204" s="4" t="str">
        <x:v>CN09</x:v>
      </x:c>
      <x:c r="I204" s="4" t="str">
        <x:v>https://money.finance.sina.com.cn/corp/view/vCB_AllBulletinDetail.php?id=11046631&amp;stockid=002081</x:v>
      </x:c>
      <x:c r="J204" s="4" t="str">
        <x:v>是</x:v>
      </x:c>
      <x:c r="K204" s="4" t="str">
        <x:v>是</x:v>
      </x:c>
      <x:c r="L204" s="4" t="str">
        <x:v>是</x:v>
      </x:c>
      <x:c r="M204" s="4" t="str">
        <x:v>是</x:v>
      </x:c>
      <x:c r="N204" s="4" t="str">
        <x:v>pass</x:v>
      </x:c>
      <x:c r="O204" s="4" t="str">
        <x:v>A</x:v>
      </x:c>
      <x:c r="P204" s="4" t="str">
        <x:v>是</x:v>
      </x:c>
      <x:c r="Q204" s="18" t="n">
        <x:v>-1585213082.85</x:v>
      </x:c>
      <x:c r="R204" s="16" t="str">
        <x:v>2024Q1</x:v>
      </x:c>
      <x:c r="S204" s="4" t="str">
        <x:v>【示意】同年第一季，展示季節資金壓力；獨立來源1；來源A級</x:v>
      </x:c>
      <x:c r="T204" s="4" t="str">
        <x:v>示意</x:v>
      </x:c>
      <x:c r="U204" s="16" t="n">
        <x:v>1</x:v>
      </x:c>
      <x:c r="V204" s="4" t="str">
        <x:v>低</x:v>
      </x:c>
      <x:c r="W204" s="4" t="str">
        <x:v>同年報季度分表L129–132：第一季度現金淨額−1,585,213,082.85元。</x:v>
      </x:c>
      <x:c r="X204" s="4" t="str">
        <x:v>單一獨立來源；按整合協議低信心，即使A級原始披露亦未達雙源實際門檻。</x:v>
      </x:c>
      <x:c r="Y204" s="37" t="d">
        <x:v>2026-10-09T00:00:00.000Z</x:v>
      </x:c>
      <x:c r="Z204" s="4" t="str">
        <x:v>turn191view6</x:v>
      </x:c>
    </x:row>
    <x:row r="205" ht="30" customHeight="1">
      <x:c r="A205" s="4" t="str">
        <x:v>M0204</x:v>
      </x:c>
      <x:c r="B205" s="4" t="str">
        <x:v>CN</x:v>
      </x:c>
      <x:c r="C205" s="4" t="str">
        <x:v>家裝廚衛普通產品補貼上限</x:v>
      </x:c>
      <x:c r="D205" s="17" t="n">
        <x:v>15</x:v>
      </x:c>
      <x:c r="E205" s="4" t="str">
        <x:v>%</x:v>
      </x:c>
      <x:c r="F205" s="16" t="n">
        <x:v>2025</x:v>
      </x:c>
      <x:c r="G205" s="4" t="str">
        <x:v>成交價；各地細則與資格，不等於全工程補助</x:v>
      </x:c>
      <x:c r="H205" s="4" t="str">
        <x:v>CN10</x:v>
      </x:c>
      <x:c r="I205" s="4" t="str">
        <x:v>https://app.www.gov.cn/govdata/gov/202501/28/524144/article.html</x:v>
      </x:c>
      <x:c r="J205" s="4" t="str">
        <x:v>是</x:v>
      </x:c>
      <x:c r="K205" s="4" t="str">
        <x:v>是</x:v>
      </x:c>
      <x:c r="L205" s="4" t="str">
        <x:v>是</x:v>
      </x:c>
      <x:c r="M205" s="4" t="str">
        <x:v>是</x:v>
      </x:c>
      <x:c r="N205" s="4" t="str">
        <x:v>pass</x:v>
      </x:c>
      <x:c r="O205" s="4" t="str">
        <x:v>A</x:v>
      </x:c>
      <x:c r="P205" s="4" t="str">
        <x:v>是</x:v>
      </x:c>
      <x:c r="Q205" s="17" t="n">
        <x:v>15</x:v>
      </x:c>
      <x:c r="R205" s="16" t="n">
        <x:v>2025</x:v>
      </x:c>
      <x:c r="S205" s="4" t="str">
        <x:v>【示意】成交價；各地細則與資格，不等於全工程補助；獨立來源1；來源A級</x:v>
      </x:c>
      <x:c r="T205" s="4" t="str">
        <x:v>示意</x:v>
      </x:c>
      <x:c r="U205" s="16" t="n">
        <x:v>1</x:v>
      </x:c>
      <x:c r="V205" s="4" t="str">
        <x:v>低</x:v>
      </x:c>
      <x:c r="W205" s="4" t="str">
        <x:v>商辦消費函〔2025〕29號第三（二）款：銷售淨價補貼不高於15%。</x:v>
      </x:c>
      <x:c r="X205" s="4" t="str">
        <x:v>單一獨立來源；按整合協議低信心，即使A級原始披露亦未達雙源實際門檻。</x:v>
      </x:c>
      <x:c r="Y205" s="37" t="d">
        <x:v>2026-10-09T00:00:00.000Z</x:v>
      </x:c>
      <x:c r="Z205" s="4" t="str">
        <x:v>turn191view7</x:v>
      </x:c>
    </x:row>
    <x:row r="206" ht="30" customHeight="1">
      <x:c r="A206" s="4" t="str">
        <x:v>M0205</x:v>
      </x:c>
      <x:c r="B206" s="4" t="str">
        <x:v>CN</x:v>
      </x:c>
      <x:c r="C206" s="4" t="str">
        <x:v>一級能水效產品補貼上限</x:v>
      </x:c>
      <x:c r="D206" s="17" t="n">
        <x:v>20</x:v>
      </x:c>
      <x:c r="E206" s="4" t="str">
        <x:v>%</x:v>
      </x:c>
      <x:c r="F206" s="16" t="n">
        <x:v>2025</x:v>
      </x:c>
      <x:c r="G206" s="4" t="str">
        <x:v>成交價；各地細則</x:v>
      </x:c>
      <x:c r="H206" s="4" t="str">
        <x:v>CN10</x:v>
      </x:c>
      <x:c r="I206" s="4" t="str">
        <x:v>https://app.www.gov.cn/govdata/gov/202501/28/524144/article.html</x:v>
      </x:c>
      <x:c r="J206" s="4" t="str">
        <x:v>是</x:v>
      </x:c>
      <x:c r="K206" s="4" t="str">
        <x:v>是</x:v>
      </x:c>
      <x:c r="L206" s="4" t="str">
        <x:v>是</x:v>
      </x:c>
      <x:c r="M206" s="4" t="str">
        <x:v>是</x:v>
      </x:c>
      <x:c r="N206" s="4" t="str">
        <x:v>pass</x:v>
      </x:c>
      <x:c r="O206" s="4" t="str">
        <x:v>A</x:v>
      </x:c>
      <x:c r="P206" s="4" t="str">
        <x:v>是</x:v>
      </x:c>
      <x:c r="Q206" s="17" t="n">
        <x:v>20</x:v>
      </x:c>
      <x:c r="R206" s="16" t="n">
        <x:v>2025</x:v>
      </x:c>
      <x:c r="S206" s="4" t="str">
        <x:v>【示意】成交價；各地細則；獨立來源1；來源A級</x:v>
      </x:c>
      <x:c r="T206" s="4" t="str">
        <x:v>示意</x:v>
      </x:c>
      <x:c r="U206" s="16" t="n">
        <x:v>1</x:v>
      </x:c>
      <x:c r="V206" s="4" t="str">
        <x:v>低</x:v>
      </x:c>
      <x:c r="W206" s="4" t="str">
        <x:v>同款：1級及以上能效或水效標準產品不高於20%。</x:v>
      </x:c>
      <x:c r="X206" s="4" t="str">
        <x:v>單一獨立來源；按整合協議低信心，即使A級原始披露亦未達雙源實際門檻。</x:v>
      </x:c>
      <x:c r="Y206" s="37" t="d">
        <x:v>2026-10-09T00:00:00.000Z</x:v>
      </x:c>
      <x:c r="Z206" s="4" t="str">
        <x:v>turn191view7</x:v>
      </x:c>
    </x:row>
    <x:row r="207" ht="30" customHeight="1">
      <x:c r="A207" s="4" t="str">
        <x:v>M0206</x:v>
      </x:c>
      <x:c r="B207" s="4" t="str">
        <x:v>CN</x:v>
      </x:c>
      <x:c r="C207" s="4" t="str">
        <x:v>適老化產品補貼上限</x:v>
      </x:c>
      <x:c r="D207" s="17" t="n">
        <x:v>30</x:v>
      </x:c>
      <x:c r="E207" s="4" t="str">
        <x:v>%</x:v>
      </x:c>
      <x:c r="F207" s="16" t="n">
        <x:v>2025</x:v>
      </x:c>
      <x:c r="G207" s="4" t="str">
        <x:v>成交價；各地細則</x:v>
      </x:c>
      <x:c r="H207" s="4" t="str">
        <x:v>CN10</x:v>
      </x:c>
      <x:c r="I207" s="4" t="str">
        <x:v>https://app.www.gov.cn/govdata/gov/202501/28/524144/article.html</x:v>
      </x:c>
      <x:c r="J207" s="4" t="str">
        <x:v>是</x:v>
      </x:c>
      <x:c r="K207" s="4" t="str">
        <x:v>是</x:v>
      </x:c>
      <x:c r="L207" s="4" t="str">
        <x:v>是</x:v>
      </x:c>
      <x:c r="M207" s="4" t="str">
        <x:v>是</x:v>
      </x:c>
      <x:c r="N207" s="4" t="str">
        <x:v>pass</x:v>
      </x:c>
      <x:c r="O207" s="4" t="str">
        <x:v>A</x:v>
      </x:c>
      <x:c r="P207" s="4" t="str">
        <x:v>是</x:v>
      </x:c>
      <x:c r="Q207" s="17" t="n">
        <x:v>30</x:v>
      </x:c>
      <x:c r="R207" s="16" t="n">
        <x:v>2025</x:v>
      </x:c>
      <x:c r="S207" s="4" t="str">
        <x:v>【示意】成交價；各地細則；獨立來源1；來源A級</x:v>
      </x:c>
      <x:c r="T207" s="4" t="str">
        <x:v>示意</x:v>
      </x:c>
      <x:c r="U207" s="16" t="n">
        <x:v>1</x:v>
      </x:c>
      <x:c r="V207" s="4" t="str">
        <x:v>低</x:v>
      </x:c>
      <x:c r="W207" s="4" t="str">
        <x:v>同款：居家適老化改造產品不高於30%，各地另定限額等條件。</x:v>
      </x:c>
      <x:c r="X207" s="4" t="str">
        <x:v>單一獨立來源；按整合協議低信心，即使A級原始披露亦未達雙源實際門檻。</x:v>
      </x:c>
      <x:c r="Y207" s="37" t="d">
        <x:v>2026-10-09T00:00:00.000Z</x:v>
      </x:c>
      <x:c r="Z207" s="4" t="str">
        <x:v>turn191view7</x:v>
      </x:c>
    </x:row>
    <x:row r="208" ht="30" customHeight="1">
      <x:c r="A208" s="4" t="str">
        <x:v>M0207</x:v>
      </x:c>
      <x:c r="B208" s="4" t="str">
        <x:v>CN</x:v>
      </x:c>
      <x:c r="C208" s="4" t="str">
        <x:v>金螳螂營收</x:v>
      </x:c>
      <x:c r="D208" s="18" t="n">
        <x:v>8091209954.22</x:v>
      </x:c>
      <x:c r="E208" s="4" t="str">
        <x:v>CNY</x:v>
      </x:c>
      <x:c r="F208" s="16" t="str">
        <x:v>2026H1</x:v>
      </x:c>
      <x:c r="G208" s="4" t="str">
        <x:v>半年度合併</x:v>
      </x:c>
      <x:c r="H208" s="4" t="str">
        <x:v>CN12</x:v>
      </x:c>
      <x:c r="I208" s="4" t="str">
        <x:v>https://static.cninfo.com.cn/finalpage/2026-08-26/1225501659.PDF</x:v>
      </x:c>
      <x:c r="J208" s="4" t="str">
        <x:v>是</x:v>
      </x:c>
      <x:c r="K208" s="4" t="str">
        <x:v>是</x:v>
      </x:c>
      <x:c r="L208" s="4" t="str">
        <x:v>是</x:v>
      </x:c>
      <x:c r="M208" s="4" t="str">
        <x:v>是</x:v>
      </x:c>
      <x:c r="N208" s="4" t="str">
        <x:v>pass</x:v>
      </x:c>
      <x:c r="O208" s="4" t="str">
        <x:v>A</x:v>
      </x:c>
      <x:c r="P208" s="4" t="str">
        <x:v>是</x:v>
      </x:c>
      <x:c r="Q208" s="18" t="n">
        <x:v>8091209954.22</x:v>
      </x:c>
      <x:c r="R208" s="16" t="str">
        <x:v>2026H1</x:v>
      </x:c>
      <x:c r="S208" s="4" t="str">
        <x:v>【示意】半年度合併；獨立來源1；來源A級</x:v>
      </x:c>
      <x:c r="T208" s="4" t="str">
        <x:v>示意</x:v>
      </x:c>
      <x:c r="U208" s="16" t="n">
        <x:v>1</x:v>
      </x:c>
      <x:c r="V208" s="4" t="str">
        <x:v>低</x:v>
      </x:c>
      <x:c r="W208" s="4" t="str">
        <x:v>金螳螂2026半年報PDF第18頁：合計營收8,091,209,954.22元。</x:v>
      </x:c>
      <x:c r="X208" s="4" t="str">
        <x:v>單一獨立來源；按整合協議低信心，即使A級原始披露亦未達雙源實際門檻。</x:v>
      </x:c>
      <x:c r="Y208" s="37" t="d">
        <x:v>2026-10-09T00:00:00.000Z</x:v>
      </x:c>
      <x:c r="Z208" s="4" t="str">
        <x:v>turn191view9</x:v>
      </x:c>
    </x:row>
    <x:row r="209" ht="30" customHeight="1">
      <x:c r="A209" s="4" t="str">
        <x:v>M0208</x:v>
      </x:c>
      <x:c r="B209" s="4" t="str">
        <x:v>CN</x:v>
      </x:c>
      <x:c r="C209" s="4" t="str">
        <x:v>金螳螂營收年變動</x:v>
      </x:c>
      <x:c r="D209" s="18" t="n">
        <x:v>-15.08</x:v>
      </x:c>
      <x:c r="E209" s="4" t="str">
        <x:v>%</x:v>
      </x:c>
      <x:c r="F209" s="16" t="str">
        <x:v>2026H1</x:v>
      </x:c>
      <x:c r="G209" s="4" t="str">
        <x:v>與2025H1比較</x:v>
      </x:c>
      <x:c r="H209" s="4" t="str">
        <x:v>CN12</x:v>
      </x:c>
      <x:c r="I209" s="4" t="str">
        <x:v>https://static.cninfo.com.cn/finalpage/2026-08-26/1225501659.PDF</x:v>
      </x:c>
      <x:c r="J209" s="4" t="str">
        <x:v>是</x:v>
      </x:c>
      <x:c r="K209" s="4" t="str">
        <x:v>是</x:v>
      </x:c>
      <x:c r="L209" s="4" t="str">
        <x:v>是</x:v>
      </x:c>
      <x:c r="M209" s="4" t="str">
        <x:v>是</x:v>
      </x:c>
      <x:c r="N209" s="4" t="str">
        <x:v>pass</x:v>
      </x:c>
      <x:c r="O209" s="4" t="str">
        <x:v>A</x:v>
      </x:c>
      <x:c r="P209" s="4" t="str">
        <x:v>是</x:v>
      </x:c>
      <x:c r="Q209" s="18" t="n">
        <x:v>-15.08</x:v>
      </x:c>
      <x:c r="R209" s="16" t="str">
        <x:v>2026H1</x:v>
      </x:c>
      <x:c r="S209" s="4" t="str">
        <x:v>【示意】與2025H1比較；獨立來源1；來源A級</x:v>
      </x:c>
      <x:c r="T209" s="4" t="str">
        <x:v>示意</x:v>
      </x:c>
      <x:c r="U209" s="16" t="n">
        <x:v>1</x:v>
      </x:c>
      <x:c r="V209" s="4" t="str">
        <x:v>低</x:v>
      </x:c>
      <x:c r="W209" s="4" t="str">
        <x:v>同表：上年同期9,528,029,574.28元；年減15.08%。</x:v>
      </x:c>
      <x:c r="X209" s="4" t="str">
        <x:v>單一獨立來源；按整合協議低信心，即使A級原始披露亦未達雙源實際門檻。</x:v>
      </x:c>
      <x:c r="Y209" s="37" t="d">
        <x:v>2026-10-09T00:00:00.000Z</x:v>
      </x:c>
      <x:c r="Z209" s="4" t="str">
        <x:v>turn191view9</x:v>
      </x:c>
    </x:row>
    <x:row r="210" ht="38" customHeight="1">
      <x:c r="A210" s="4" t="str">
        <x:v>M0209</x:v>
      </x:c>
      <x:c r="B210" s="4" t="str">
        <x:v>CN</x:v>
      </x:c>
      <x:c r="C210" s="4" t="str">
        <x:v>貝殼家裝家居全年收入</x:v>
      </x:c>
      <x:c r="D210" s="17" t="n">
        <x:v>15400000000</x:v>
      </x:c>
      <x:c r="E210" s="4" t="str">
        <x:v>CNY</x:v>
      </x:c>
      <x:c r="F210" s="16" t="n">
        <x:v>2025</x:v>
      </x:c>
      <x:c r="G210" s="4" t="str">
        <x:v>家装家居分部，含施工與家居銷售，公告約數</x:v>
      </x:c>
      <x:c r="H210" s="4" t="str">
        <x:v>CN13</x:v>
      </x:c>
      <x:c r="I210" s="4" t="str">
        <x:v>https://investors.ke.com/news-releases/news-release-details/ke-holdings-inc-announces-fourth-quarter-and-fiscal-year-2025</x:v>
      </x:c>
      <x:c r="J210" s="4" t="str">
        <x:v>是</x:v>
      </x:c>
      <x:c r="K210" s="4" t="str">
        <x:v>是</x:v>
      </x:c>
      <x:c r="L210" s="4" t="str">
        <x:v>是</x:v>
      </x:c>
      <x:c r="M210" s="4" t="str">
        <x:v>是</x:v>
      </x:c>
      <x:c r="N210" s="4" t="str">
        <x:v>pass</x:v>
      </x:c>
      <x:c r="O210" s="4" t="str">
        <x:v>C</x:v>
      </x:c>
      <x:c r="P210" s="4" t="str">
        <x:v>是</x:v>
      </x:c>
      <x:c r="Q210" s="17" t="n">
        <x:v>15400000000</x:v>
      </x:c>
      <x:c r="R210" s="16" t="n">
        <x:v>2025</x:v>
      </x:c>
      <x:c r="S210" s="4" t="str">
        <x:v>【示意】家装家居分部，含施工與家居銷售，公告約數；獨立來源1；來源C級</x:v>
      </x:c>
      <x:c r="T210" s="4" t="str">
        <x:v>示意</x:v>
      </x:c>
      <x:c r="U210" s="16" t="n">
        <x:v>1</x:v>
      </x:c>
      <x:c r="V210" s="4" t="str">
        <x:v>低</x:v>
      </x:c>
      <x:c r="W210" s="4" t="str">
        <x:v>貝殼2025全年未經審核公告L117：家裝家居收入15.4 billion RMB；約數。</x:v>
      </x:c>
      <x:c r="X210" s="4" t="str">
        <x:v>單一獨立來源；按整合協議低信心，即使A級原始披露亦未達雙源實際門檻。</x:v>
      </x:c>
      <x:c r="Y210" s="37" t="d">
        <x:v>2026-10-09T00:00:00.000Z</x:v>
      </x:c>
      <x:c r="Z210" s="4" t="str">
        <x:v>turn191view10</x:v>
      </x:c>
    </x:row>
    <x:row r="211" ht="38" customHeight="1">
      <x:c r="A211" s="4" t="str">
        <x:v>M0210</x:v>
      </x:c>
      <x:c r="B211" s="4" t="str">
        <x:v>CN</x:v>
      </x:c>
      <x:c r="C211" s="4" t="str">
        <x:v>貝殼家裝家居全年收入</x:v>
      </x:c>
      <x:c r="D211" s="17" t="n">
        <x:v>14800000000</x:v>
      </x:c>
      <x:c r="E211" s="4" t="str">
        <x:v>CNY</x:v>
      </x:c>
      <x:c r="F211" s="16" t="n">
        <x:v>2024</x:v>
      </x:c>
      <x:c r="G211" s="4" t="str">
        <x:v>家装家居分部，含施工與家居銷售，公告約數</x:v>
      </x:c>
      <x:c r="H211" s="4" t="str">
        <x:v>CN13</x:v>
      </x:c>
      <x:c r="I211" s="4" t="str">
        <x:v>https://investors.ke.com/news-releases/news-release-details/ke-holdings-inc-announces-fourth-quarter-and-fiscal-year-2025</x:v>
      </x:c>
      <x:c r="J211" s="4" t="str">
        <x:v>是</x:v>
      </x:c>
      <x:c r="K211" s="4" t="str">
        <x:v>是</x:v>
      </x:c>
      <x:c r="L211" s="4" t="str">
        <x:v>是</x:v>
      </x:c>
      <x:c r="M211" s="4" t="str">
        <x:v>是</x:v>
      </x:c>
      <x:c r="N211" s="4" t="str">
        <x:v>pass</x:v>
      </x:c>
      <x:c r="O211" s="4" t="str">
        <x:v>C</x:v>
      </x:c>
      <x:c r="P211" s="4" t="str">
        <x:v>是</x:v>
      </x:c>
      <x:c r="Q211" s="17" t="n">
        <x:v>14800000000</x:v>
      </x:c>
      <x:c r="R211" s="16" t="n">
        <x:v>2024</x:v>
      </x:c>
      <x:c r="S211" s="4" t="str">
        <x:v>【示意】家装家居分部，含施工與家居銷售，公告約數；獨立來源1；來源C級</x:v>
      </x:c>
      <x:c r="T211" s="4" t="str">
        <x:v>示意</x:v>
      </x:c>
      <x:c r="U211" s="16" t="n">
        <x:v>1</x:v>
      </x:c>
      <x:c r="V211" s="4" t="str">
        <x:v>低</x:v>
      </x:c>
      <x:c r="W211" s="4" t="str">
        <x:v>同段2024比較數14.8 billion RMB；約數。</x:v>
      </x:c>
      <x:c r="X211" s="4" t="str">
        <x:v>單一獨立來源；按整合協議低信心，即使A級原始披露亦未達雙源實際門檻。</x:v>
      </x:c>
      <x:c r="Y211" s="37" t="d">
        <x:v>2026-10-09T00:00:00.000Z</x:v>
      </x:c>
      <x:c r="Z211" s="4" t="str">
        <x:v>turn191view10</x:v>
      </x:c>
    </x:row>
    <x:row r="212" ht="38" customHeight="1">
      <x:c r="A212" s="4" t="str">
        <x:v>M0211</x:v>
      </x:c>
      <x:c r="B212" s="4" t="str">
        <x:v>CN</x:v>
      </x:c>
      <x:c r="C212" s="4" t="str">
        <x:v>貝殼家裝家居全年收入年變動</x:v>
      </x:c>
      <x:c r="D212" s="19" t="n">
        <x:v>4.4</x:v>
      </x:c>
      <x:c r="E212" s="4" t="str">
        <x:v>%</x:v>
      </x:c>
      <x:c r="F212" s="16" t="n">
        <x:v>2025</x:v>
      </x:c>
      <x:c r="G212" s="4" t="str">
        <x:v>家装家居分部，含施工與家居銷售，公告約數</x:v>
      </x:c>
      <x:c r="H212" s="4" t="str">
        <x:v>CN13</x:v>
      </x:c>
      <x:c r="I212" s="4" t="str">
        <x:v>https://investors.ke.com/news-releases/news-release-details/ke-holdings-inc-announces-fourth-quarter-and-fiscal-year-2025</x:v>
      </x:c>
      <x:c r="J212" s="4" t="str">
        <x:v>是</x:v>
      </x:c>
      <x:c r="K212" s="4" t="str">
        <x:v>是</x:v>
      </x:c>
      <x:c r="L212" s="4" t="str">
        <x:v>是</x:v>
      </x:c>
      <x:c r="M212" s="4" t="str">
        <x:v>是</x:v>
      </x:c>
      <x:c r="N212" s="4" t="str">
        <x:v>pass</x:v>
      </x:c>
      <x:c r="O212" s="4" t="str">
        <x:v>C</x:v>
      </x:c>
      <x:c r="P212" s="4" t="str">
        <x:v>是</x:v>
      </x:c>
      <x:c r="Q212" s="19" t="n">
        <x:v>4.4</x:v>
      </x:c>
      <x:c r="R212" s="16" t="n">
        <x:v>2025</x:v>
      </x:c>
      <x:c r="S212" s="4" t="str">
        <x:v>【示意】家装家居分部，含施工與家居銷售，公告約數；獨立來源1；來源C級</x:v>
      </x:c>
      <x:c r="T212" s="4" t="str">
        <x:v>示意</x:v>
      </x:c>
      <x:c r="U212" s="16" t="n">
        <x:v>1</x:v>
      </x:c>
      <x:c r="V212" s="4" t="str">
        <x:v>低</x:v>
      </x:c>
      <x:c r="W212" s="4" t="str">
        <x:v>同段2025同比4.4%；不能用四捨五入15.4/14.8重新計算取代公司增速。</x:v>
      </x:c>
      <x:c r="X212" s="4" t="str">
        <x:v>單一獨立來源；按整合協議低信心，即使A級原始披露亦未達雙源實際門檻。</x:v>
      </x:c>
      <x:c r="Y212" s="37" t="d">
        <x:v>2026-10-09T00:00:00.000Z</x:v>
      </x:c>
      <x:c r="Z212" s="4" t="str">
        <x:v>turn191view10</x:v>
      </x:c>
    </x:row>
    <x:row r="213" ht="38" customHeight="1">
      <x:c r="A213" s="4" t="str">
        <x:v>M0212</x:v>
      </x:c>
      <x:c r="B213" s="4" t="str">
        <x:v>CN</x:v>
      </x:c>
      <x:c r="C213" s="4" t="str">
        <x:v>人均GDP</x:v>
      </x:c>
      <x:c r="D213" s="17" t="n">
        <x:v>13862</x:v>
      </x:c>
      <x:c r="E213" s="4" t="str">
        <x:v>USD/人</x:v>
      </x:c>
      <x:c r="F213" s="16" t="n">
        <x:v>2025</x:v>
      </x:c>
      <x:c r="G213" s="4" t="str">
        <x:v>名目、現價美元；WDI 2025歷史數列，可能修訂，非家庭可支配所得</x:v>
      </x:c>
      <x:c r="H213" s="4" t="str">
        <x:v>MCN</x:v>
      </x:c>
      <x:c r="I213" s="4" t="str">
        <x:v>https://data.worldbank.org/country/china</x:v>
      </x:c>
      <x:c r="J213" s="4" t="str">
        <x:v>是</x:v>
      </x:c>
      <x:c r="K213" s="4" t="str">
        <x:v>是</x:v>
      </x:c>
      <x:c r="L213" s="4" t="str">
        <x:v>是</x:v>
      </x:c>
      <x:c r="M213" s="4" t="str">
        <x:v>是</x:v>
      </x:c>
      <x:c r="N213" s="4" t="str">
        <x:v>pass</x:v>
      </x:c>
      <x:c r="O213" s="4" t="str">
        <x:v>A</x:v>
      </x:c>
      <x:c r="P213" s="4" t="str">
        <x:v>是</x:v>
      </x:c>
      <x:c r="Q213" s="17" t="n">
        <x:v>13862</x:v>
      </x:c>
      <x:c r="R213" s="16" t="n">
        <x:v>2025</x:v>
      </x:c>
      <x:c r="S213" s="4" t="str">
        <x:v>【示意】名目、現價美元；WDI 2025歷史數列，可能修訂，非家庭可支配所得；獨立來源1；來源A級</x:v>
      </x:c>
      <x:c r="T213" s="4" t="str">
        <x:v>示意</x:v>
      </x:c>
      <x:c r="U213" s="16" t="n">
        <x:v>1</x:v>
      </x:c>
      <x:c r="V213" s="4" t="str">
        <x:v>低</x:v>
      </x:c>
      <x:c r="W213" s="4" t="str">
        <x:v>WDI國家頁Latest value(2025)：人均GDP=13862 USD/人；人口=1410000000.0 人；GDP=19500000000000.0 USD。GDP和CN/IN人口按頁面取整，不提高精度。</x:v>
      </x:c>
      <x:c r="X213" s="4" t="str">
        <x:v>單一獨立原始機構，依協議第4條低信心示意；A/B來源等級不等於已三角驗證。</x:v>
      </x:c>
      <x:c r="Y213" s="37" t="d">
        <x:v>2026-10-09T00:00:00.000Z</x:v>
      </x:c>
      <x:c r="Z213" s="4" t="str">
        <x:v>turn215view4</x:v>
      </x:c>
    </x:row>
    <x:row r="214" ht="38" customHeight="1">
      <x:c r="A214" s="4" t="str">
        <x:v>M0213</x:v>
      </x:c>
      <x:c r="B214" s="4" t="str">
        <x:v>CN</x:v>
      </x:c>
      <x:c r="C214" s="4" t="str">
        <x:v>人口</x:v>
      </x:c>
      <x:c r="D214" s="17" t="n">
        <x:v>1410000000</x:v>
      </x:c>
      <x:c r="E214" s="4" t="str">
        <x:v>人</x:v>
      </x:c>
      <x:c r="F214" s="16" t="n">
        <x:v>2025</x:v>
      </x:c>
      <x:c r="G214" s="4" t="str">
        <x:v>WDI 2025；CN、IN為頁面billion顯示的四捨五入值，其餘依顯示人數</x:v>
      </x:c>
      <x:c r="H214" s="4" t="str">
        <x:v>MCN</x:v>
      </x:c>
      <x:c r="I214" s="4" t="str">
        <x:v>https://data.worldbank.org/country/china</x:v>
      </x:c>
      <x:c r="J214" s="4" t="str">
        <x:v>是</x:v>
      </x:c>
      <x:c r="K214" s="4" t="str">
        <x:v>是</x:v>
      </x:c>
      <x:c r="L214" s="4" t="str">
        <x:v>是</x:v>
      </x:c>
      <x:c r="M214" s="4" t="str">
        <x:v>是</x:v>
      </x:c>
      <x:c r="N214" s="4" t="str">
        <x:v>pass</x:v>
      </x:c>
      <x:c r="O214" s="4" t="str">
        <x:v>A</x:v>
      </x:c>
      <x:c r="P214" s="4" t="str">
        <x:v>是</x:v>
      </x:c>
      <x:c r="Q214" s="17" t="n">
        <x:v>1410000000</x:v>
      </x:c>
      <x:c r="R214" s="16" t="n">
        <x:v>2025</x:v>
      </x:c>
      <x:c r="S214" s="4" t="str">
        <x:v>【示意】WDI 2025；CN、IN為頁面billion顯示的四捨五入值，其餘依顯示人數；獨立來源1；來源A級</x:v>
      </x:c>
      <x:c r="T214" s="4" t="str">
        <x:v>示意</x:v>
      </x:c>
      <x:c r="U214" s="16" t="n">
        <x:v>1</x:v>
      </x:c>
      <x:c r="V214" s="4" t="str">
        <x:v>低</x:v>
      </x:c>
      <x:c r="W214" s="4" t="str">
        <x:v>WDI國家頁Latest value(2025)：人均GDP=13862 USD/人；人口=1410000000.0 人；GDP=19500000000000.0 USD。GDP和CN/IN人口按頁面取整，不提高精度。</x:v>
      </x:c>
      <x:c r="X214" s="4" t="str">
        <x:v>單一獨立原始機構，依協議第4條低信心示意；A/B來源等級不等於已三角驗證。</x:v>
      </x:c>
      <x:c r="Y214" s="37" t="d">
        <x:v>2026-10-09T00:00:00.000Z</x:v>
      </x:c>
      <x:c r="Z214" s="4" t="str">
        <x:v>turn215view4</x:v>
      </x:c>
    </x:row>
    <x:row r="215" ht="38" customHeight="1">
      <x:c r="A215" s="4" t="str">
        <x:v>M0214</x:v>
      </x:c>
      <x:c r="B215" s="4" t="str">
        <x:v>CN</x:v>
      </x:c>
      <x:c r="C215" s="4" t="str">
        <x:v>GDP</x:v>
      </x:c>
      <x:c r="D215" s="17" t="n">
        <x:v>19500000000000</x:v>
      </x:c>
      <x:c r="E215" s="4" t="str">
        <x:v>USD</x:v>
      </x:c>
      <x:c r="F215" s="16" t="n">
        <x:v>2025</x:v>
      </x:c>
      <x:c r="G215" s="4" t="str">
        <x:v>WDI 2025現價；頁面billion/trillion四捨五入值</x:v>
      </x:c>
      <x:c r="H215" s="4" t="str">
        <x:v>MCN</x:v>
      </x:c>
      <x:c r="I215" s="4" t="str">
        <x:v>https://data.worldbank.org/country/china</x:v>
      </x:c>
      <x:c r="J215" s="4" t="str">
        <x:v>是</x:v>
      </x:c>
      <x:c r="K215" s="4" t="str">
        <x:v>是</x:v>
      </x:c>
      <x:c r="L215" s="4" t="str">
        <x:v>是</x:v>
      </x:c>
      <x:c r="M215" s="4" t="str">
        <x:v>是</x:v>
      </x:c>
      <x:c r="N215" s="4" t="str">
        <x:v>pass</x:v>
      </x:c>
      <x:c r="O215" s="4" t="str">
        <x:v>A</x:v>
      </x:c>
      <x:c r="P215" s="4" t="str">
        <x:v>是</x:v>
      </x:c>
      <x:c r="Q215" s="17" t="n">
        <x:v>19500000000000</x:v>
      </x:c>
      <x:c r="R215" s="16" t="n">
        <x:v>2025</x:v>
      </x:c>
      <x:c r="S215" s="4" t="str">
        <x:v>【示意】WDI 2025現價；頁面billion/trillion四捨五入值；獨立來源1；來源A級</x:v>
      </x:c>
      <x:c r="T215" s="4" t="str">
        <x:v>示意</x:v>
      </x:c>
      <x:c r="U215" s="16" t="n">
        <x:v>1</x:v>
      </x:c>
      <x:c r="V215" s="4" t="str">
        <x:v>低</x:v>
      </x:c>
      <x:c r="W215" s="4" t="str">
        <x:v>WDI國家頁Latest value(2025)：人均GDP=13862 USD/人；人口=1410000000.0 人；GDP=19500000000000.0 USD。GDP和CN/IN人口按頁面取整，不提高精度。</x:v>
      </x:c>
      <x:c r="X215" s="4" t="str">
        <x:v>單一獨立原始機構，依協議第4條低信心示意；A/B來源等級不等於已三角驗證。</x:v>
      </x:c>
      <x:c r="Y215" s="37" t="d">
        <x:v>2026-10-09T00:00:00.000Z</x:v>
      </x:c>
      <x:c r="Z215" s="4" t="str">
        <x:v>turn215view4</x:v>
      </x:c>
    </x:row>
    <x:row r="216" ht="38" customHeight="1">
      <x:c r="A216" s="4" t="str">
        <x:v>M0215</x:v>
      </x:c>
      <x:c r="B216" s="4" t="str">
        <x:v>CN</x:v>
      </x:c>
      <x:c r="C216" s="4" t="str">
        <x:v>上海商辦裝修成本</x:v>
      </x:c>
      <x:c r="D216" s="20" t="n">
        <x:v>1033.3354000041334</x:v>
      </x:c>
      <x:c r="E216" s="4" t="str">
        <x:v>USD/m²</x:v>
      </x:c>
      <x:c r="F216" s="16" t="n">
        <x:v>2026</x:v>
      </x:c>
      <x:c r="G216" s="4" t="str">
        <x:v>C&amp;W 2026商辦fit-out，價格基準2025年12月；USD/ft²÷0.09290304，非住宅報價，報告自身匯率</x:v>
      </x:c>
      <x:c r="H216" s="4" t="str">
        <x:v>X02</x:v>
      </x:c>
      <x:c r="I216" s="4" t="str">
        <x:v>https://digital.cushmanwakefield.com/fitoutcostguide-03-2026-apac-regional-en-content-pds-office/30-31/</x:v>
      </x:c>
      <x:c r="J216" s="4" t="str">
        <x:v>是</x:v>
      </x:c>
      <x:c r="K216" s="4" t="str">
        <x:v>是</x:v>
      </x:c>
      <x:c r="L216" s="4" t="str">
        <x:v>是</x:v>
      </x:c>
      <x:c r="M216" s="4" t="str">
        <x:v>是</x:v>
      </x:c>
      <x:c r="N216" s="4" t="str">
        <x:v>pass</x:v>
      </x:c>
      <x:c r="O216" s="4" t="str">
        <x:v>B</x:v>
      </x:c>
      <x:c r="P216" s="4" t="str">
        <x:v>是</x:v>
      </x:c>
      <x:c r="Q216" s="20" t="n">
        <x:v>1033.3354000041334</x:v>
      </x:c>
      <x:c r="R216" s="16" t="n">
        <x:v>2026</x:v>
      </x:c>
      <x:c r="S216" s="4" t="str">
        <x:v>【示意】C&amp;W 2026商辦fit-out，價格基準2025年12月；USD/ft²÷0.09290304，非住宅報價，報告自身匯率；獨立來源1；來源B級</x:v>
      </x:c>
      <x:c r="T216" s="4" t="str">
        <x:v>示意</x:v>
      </x:c>
      <x:c r="U216" s="16" t="n">
        <x:v>1</x:v>
      </x:c>
      <x:c r="V216" s="4" t="str">
        <x:v>低</x:v>
      </x:c>
      <x:c r="W216" s="4" t="str">
        <x:v>成本頁逐城讀USD/ft²；配合X11方法頁確定價格2025-12，報告2026。 上海=96USD/ft²，除0.09290304得1033.3354000041334USD/m²；原幣7237CNY/m²。</x:v>
      </x:c>
      <x:c r="X216" s="4" t="str">
        <x:v>單一獨立原始機構，依協議第4條低信心示意；A/B來源等級不等於已三角驗證。</x:v>
      </x:c>
      <x:c r="Y216" s="37" t="d">
        <x:v>2026-10-09T00:00:00.000Z</x:v>
      </x:c>
      <x:c r="Z216" s="4" t="str">
        <x:v>turn202view1</x:v>
      </x:c>
    </x:row>
    <x:row r="217" ht="38" customHeight="1">
      <x:c r="A217" s="4" t="str">
        <x:v>M0216</x:v>
      </x:c>
      <x:c r="B217" s="4" t="str">
        <x:v>MY</x:v>
      </x:c>
      <x:c r="C217" s="4" t="str">
        <x:v>人口</x:v>
      </x:c>
      <x:c r="D217" s="17" t="n">
        <x:v>34220500</x:v>
      </x:c>
      <x:c r="E217" s="4" t="str">
        <x:v>人</x:v>
      </x:c>
      <x:c r="F217" s="16" t="n">
        <x:v>2025</x:v>
      </x:c>
      <x:c r="G217" s="4" t="str">
        <x:v>DOSM 2026版修訂2025人口；表單位千人</x:v>
      </x:c>
      <x:c r="H217" s="4" t="str">
        <x:v>MY01</x:v>
      </x:c>
      <x:c r="I217" s="4" t="str">
        <x:v>https://www.dosm.gov.my/uploads/release-content/file_20260731083618.pdf</x:v>
      </x:c>
      <x:c r="J217" s="4" t="str">
        <x:v>是</x:v>
      </x:c>
      <x:c r="K217" s="4" t="str">
        <x:v>是</x:v>
      </x:c>
      <x:c r="L217" s="4" t="str">
        <x:v>是</x:v>
      </x:c>
      <x:c r="M217" s="4" t="str">
        <x:v>是</x:v>
      </x:c>
      <x:c r="N217" s="4" t="str">
        <x:v>pass</x:v>
      </x:c>
      <x:c r="O217" s="4" t="str">
        <x:v>A</x:v>
      </x:c>
      <x:c r="P217" s="4" t="str">
        <x:v>是</x:v>
      </x:c>
      <x:c r="Q217" s="17" t="n">
        <x:v>34220500</x:v>
      </x:c>
      <x:c r="R217" s="16" t="n">
        <x:v>2025</x:v>
      </x:c>
      <x:c r="S217" s="4" t="str">
        <x:v>【示意】DOSM 2026版修訂2025人口；表單位千人；獨立來源1；來源A級</x:v>
      </x:c>
      <x:c r="T217" s="4" t="str">
        <x:v>示意</x:v>
      </x:c>
      <x:c r="U217" s="16" t="n">
        <x:v>1</x:v>
      </x:c>
      <x:c r="V217" s="4" t="str">
        <x:v>低</x:v>
      </x:c>
      <x:c r="W217" s="4" t="str">
        <x:v>下載原PDF本地抽文核對：PDF第29、45、60頁人口表單位千人，2025=34,220.5；2026P=34,389.4；P為初步值。</x:v>
      </x:c>
      <x:c r="X217" s="4" t="str">
        <x:v>依協議僅一個獨立來源，整合信心低；來源A級不自動等於高信心。</x:v>
      </x:c>
      <x:c r="Y217" s="37" t="d">
        <x:v>2026-10-09T00:00:00.000Z</x:v>
      </x:c>
      <x:c r="Z217" s="4" t="str">
        <x:v>turn177view1</x:v>
      </x:c>
    </x:row>
    <x:row r="218" ht="38" customHeight="1">
      <x:c r="A218" s="4" t="str">
        <x:v>M0217</x:v>
      </x:c>
      <x:c r="B218" s="4" t="str">
        <x:v>MY</x:v>
      </x:c>
      <x:c r="C218" s="4" t="str">
        <x:v>人口</x:v>
      </x:c>
      <x:c r="D218" s="17" t="n">
        <x:v>34389400</x:v>
      </x:c>
      <x:c r="E218" s="4" t="str">
        <x:v>人</x:v>
      </x:c>
      <x:c r="F218" s="16" t="n">
        <x:v>2026</x:v>
      </x:c>
      <x:c r="G218" s="4" t="str">
        <x:v>DOSM 2026初步估計；非人口普查終值</x:v>
      </x:c>
      <x:c r="H218" s="4" t="str">
        <x:v>MY01</x:v>
      </x:c>
      <x:c r="I218" s="4" t="str">
        <x:v>https://www.dosm.gov.my/uploads/release-content/file_20260731083618.pdf</x:v>
      </x:c>
      <x:c r="J218" s="4" t="str">
        <x:v>是</x:v>
      </x:c>
      <x:c r="K218" s="4" t="str">
        <x:v>是</x:v>
      </x:c>
      <x:c r="L218" s="4" t="str">
        <x:v>是</x:v>
      </x:c>
      <x:c r="M218" s="4" t="str">
        <x:v>是</x:v>
      </x:c>
      <x:c r="N218" s="4" t="str">
        <x:v>pass</x:v>
      </x:c>
      <x:c r="O218" s="4" t="str">
        <x:v>A</x:v>
      </x:c>
      <x:c r="P218" s="4" t="str">
        <x:v>是</x:v>
      </x:c>
      <x:c r="Q218" s="17" t="n">
        <x:v>34389400</x:v>
      </x:c>
      <x:c r="R218" s="16" t="n">
        <x:v>2026</x:v>
      </x:c>
      <x:c r="S218" s="4" t="str">
        <x:v>【示意】DOSM 2026初步估計；非人口普查終值；獨立來源1；來源A級</x:v>
      </x:c>
      <x:c r="T218" s="4" t="str">
        <x:v>示意</x:v>
      </x:c>
      <x:c r="U218" s="16" t="n">
        <x:v>1</x:v>
      </x:c>
      <x:c r="V218" s="4" t="str">
        <x:v>低</x:v>
      </x:c>
      <x:c r="W218" s="4" t="str">
        <x:v>下載原PDF本地抽文核對：PDF第29、45、60頁人口表單位千人，2025=34,220.5；2026P=34,389.4；P為初步值。</x:v>
      </x:c>
      <x:c r="X218" s="4" t="str">
        <x:v>依協議僅一個獨立來源，整合信心低；來源A級不自動等於高信心。</x:v>
      </x:c>
      <x:c r="Y218" s="37" t="d">
        <x:v>2026-10-09T00:00:00.000Z</x:v>
      </x:c>
      <x:c r="Z218" s="4" t="str">
        <x:v>turn177view1</x:v>
      </x:c>
    </x:row>
    <x:row r="219" ht="30" customHeight="1">
      <x:c r="A219" s="4" t="str">
        <x:v>M0218</x:v>
      </x:c>
      <x:c r="B219" s="4" t="str">
        <x:v>MY</x:v>
      </x:c>
      <x:c r="C219" s="4" t="str">
        <x:v>全體建築工程完成值</x:v>
      </x:c>
      <x:c r="D219" s="19" t="n">
        <x:v>178.6</x:v>
      </x:c>
      <x:c r="E219" s="4" t="str">
        <x:v>十億MYR</x:v>
      </x:c>
      <x:c r="F219" s="16" t="n">
        <x:v>2025</x:v>
      </x:c>
      <x:c r="G219" s="4" t="str">
        <x:v>含土木、新建結構與其他工程；排除作裝修市場規模</x:v>
      </x:c>
      <x:c r="H219" s="4" t="str">
        <x:v>MY02</x:v>
      </x:c>
      <x:c r="I219" s="4" t="str">
        <x:v>https://www.dosm.gov.my/portal-main/downloads-log?id=9899</x:v>
      </x:c>
      <x:c r="J219" s="4" t="str">
        <x:v>是</x:v>
      </x:c>
      <x:c r="K219" s="4" t="str">
        <x:v>是</x:v>
      </x:c>
      <x:c r="L219" s="4" t="str">
        <x:v>是</x:v>
      </x:c>
      <x:c r="M219" s="4" t="str">
        <x:v>是</x:v>
      </x:c>
      <x:c r="N219" s="4" t="str">
        <x:v>pass</x:v>
      </x:c>
      <x:c r="O219" s="4" t="str">
        <x:v>A</x:v>
      </x:c>
      <x:c r="P219" s="4" t="str">
        <x:v>是</x:v>
      </x:c>
      <x:c r="Q219" s="19" t="n">
        <x:v>178.6</x:v>
      </x:c>
      <x:c r="R219" s="16" t="n">
        <x:v>2025</x:v>
      </x:c>
      <x:c r="S219" s="4" t="str">
        <x:v>【示意】含土木、新建結構與其他工程；排除作裝修市場規模；獨立來源1；來源A級</x:v>
      </x:c>
      <x:c r="T219" s="4" t="str">
        <x:v>示意</x:v>
      </x:c>
      <x:c r="U219" s="16" t="n">
        <x:v>1</x:v>
      </x:c>
      <x:c r="V219" s="4" t="str">
        <x:v>低</x:v>
      </x:c>
      <x:c r="W219" s="4" t="str">
        <x:v>PDF第1、7頁：2025全年工程完成值RM178.6bn、年增12.5%；包含土木與建築各次產業。</x:v>
      </x:c>
      <x:c r="X219" s="4" t="str">
        <x:v>依協議僅一個獨立來源，整合信心低；來源A級不自動等於高信心。</x:v>
      </x:c>
      <x:c r="Y219" s="37" t="d">
        <x:v>2026-10-09T00:00:00.000Z</x:v>
      </x:c>
      <x:c r="Z219" s="4" t="str">
        <x:v>turn182view0</x:v>
      </x:c>
    </x:row>
    <x:row r="220" ht="30" customHeight="1">
      <x:c r="A220" s="4" t="str">
        <x:v>M0219</x:v>
      </x:c>
      <x:c r="B220" s="4" t="str">
        <x:v>MY</x:v>
      </x:c>
      <x:c r="C220" s="4" t="str">
        <x:v>全體建築工程完成值成長</x:v>
      </x:c>
      <x:c r="D220" s="19" t="n">
        <x:v>12.5</x:v>
      </x:c>
      <x:c r="E220" s="4" t="str">
        <x:v>%</x:v>
      </x:c>
      <x:c r="F220" s="16" t="n">
        <x:v>2025</x:v>
      </x:c>
      <x:c r="G220" s="4" t="str">
        <x:v>2025對2024；非裝修成長率</x:v>
      </x:c>
      <x:c r="H220" s="4" t="str">
        <x:v>MY02</x:v>
      </x:c>
      <x:c r="I220" s="4" t="str">
        <x:v>https://www.dosm.gov.my/portal-main/downloads-log?id=9899</x:v>
      </x:c>
      <x:c r="J220" s="4" t="str">
        <x:v>是</x:v>
      </x:c>
      <x:c r="K220" s="4" t="str">
        <x:v>是</x:v>
      </x:c>
      <x:c r="L220" s="4" t="str">
        <x:v>是</x:v>
      </x:c>
      <x:c r="M220" s="4" t="str">
        <x:v>是</x:v>
      </x:c>
      <x:c r="N220" s="4" t="str">
        <x:v>pass</x:v>
      </x:c>
      <x:c r="O220" s="4" t="str">
        <x:v>A</x:v>
      </x:c>
      <x:c r="P220" s="4" t="str">
        <x:v>是</x:v>
      </x:c>
      <x:c r="Q220" s="19" t="n">
        <x:v>12.5</x:v>
      </x:c>
      <x:c r="R220" s="16" t="n">
        <x:v>2025</x:v>
      </x:c>
      <x:c r="S220" s="4" t="str">
        <x:v>【示意】2025對2024；非裝修成長率；獨立來源1；來源A級</x:v>
      </x:c>
      <x:c r="T220" s="4" t="str">
        <x:v>示意</x:v>
      </x:c>
      <x:c r="U220" s="16" t="n">
        <x:v>1</x:v>
      </x:c>
      <x:c r="V220" s="4" t="str">
        <x:v>低</x:v>
      </x:c>
      <x:c r="W220" s="4" t="str">
        <x:v>PDF第1、7頁：2025全年工程完成值RM178.6bn、年增12.5%；包含土木與建築各次產業。</x:v>
      </x:c>
      <x:c r="X220" s="4" t="str">
        <x:v>依協議僅一個獨立來源，整合信心低；來源A級不自動等於高信心。</x:v>
      </x:c>
      <x:c r="Y220" s="37" t="d">
        <x:v>2026-10-09T00:00:00.000Z</x:v>
      </x:c>
      <x:c r="Z220" s="4" t="str">
        <x:v>turn182view0</x:v>
      </x:c>
    </x:row>
    <x:row r="221" ht="38" customHeight="1">
      <x:c r="A221" s="4" t="str">
        <x:v>M0220</x:v>
      </x:c>
      <x:c r="B221" s="4" t="str">
        <x:v>MY</x:v>
      </x:c>
      <x:c r="C221" s="4" t="str">
        <x:v>外國承包商最低實收資本</x:v>
      </x:c>
      <x:c r="D221" s="17" t="n">
        <x:v>750000</x:v>
      </x:c>
      <x:c r="E221" s="4" t="str">
        <x:v>MYR</x:v>
      </x:c>
      <x:c r="F221" s="16" t="n">
        <x:v>2025</x:v>
      </x:c>
      <x:c r="G221" s="4" t="str">
        <x:v>CIDB外國承包商登記要求；公司設立不等同執業許可</x:v>
      </x:c>
      <x:c r="H221" s="4" t="str">
        <x:v>MY03</x:v>
      </x:c>
      <x:c r="I221" s="4" t="str">
        <x:v>https://www.cidb.gov.my/wp-content/uploads/2025/06/SYARAT-PENDAFTARAN-KONTRAKTOR-ASING-2.pdf</x:v>
      </x:c>
      <x:c r="J221" s="4" t="str">
        <x:v>是</x:v>
      </x:c>
      <x:c r="K221" s="4" t="str">
        <x:v>是</x:v>
      </x:c>
      <x:c r="L221" s="4" t="str">
        <x:v>是</x:v>
      </x:c>
      <x:c r="M221" s="4" t="str">
        <x:v>是</x:v>
      </x:c>
      <x:c r="N221" s="4" t="str">
        <x:v>pass</x:v>
      </x:c>
      <x:c r="O221" s="4" t="str">
        <x:v>A</x:v>
      </x:c>
      <x:c r="P221" s="4" t="str">
        <x:v>是</x:v>
      </x:c>
      <x:c r="Q221" s="17" t="n">
        <x:v>750000</x:v>
      </x:c>
      <x:c r="R221" s="16" t="n">
        <x:v>2025</x:v>
      </x:c>
      <x:c r="S221" s="4" t="str">
        <x:v>【示意】CIDB外國承包商登記要求；公司設立不等同執業許可；獨立來源1；來源A級</x:v>
      </x:c>
      <x:c r="T221" s="4" t="str">
        <x:v>示意</x:v>
      </x:c>
      <x:c r="U221" s="16" t="n">
        <x:v>1</x:v>
      </x:c>
      <x:c r="V221" s="4" t="str">
        <x:v>低</x:v>
      </x:c>
      <x:c r="W221" s="4" t="str">
        <x:v>PDF第1頁列資本RM750,000、2名本地技術員、初次2年、RM1,400/年；第2頁PPP每案RM5,000及處理費RM50。</x:v>
      </x:c>
      <x:c r="X221" s="4" t="str">
        <x:v>依協議僅一個獨立來源，整合信心低；來源A級不自動等於高信心。 文件發布路徑2025/06；並非宣稱2026後無修法，需CIDB確認適用版本。</x:v>
      </x:c>
      <x:c r="Y221" s="37" t="d">
        <x:v>2026-10-09T00:00:00.000Z</x:v>
      </x:c>
      <x:c r="Z221" s="4" t="str">
        <x:v>turn190view0</x:v>
      </x:c>
    </x:row>
    <x:row r="222" ht="38" customHeight="1">
      <x:c r="A222" s="4" t="str">
        <x:v>M0221</x:v>
      </x:c>
      <x:c r="B222" s="4" t="str">
        <x:v>MY</x:v>
      </x:c>
      <x:c r="C222" s="4" t="str">
        <x:v>外國承包商本地技術人員最低數</x:v>
      </x:c>
      <x:c r="D222" s="17" t="n">
        <x:v>2</x:v>
      </x:c>
      <x:c r="E222" s="4" t="str">
        <x:v>人</x:v>
      </x:c>
      <x:c r="F222" s="16" t="n">
        <x:v>2025</x:v>
      </x:c>
      <x:c r="G222" s="4" t="str">
        <x:v>馬來西亞公民；其中一人經驗須超過5年</x:v>
      </x:c>
      <x:c r="H222" s="4" t="str">
        <x:v>MY03</x:v>
      </x:c>
      <x:c r="I222" s="4" t="str">
        <x:v>https://www.cidb.gov.my/wp-content/uploads/2025/06/SYARAT-PENDAFTARAN-KONTRAKTOR-ASING-2.pdf</x:v>
      </x:c>
      <x:c r="J222" s="4" t="str">
        <x:v>是</x:v>
      </x:c>
      <x:c r="K222" s="4" t="str">
        <x:v>是</x:v>
      </x:c>
      <x:c r="L222" s="4" t="str">
        <x:v>是</x:v>
      </x:c>
      <x:c r="M222" s="4" t="str">
        <x:v>是</x:v>
      </x:c>
      <x:c r="N222" s="4" t="str">
        <x:v>pass</x:v>
      </x:c>
      <x:c r="O222" s="4" t="str">
        <x:v>A</x:v>
      </x:c>
      <x:c r="P222" s="4" t="str">
        <x:v>是</x:v>
      </x:c>
      <x:c r="Q222" s="17" t="n">
        <x:v>2</x:v>
      </x:c>
      <x:c r="R222" s="16" t="n">
        <x:v>2025</x:v>
      </x:c>
      <x:c r="S222" s="4" t="str">
        <x:v>【示意】馬來西亞公民；其中一人經驗須超過5年；獨立來源1；來源A級</x:v>
      </x:c>
      <x:c r="T222" s="4" t="str">
        <x:v>示意</x:v>
      </x:c>
      <x:c r="U222" s="16" t="n">
        <x:v>1</x:v>
      </x:c>
      <x:c r="V222" s="4" t="str">
        <x:v>低</x:v>
      </x:c>
      <x:c r="W222" s="4" t="str">
        <x:v>PDF第1頁列資本RM750,000、2名本地技術員、初次2年、RM1,400/年；第2頁PPP每案RM5,000及處理費RM50。</x:v>
      </x:c>
      <x:c r="X222" s="4" t="str">
        <x:v>依協議僅一個獨立來源，整合信心低；來源A級不自動等於高信心。 文件發布路徑2025/06；並非宣稱2026後無修法，需CIDB確認適用版本。</x:v>
      </x:c>
      <x:c r="Y222" s="37" t="d">
        <x:v>2026-10-09T00:00:00.000Z</x:v>
      </x:c>
      <x:c r="Z222" s="4" t="str">
        <x:v>turn190view0</x:v>
      </x:c>
    </x:row>
    <x:row r="223" ht="38" customHeight="1">
      <x:c r="A223" s="4" t="str">
        <x:v>M0222</x:v>
      </x:c>
      <x:c r="B223" s="4" t="str">
        <x:v>MY</x:v>
      </x:c>
      <x:c r="C223" s="4" t="str">
        <x:v>外國承包商初次PPKA效期</x:v>
      </x:c>
      <x:c r="D223" s="17" t="n">
        <x:v>2</x:v>
      </x:c>
      <x:c r="E223" s="4" t="str">
        <x:v>年</x:v>
      </x:c>
      <x:c r="F223" s="16" t="n">
        <x:v>2025</x:v>
      </x:c>
      <x:c r="G223" s="4" t="str">
        <x:v>2025新版PPKA；非每一工程PPP效期</x:v>
      </x:c>
      <x:c r="H223" s="4" t="str">
        <x:v>MY03</x:v>
      </x:c>
      <x:c r="I223" s="4" t="str">
        <x:v>https://www.cidb.gov.my/wp-content/uploads/2025/06/SYARAT-PENDAFTARAN-KONTRAKTOR-ASING-2.pdf</x:v>
      </x:c>
      <x:c r="J223" s="4" t="str">
        <x:v>是</x:v>
      </x:c>
      <x:c r="K223" s="4" t="str">
        <x:v>是</x:v>
      </x:c>
      <x:c r="L223" s="4" t="str">
        <x:v>是</x:v>
      </x:c>
      <x:c r="M223" s="4" t="str">
        <x:v>是</x:v>
      </x:c>
      <x:c r="N223" s="4" t="str">
        <x:v>pass</x:v>
      </x:c>
      <x:c r="O223" s="4" t="str">
        <x:v>A</x:v>
      </x:c>
      <x:c r="P223" s="4" t="str">
        <x:v>是</x:v>
      </x:c>
      <x:c r="Q223" s="17" t="n">
        <x:v>2</x:v>
      </x:c>
      <x:c r="R223" s="16" t="n">
        <x:v>2025</x:v>
      </x:c>
      <x:c r="S223" s="4" t="str">
        <x:v>【示意】2025新版PPKA；非每一工程PPP效期；獨立來源1；來源A級</x:v>
      </x:c>
      <x:c r="T223" s="4" t="str">
        <x:v>示意</x:v>
      </x:c>
      <x:c r="U223" s="16" t="n">
        <x:v>1</x:v>
      </x:c>
      <x:c r="V223" s="4" t="str">
        <x:v>低</x:v>
      </x:c>
      <x:c r="W223" s="4" t="str">
        <x:v>PDF第1頁列資本RM750,000、2名本地技術員、初次2年、RM1,400/年；第2頁PPP每案RM5,000及處理費RM50。</x:v>
      </x:c>
      <x:c r="X223" s="4" t="str">
        <x:v>依協議僅一個獨立來源，整合信心低；來源A級不自動等於高信心。 文件發布路徑2025/06；並非宣稱2026後無修法，需CIDB確認適用版本。</x:v>
      </x:c>
      <x:c r="Y223" s="37" t="d">
        <x:v>2026-10-09T00:00:00.000Z</x:v>
      </x:c>
      <x:c r="Z223" s="4" t="str">
        <x:v>turn190view0</x:v>
      </x:c>
    </x:row>
    <x:row r="224" ht="38" customHeight="1">
      <x:c r="A224" s="4" t="str">
        <x:v>M0223</x:v>
      </x:c>
      <x:c r="B224" s="4" t="str">
        <x:v>MY</x:v>
      </x:c>
      <x:c r="C224" s="4" t="str">
        <x:v>外國承包商年度登記費</x:v>
      </x:c>
      <x:c r="D224" s="17" t="n">
        <x:v>1400</x:v>
      </x:c>
      <x:c r="E224" s="4" t="str">
        <x:v>MYR/年</x:v>
      </x:c>
      <x:c r="F224" s="16" t="n">
        <x:v>2025</x:v>
      </x:c>
      <x:c r="G224" s="4" t="str">
        <x:v>CIDB PPKA；費率可依法調整</x:v>
      </x:c>
      <x:c r="H224" s="4" t="str">
        <x:v>MY03</x:v>
      </x:c>
      <x:c r="I224" s="4" t="str">
        <x:v>https://www.cidb.gov.my/wp-content/uploads/2025/06/SYARAT-PENDAFTARAN-KONTRAKTOR-ASING-2.pdf</x:v>
      </x:c>
      <x:c r="J224" s="4" t="str">
        <x:v>是</x:v>
      </x:c>
      <x:c r="K224" s="4" t="str">
        <x:v>是</x:v>
      </x:c>
      <x:c r="L224" s="4" t="str">
        <x:v>是</x:v>
      </x:c>
      <x:c r="M224" s="4" t="str">
        <x:v>是</x:v>
      </x:c>
      <x:c r="N224" s="4" t="str">
        <x:v>pass</x:v>
      </x:c>
      <x:c r="O224" s="4" t="str">
        <x:v>A</x:v>
      </x:c>
      <x:c r="P224" s="4" t="str">
        <x:v>是</x:v>
      </x:c>
      <x:c r="Q224" s="17" t="n">
        <x:v>1400</x:v>
      </x:c>
      <x:c r="R224" s="16" t="n">
        <x:v>2025</x:v>
      </x:c>
      <x:c r="S224" s="4" t="str">
        <x:v>【示意】CIDB PPKA；費率可依法調整；獨立來源1；來源A級</x:v>
      </x:c>
      <x:c r="T224" s="4" t="str">
        <x:v>示意</x:v>
      </x:c>
      <x:c r="U224" s="16" t="n">
        <x:v>1</x:v>
      </x:c>
      <x:c r="V224" s="4" t="str">
        <x:v>低</x:v>
      </x:c>
      <x:c r="W224" s="4" t="str">
        <x:v>PDF第1頁列資本RM750,000、2名本地技術員、初次2年、RM1,400/年；第2頁PPP每案RM5,000及處理費RM50。</x:v>
      </x:c>
      <x:c r="X224" s="4" t="str">
        <x:v>依協議僅一個獨立來源，整合信心低；來源A級不自動等於高信心。 文件發布路徑2025/06；並非宣稱2026後無修法，需CIDB確認適用版本。</x:v>
      </x:c>
      <x:c r="Y224" s="37" t="d">
        <x:v>2026-10-09T00:00:00.000Z</x:v>
      </x:c>
      <x:c r="Z224" s="4" t="str">
        <x:v>turn190view0</x:v>
      </x:c>
    </x:row>
    <x:row r="225" ht="38" customHeight="1">
      <x:c r="A225" s="4" t="str">
        <x:v>M0224</x:v>
      </x:c>
      <x:c r="B225" s="4" t="str">
        <x:v>MY</x:v>
      </x:c>
      <x:c r="C225" s="4" t="str">
        <x:v>外國承包商PPP每案登記費</x:v>
      </x:c>
      <x:c r="D225" s="17" t="n">
        <x:v>5000</x:v>
      </x:c>
      <x:c r="E225" s="4" t="str">
        <x:v>MYR/案</x:v>
      </x:c>
      <x:c r="F225" s="16" t="n">
        <x:v>2025</x:v>
      </x:c>
      <x:c r="G225" s="4" t="str">
        <x:v>另有每案處理費50 MYR</x:v>
      </x:c>
      <x:c r="H225" s="4" t="str">
        <x:v>MY03</x:v>
      </x:c>
      <x:c r="I225" s="4" t="str">
        <x:v>https://www.cidb.gov.my/wp-content/uploads/2025/06/SYARAT-PENDAFTARAN-KONTRAKTOR-ASING-2.pdf</x:v>
      </x:c>
      <x:c r="J225" s="4" t="str">
        <x:v>是</x:v>
      </x:c>
      <x:c r="K225" s="4" t="str">
        <x:v>是</x:v>
      </x:c>
      <x:c r="L225" s="4" t="str">
        <x:v>是</x:v>
      </x:c>
      <x:c r="M225" s="4" t="str">
        <x:v>是</x:v>
      </x:c>
      <x:c r="N225" s="4" t="str">
        <x:v>pass</x:v>
      </x:c>
      <x:c r="O225" s="4" t="str">
        <x:v>A</x:v>
      </x:c>
      <x:c r="P225" s="4" t="str">
        <x:v>是</x:v>
      </x:c>
      <x:c r="Q225" s="17" t="n">
        <x:v>5000</x:v>
      </x:c>
      <x:c r="R225" s="16" t="n">
        <x:v>2025</x:v>
      </x:c>
      <x:c r="S225" s="4" t="str">
        <x:v>【示意】另有每案處理費50 MYR；獨立來源1；來源A級</x:v>
      </x:c>
      <x:c r="T225" s="4" t="str">
        <x:v>示意</x:v>
      </x:c>
      <x:c r="U225" s="16" t="n">
        <x:v>1</x:v>
      </x:c>
      <x:c r="V225" s="4" t="str">
        <x:v>低</x:v>
      </x:c>
      <x:c r="W225" s="4" t="str">
        <x:v>PDF第1頁列資本RM750,000、2名本地技術員、初次2年、RM1,400/年；第2頁PPP每案RM5,000及處理費RM50。</x:v>
      </x:c>
      <x:c r="X225" s="4" t="str">
        <x:v>依協議僅一個獨立來源，整合信心低；來源A級不自動等於高信心。 文件發布路徑2025/06；並非宣稱2026後無修法，需CIDB確認適用版本。</x:v>
      </x:c>
      <x:c r="Y225" s="37" t="d">
        <x:v>2026-10-09T00:00:00.000Z</x:v>
      </x:c>
      <x:c r="Z225" s="4" t="str">
        <x:v>turn190view0</x:v>
      </x:c>
    </x:row>
    <x:row r="226" ht="52" customHeight="1">
      <x:c r="A226" s="4" t="str">
        <x:v>M0225</x:v>
      </x:c>
      <x:c r="B226" s="4" t="str">
        <x:v>MY</x:v>
      </x:c>
      <x:c r="C226" s="4" t="str">
        <x:v>鋼材平均價格</x:v>
      </x:c>
      <x:c r="D226" s="19" t="n">
        <x:v>3426.8</x:v>
      </x:c>
      <x:c r="E226" s="4" t="str">
        <x:v>MYR/公噸</x:v>
      </x:c>
      <x:c r="F226" s="16" t="str">
        <x:v>2026-03</x:v>
      </x:c>
      <x:c r="G226" s="4" t="str">
        <x:v>指定建築鋼材平均；非全部內裝建材</x:v>
      </x:c>
      <x:c r="H226" s="4" t="str">
        <x:v>MY07</x:v>
      </x:c>
      <x:c r="I226" s="4" t="str">
        <x:v>https://www.dosm.gov.my/portal-main/downloads-log?id=9915</x:v>
      </x:c>
      <x:c r="J226" s="4" t="str">
        <x:v>是</x:v>
      </x:c>
      <x:c r="K226" s="4" t="str">
        <x:v>是</x:v>
      </x:c>
      <x:c r="L226" s="4" t="str">
        <x:v>是</x:v>
      </x:c>
      <x:c r="M226" s="4" t="str">
        <x:v>是</x:v>
      </x:c>
      <x:c r="N226" s="4" t="str">
        <x:v>partial</x:v>
      </x:c>
      <x:c r="O226" s="4" t="str">
        <x:v>A</x:v>
      </x:c>
      <x:c r="P226" s="4" t="str">
        <x:v>是</x:v>
      </x:c>
      <x:c r="Q226" s="19" t="n">
        <x:v>3426.8</x:v>
      </x:c>
      <x:c r="R226" s="16" t="str">
        <x:v>2026-03</x:v>
      </x:c>
      <x:c r="S226" s="4" t="str">
        <x:v>【示意】指定建築鋼材平均；非全部內裝建材；獨立來源1；來源A級；查核限制：PDF正文第2及5頁鋼材RM3,426.80/噸、水泥RM25.55/50kg；第3及6頁鋼材圖標RM3,436.80，鋼材存在同頁組內部矛盾。</x:v>
      </x:c>
      <x:c r="T226" s="4" t="str">
        <x:v>示意</x:v>
      </x:c>
      <x:c r="U226" s="16" t="n">
        <x:v>1</x:v>
      </x:c>
      <x:c r="V226" s="4" t="str">
        <x:v>低</x:v>
      </x:c>
      <x:c r="W226" s="4" t="str">
        <x:v>PDF正文第2及5頁鋼材RM3,426.80/噸、水泥RM25.55/50kg；第3及6頁鋼材圖標RM3,436.80，鋼材存在同頁組內部矛盾。</x:v>
      </x:c>
      <x:c r="X226" s="4" t="str">
        <x:v>依協議僅一個獨立來源，整合信心低；來源A級不自動等於高信心。 原文件存在正文／圖表或年份標籤矛盾，保留已定位值，不能升級實際。</x:v>
      </x:c>
      <x:c r="Y226" s="37" t="d">
        <x:v>2026-10-09T00:00:00.000Z</x:v>
      </x:c>
      <x:c r="Z226" s="4" t="str">
        <x:v>turn190view1</x:v>
      </x:c>
    </x:row>
    <x:row r="227" ht="38" customHeight="1">
      <x:c r="A227" s="4" t="str">
        <x:v>M0226</x:v>
      </x:c>
      <x:c r="B227" s="4" t="str">
        <x:v>MY</x:v>
      </x:c>
      <x:c r="C227" s="4" t="str">
        <x:v>普通卜特蘭水泥平均價格</x:v>
      </x:c>
      <x:c r="D227" s="18" t="n">
        <x:v>25.55</x:v>
      </x:c>
      <x:c r="E227" s="4" t="str">
        <x:v>MYR/50公斤</x:v>
      </x:c>
      <x:c r="F227" s="16" t="str">
        <x:v>2026-03</x:v>
      </x:c>
      <x:c r="G227" s="4" t="str">
        <x:v>DOSM建築材料規格</x:v>
      </x:c>
      <x:c r="H227" s="4" t="str">
        <x:v>MY07</x:v>
      </x:c>
      <x:c r="I227" s="4" t="str">
        <x:v>https://www.dosm.gov.my/portal-main/downloads-log?id=9915</x:v>
      </x:c>
      <x:c r="J227" s="4" t="str">
        <x:v>是</x:v>
      </x:c>
      <x:c r="K227" s="4" t="str">
        <x:v>是</x:v>
      </x:c>
      <x:c r="L227" s="4" t="str">
        <x:v>是</x:v>
      </x:c>
      <x:c r="M227" s="4" t="str">
        <x:v>是</x:v>
      </x:c>
      <x:c r="N227" s="4" t="str">
        <x:v>pass</x:v>
      </x:c>
      <x:c r="O227" s="4" t="str">
        <x:v>A</x:v>
      </x:c>
      <x:c r="P227" s="4" t="str">
        <x:v>是</x:v>
      </x:c>
      <x:c r="Q227" s="18" t="n">
        <x:v>25.55</x:v>
      </x:c>
      <x:c r="R227" s="16" t="str">
        <x:v>2026-03</x:v>
      </x:c>
      <x:c r="S227" s="4" t="str">
        <x:v>【示意】DOSM建築材料規格；獨立來源1；來源A級</x:v>
      </x:c>
      <x:c r="T227" s="4" t="str">
        <x:v>示意</x:v>
      </x:c>
      <x:c r="U227" s="16" t="n">
        <x:v>1</x:v>
      </x:c>
      <x:c r="V227" s="4" t="str">
        <x:v>低</x:v>
      </x:c>
      <x:c r="W227" s="4" t="str">
        <x:v>PDF正文第2及5頁鋼材RM3,426.80/噸、水泥RM25.55/50kg；第3及6頁鋼材圖標RM3,436.80，鋼材存在同頁組內部矛盾。</x:v>
      </x:c>
      <x:c r="X227" s="4" t="str">
        <x:v>依協議僅一個獨立來源，整合信心低；來源A級不自動等於高信心。</x:v>
      </x:c>
      <x:c r="Y227" s="37" t="d">
        <x:v>2026-10-09T00:00:00.000Z</x:v>
      </x:c>
      <x:c r="Z227" s="4" t="str">
        <x:v>turn190view1</x:v>
      </x:c>
    </x:row>
    <x:row r="228" ht="38" customHeight="1">
      <x:c r="A228" s="4" t="str">
        <x:v>M0227</x:v>
      </x:c>
      <x:c r="B228" s="4" t="str">
        <x:v>MY</x:v>
      </x:c>
      <x:c r="C228" s="4" t="str">
        <x:v>公民受僱者薪資中位數</x:v>
      </x:c>
      <x:c r="D228" s="17" t="n">
        <x:v>2940</x:v>
      </x:c>
      <x:c r="E228" s="4" t="str">
        <x:v>MYR/月</x:v>
      </x:c>
      <x:c r="F228" s="16" t="n">
        <x:v>2025</x:v>
      </x:c>
      <x:c r="G228" s="4" t="str">
        <x:v>Salaries &amp; Wages Survey；公民受僱者，非設計師專業</x:v>
      </x:c>
      <x:c r="H228" s="4" t="str">
        <x:v>MY08</x:v>
      </x:c>
      <x:c r="I228" s="4" t="str">
        <x:v>https://storage.dosm.gov.my/labour/salaries_wages_2025.pdf</x:v>
      </x:c>
      <x:c r="J228" s="4" t="str">
        <x:v>是</x:v>
      </x:c>
      <x:c r="K228" s="4" t="str">
        <x:v>是</x:v>
      </x:c>
      <x:c r="L228" s="4" t="str">
        <x:v>是</x:v>
      </x:c>
      <x:c r="M228" s="4" t="str">
        <x:v>是</x:v>
      </x:c>
      <x:c r="N228" s="4" t="str">
        <x:v>pass</x:v>
      </x:c>
      <x:c r="O228" s="4" t="str">
        <x:v>A</x:v>
      </x:c>
      <x:c r="P228" s="4" t="str">
        <x:v>是</x:v>
      </x:c>
      <x:c r="Q228" s="17" t="n">
        <x:v>2940</x:v>
      </x:c>
      <x:c r="R228" s="16" t="n">
        <x:v>2025</x:v>
      </x:c>
      <x:c r="S228" s="4" t="str">
        <x:v>【示意】Salaries &amp; Wages Survey；公民受僱者，非設計師專業；獨立來源1；來源A級</x:v>
      </x:c>
      <x:c r="T228" s="4" t="str">
        <x:v>示意</x:v>
      </x:c>
      <x:c r="U228" s="16" t="n">
        <x:v>1</x:v>
      </x:c>
      <x:c r="V228" s="4" t="str">
        <x:v>低</x:v>
      </x:c>
      <x:c r="W228" s="4" t="str">
        <x:v>PDF第47/65頁2025公民受僱者中位RM2,940、平均RM3,803；第97/111頁營造業平均RM3,188；公民範圍在表註。</x:v>
      </x:c>
      <x:c r="X228" s="4" t="str">
        <x:v>依協議僅一個獨立來源，整合信心低；來源A級不自動等於高信心。</x:v>
      </x:c>
      <x:c r="Y228" s="37" t="d">
        <x:v>2026-10-09T00:00:00.000Z</x:v>
      </x:c>
      <x:c r="Z228" s="4" t="str">
        <x:v>turn187view3</x:v>
      </x:c>
    </x:row>
    <x:row r="229" ht="38" customHeight="1">
      <x:c r="A229" s="4" t="str">
        <x:v>M0228</x:v>
      </x:c>
      <x:c r="B229" s="4" t="str">
        <x:v>MY</x:v>
      </x:c>
      <x:c r="C229" s="4" t="str">
        <x:v>公民受僱者薪資平均數</x:v>
      </x:c>
      <x:c r="D229" s="17" t="n">
        <x:v>3803</x:v>
      </x:c>
      <x:c r="E229" s="4" t="str">
        <x:v>MYR/月</x:v>
      </x:c>
      <x:c r="F229" s="16" t="n">
        <x:v>2025</x:v>
      </x:c>
      <x:c r="G229" s="4" t="str">
        <x:v>全產業公民受僱者</x:v>
      </x:c>
      <x:c r="H229" s="4" t="str">
        <x:v>MY08</x:v>
      </x:c>
      <x:c r="I229" s="4" t="str">
        <x:v>https://storage.dosm.gov.my/labour/salaries_wages_2025.pdf</x:v>
      </x:c>
      <x:c r="J229" s="4" t="str">
        <x:v>是</x:v>
      </x:c>
      <x:c r="K229" s="4" t="str">
        <x:v>是</x:v>
      </x:c>
      <x:c r="L229" s="4" t="str">
        <x:v>是</x:v>
      </x:c>
      <x:c r="M229" s="4" t="str">
        <x:v>是</x:v>
      </x:c>
      <x:c r="N229" s="4" t="str">
        <x:v>pass</x:v>
      </x:c>
      <x:c r="O229" s="4" t="str">
        <x:v>A</x:v>
      </x:c>
      <x:c r="P229" s="4" t="str">
        <x:v>是</x:v>
      </x:c>
      <x:c r="Q229" s="17" t="n">
        <x:v>3803</x:v>
      </x:c>
      <x:c r="R229" s="16" t="n">
        <x:v>2025</x:v>
      </x:c>
      <x:c r="S229" s="4" t="str">
        <x:v>【示意】全產業公民受僱者；獨立來源1；來源A級</x:v>
      </x:c>
      <x:c r="T229" s="4" t="str">
        <x:v>示意</x:v>
      </x:c>
      <x:c r="U229" s="16" t="n">
        <x:v>1</x:v>
      </x:c>
      <x:c r="V229" s="4" t="str">
        <x:v>低</x:v>
      </x:c>
      <x:c r="W229" s="4" t="str">
        <x:v>PDF第47/65頁2025公民受僱者中位RM2,940、平均RM3,803；第97/111頁營造業平均RM3,188；公民範圍在表註。</x:v>
      </x:c>
      <x:c r="X229" s="4" t="str">
        <x:v>依協議僅一個獨立來源，整合信心低；來源A級不自動等於高信心。</x:v>
      </x:c>
      <x:c r="Y229" s="37" t="d">
        <x:v>2026-10-09T00:00:00.000Z</x:v>
      </x:c>
      <x:c r="Z229" s="4" t="str">
        <x:v>turn187view3</x:v>
      </x:c>
    </x:row>
    <x:row r="230" ht="38" customHeight="1">
      <x:c r="A230" s="4" t="str">
        <x:v>M0229</x:v>
      </x:c>
      <x:c r="B230" s="4" t="str">
        <x:v>MY</x:v>
      </x:c>
      <x:c r="C230" s="4" t="str">
        <x:v>營造業公民受僱者薪資平均數</x:v>
      </x:c>
      <x:c r="D230" s="17" t="n">
        <x:v>3188</x:v>
      </x:c>
      <x:c r="E230" s="4" t="str">
        <x:v>MYR/月</x:v>
      </x:c>
      <x:c r="F230" s="16" t="n">
        <x:v>2025</x:v>
      </x:c>
      <x:c r="G230" s="4" t="str">
        <x:v>Construction sector；不含外籍全體、不是師傅日薪</x:v>
      </x:c>
      <x:c r="H230" s="4" t="str">
        <x:v>MY08</x:v>
      </x:c>
      <x:c r="I230" s="4" t="str">
        <x:v>https://storage.dosm.gov.my/labour/salaries_wages_2025.pdf</x:v>
      </x:c>
      <x:c r="J230" s="4" t="str">
        <x:v>是</x:v>
      </x:c>
      <x:c r="K230" s="4" t="str">
        <x:v>是</x:v>
      </x:c>
      <x:c r="L230" s="4" t="str">
        <x:v>是</x:v>
      </x:c>
      <x:c r="M230" s="4" t="str">
        <x:v>是</x:v>
      </x:c>
      <x:c r="N230" s="4" t="str">
        <x:v>pass</x:v>
      </x:c>
      <x:c r="O230" s="4" t="str">
        <x:v>A</x:v>
      </x:c>
      <x:c r="P230" s="4" t="str">
        <x:v>是</x:v>
      </x:c>
      <x:c r="Q230" s="17" t="n">
        <x:v>3188</x:v>
      </x:c>
      <x:c r="R230" s="16" t="n">
        <x:v>2025</x:v>
      </x:c>
      <x:c r="S230" s="4" t="str">
        <x:v>【示意】Construction sector；不含外籍全體、不是師傅日薪；獨立來源1；來源A級</x:v>
      </x:c>
      <x:c r="T230" s="4" t="str">
        <x:v>示意</x:v>
      </x:c>
      <x:c r="U230" s="16" t="n">
        <x:v>1</x:v>
      </x:c>
      <x:c r="V230" s="4" t="str">
        <x:v>低</x:v>
      </x:c>
      <x:c r="W230" s="4" t="str">
        <x:v>PDF第47/65頁2025公民受僱者中位RM2,940、平均RM3,803；第97/111頁營造業平均RM3,188；公民範圍在表註。</x:v>
      </x:c>
      <x:c r="X230" s="4" t="str">
        <x:v>依協議僅一個獨立來源，整合信心低；來源A級不自動等於高信心。</x:v>
      </x:c>
      <x:c r="Y230" s="37" t="d">
        <x:v>2026-10-09T00:00:00.000Z</x:v>
      </x:c>
      <x:c r="Z230" s="4" t="str">
        <x:v>turn187view3</x:v>
      </x:c>
    </x:row>
    <x:row r="231" ht="38" customHeight="1">
      <x:c r="A231" s="4" t="str">
        <x:v>M0230</x:v>
      </x:c>
      <x:c r="B231" s="4" t="str">
        <x:v>MY</x:v>
      </x:c>
      <x:c r="C231" s="4" t="str">
        <x:v>住宅交易量</x:v>
      </x:c>
      <x:c r="D231" s="17" t="n">
        <x:v>256512</x:v>
      </x:c>
      <x:c r="E231" s="4" t="str">
        <x:v>宗</x:v>
      </x:c>
      <x:c r="F231" s="16" t="n">
        <x:v>2025</x:v>
      </x:c>
      <x:c r="G231" s="4" t="str">
        <x:v>NAPIC住宅類含住宅空地，REHDA轉載</x:v>
      </x:c>
      <x:c r="H231" s="4" t="str">
        <x:v>MY09</x:v>
      </x:c>
      <x:c r="I231" s="4" t="str">
        <x:v>https://rehdainstitute.com/wp-content/uploads/2026/04/Summary-of-NAPIC-AR-2025.pdf</x:v>
      </x:c>
      <x:c r="J231" s="4" t="str">
        <x:v>是</x:v>
      </x:c>
      <x:c r="K231" s="4" t="str">
        <x:v>是</x:v>
      </x:c>
      <x:c r="L231" s="4" t="str">
        <x:v>是</x:v>
      </x:c>
      <x:c r="M231" s="4" t="str">
        <x:v>是</x:v>
      </x:c>
      <x:c r="N231" s="4" t="str">
        <x:v>pass</x:v>
      </x:c>
      <x:c r="O231" s="4" t="str">
        <x:v>B</x:v>
      </x:c>
      <x:c r="P231" s="4" t="str">
        <x:v>是</x:v>
      </x:c>
      <x:c r="Q231" s="17" t="n">
        <x:v>256512</x:v>
      </x:c>
      <x:c r="R231" s="16" t="n">
        <x:v>2025</x:v>
      </x:c>
      <x:c r="S231" s="4" t="str">
        <x:v>【示意】NAPIC住宅類含住宅空地，REHDA轉載；獨立來源1；來源B級</x:v>
      </x:c>
      <x:c r="T231" s="4" t="str">
        <x:v>示意</x:v>
      </x:c>
      <x:c r="U231" s="16" t="n">
        <x:v>1</x:v>
      </x:c>
      <x:c r="V231" s="4" t="str">
        <x:v>低</x:v>
      </x:c>
      <x:c r="W231" s="4" t="str">
        <x:v>PDF第1頁2025住宅類256,512宗、RM108.27bn；第3頁中古84.5%、初次15.5%、空地18.1%、新推64,487；第4頁已完工未售30,471。</x:v>
      </x:c>
      <x:c r="X231" s="4" t="str">
        <x:v>依協議僅一個獨立來源，整合信心低；來源A級不自動等於高信心。</x:v>
      </x:c>
      <x:c r="Y231" s="37" t="d">
        <x:v>2026-10-09T00:00:00.000Z</x:v>
      </x:c>
      <x:c r="Z231" s="4" t="str">
        <x:v>turn179view2</x:v>
      </x:c>
    </x:row>
    <x:row r="232" ht="38" customHeight="1">
      <x:c r="A232" s="4" t="str">
        <x:v>M0231</x:v>
      </x:c>
      <x:c r="B232" s="4" t="str">
        <x:v>MY</x:v>
      </x:c>
      <x:c r="C232" s="4" t="str">
        <x:v>住宅交易額</x:v>
      </x:c>
      <x:c r="D232" s="18" t="n">
        <x:v>108.27</x:v>
      </x:c>
      <x:c r="E232" s="4" t="str">
        <x:v>十億MYR</x:v>
      </x:c>
      <x:c r="F232" s="16" t="n">
        <x:v>2025</x:v>
      </x:c>
      <x:c r="G232" s="4" t="str">
        <x:v>住宅類不動產成交價款；不是裝修支出</x:v>
      </x:c>
      <x:c r="H232" s="4" t="str">
        <x:v>MY09</x:v>
      </x:c>
      <x:c r="I232" s="4" t="str">
        <x:v>https://rehdainstitute.com/wp-content/uploads/2026/04/Summary-of-NAPIC-AR-2025.pdf</x:v>
      </x:c>
      <x:c r="J232" s="4" t="str">
        <x:v>是</x:v>
      </x:c>
      <x:c r="K232" s="4" t="str">
        <x:v>是</x:v>
      </x:c>
      <x:c r="L232" s="4" t="str">
        <x:v>是</x:v>
      </x:c>
      <x:c r="M232" s="4" t="str">
        <x:v>是</x:v>
      </x:c>
      <x:c r="N232" s="4" t="str">
        <x:v>pass</x:v>
      </x:c>
      <x:c r="O232" s="4" t="str">
        <x:v>B</x:v>
      </x:c>
      <x:c r="P232" s="4" t="str">
        <x:v>是</x:v>
      </x:c>
      <x:c r="Q232" s="18" t="n">
        <x:v>108.27</x:v>
      </x:c>
      <x:c r="R232" s="16" t="n">
        <x:v>2025</x:v>
      </x:c>
      <x:c r="S232" s="4" t="str">
        <x:v>【示意】住宅類不動產成交價款；不是裝修支出；獨立來源1；來源B級</x:v>
      </x:c>
      <x:c r="T232" s="4" t="str">
        <x:v>示意</x:v>
      </x:c>
      <x:c r="U232" s="16" t="n">
        <x:v>1</x:v>
      </x:c>
      <x:c r="V232" s="4" t="str">
        <x:v>低</x:v>
      </x:c>
      <x:c r="W232" s="4" t="str">
        <x:v>PDF第1頁2025住宅類256,512宗、RM108.27bn；第3頁中古84.5%、初次15.5%、空地18.1%、新推64,487；第4頁已完工未售30,471。</x:v>
      </x:c>
      <x:c r="X232" s="4" t="str">
        <x:v>依協議僅一個獨立來源，整合信心低；來源A級不自動等於高信心。</x:v>
      </x:c>
      <x:c r="Y232" s="37" t="d">
        <x:v>2026-10-09T00:00:00.000Z</x:v>
      </x:c>
      <x:c r="Z232" s="4" t="str">
        <x:v>turn179view2</x:v>
      </x:c>
    </x:row>
    <x:row r="233" ht="38" customHeight="1">
      <x:c r="A233" s="4" t="str">
        <x:v>M0232</x:v>
      </x:c>
      <x:c r="B233" s="4" t="str">
        <x:v>MY</x:v>
      </x:c>
      <x:c r="C233" s="4" t="str">
        <x:v>中古住宅交易占比</x:v>
      </x:c>
      <x:c r="D233" s="19" t="n">
        <x:v>84.5</x:v>
      </x:c>
      <x:c r="E233" s="4" t="str">
        <x:v>%</x:v>
      </x:c>
      <x:c r="F233" s="16" t="n">
        <x:v>2025</x:v>
      </x:c>
      <x:c r="G233" s="4" t="str">
        <x:v>secondary share；分母住宅類交易含空地，跨國不可直接等同已建成房屋</x:v>
      </x:c>
      <x:c r="H233" s="4" t="str">
        <x:v>MY09</x:v>
      </x:c>
      <x:c r="I233" s="4" t="str">
        <x:v>https://rehdainstitute.com/wp-content/uploads/2026/04/Summary-of-NAPIC-AR-2025.pdf</x:v>
      </x:c>
      <x:c r="J233" s="4" t="str">
        <x:v>是</x:v>
      </x:c>
      <x:c r="K233" s="4" t="str">
        <x:v>是</x:v>
      </x:c>
      <x:c r="L233" s="4" t="str">
        <x:v>是</x:v>
      </x:c>
      <x:c r="M233" s="4" t="str">
        <x:v>是</x:v>
      </x:c>
      <x:c r="N233" s="4" t="str">
        <x:v>pass</x:v>
      </x:c>
      <x:c r="O233" s="4" t="str">
        <x:v>B</x:v>
      </x:c>
      <x:c r="P233" s="4" t="str">
        <x:v>是</x:v>
      </x:c>
      <x:c r="Q233" s="19" t="n">
        <x:v>84.5</x:v>
      </x:c>
      <x:c r="R233" s="16" t="n">
        <x:v>2025</x:v>
      </x:c>
      <x:c r="S233" s="4" t="str">
        <x:v>【示意】secondary share；分母住宅類交易含空地，跨國不可直接等同已建成房屋；獨立來源1；來源B級</x:v>
      </x:c>
      <x:c r="T233" s="4" t="str">
        <x:v>示意</x:v>
      </x:c>
      <x:c r="U233" s="16" t="n">
        <x:v>1</x:v>
      </x:c>
      <x:c r="V233" s="4" t="str">
        <x:v>低</x:v>
      </x:c>
      <x:c r="W233" s="4" t="str">
        <x:v>PDF第1頁2025住宅類256,512宗、RM108.27bn；第3頁中古84.5%、初次15.5%、空地18.1%、新推64,487；第4頁已完工未售30,471。</x:v>
      </x:c>
      <x:c r="X233" s="4" t="str">
        <x:v>依協議僅一個獨立來源，整合信心低；來源A級不自動等於高信心。</x:v>
      </x:c>
      <x:c r="Y233" s="37" t="d">
        <x:v>2026-10-09T00:00:00.000Z</x:v>
      </x:c>
      <x:c r="Z233" s="4" t="str">
        <x:v>turn179view2</x:v>
      </x:c>
    </x:row>
    <x:row r="234" ht="38" customHeight="1">
      <x:c r="A234" s="4" t="str">
        <x:v>M0233</x:v>
      </x:c>
      <x:c r="B234" s="4" t="str">
        <x:v>MY</x:v>
      </x:c>
      <x:c r="C234" s="4" t="str">
        <x:v>新屋第一手交易占比</x:v>
      </x:c>
      <x:c r="D234" s="19" t="n">
        <x:v>15.5</x:v>
      </x:c>
      <x:c r="E234" s="4" t="str">
        <x:v>%</x:v>
      </x:c>
      <x:c r="F234" s="16" t="n">
        <x:v>2025</x:v>
      </x:c>
      <x:c r="G234" s="4" t="str">
        <x:v>primary＝開發商向第一位買方移轉；含住宅類整體</x:v>
      </x:c>
      <x:c r="H234" s="4" t="str">
        <x:v>MY09</x:v>
      </x:c>
      <x:c r="I234" s="4" t="str">
        <x:v>https://rehdainstitute.com/wp-content/uploads/2026/04/Summary-of-NAPIC-AR-2025.pdf</x:v>
      </x:c>
      <x:c r="J234" s="4" t="str">
        <x:v>是</x:v>
      </x:c>
      <x:c r="K234" s="4" t="str">
        <x:v>是</x:v>
      </x:c>
      <x:c r="L234" s="4" t="str">
        <x:v>是</x:v>
      </x:c>
      <x:c r="M234" s="4" t="str">
        <x:v>是</x:v>
      </x:c>
      <x:c r="N234" s="4" t="str">
        <x:v>pass</x:v>
      </x:c>
      <x:c r="O234" s="4" t="str">
        <x:v>B</x:v>
      </x:c>
      <x:c r="P234" s="4" t="str">
        <x:v>是</x:v>
      </x:c>
      <x:c r="Q234" s="19" t="n">
        <x:v>15.5</x:v>
      </x:c>
      <x:c r="R234" s="16" t="n">
        <x:v>2025</x:v>
      </x:c>
      <x:c r="S234" s="4" t="str">
        <x:v>【示意】primary＝開發商向第一位買方移轉；含住宅類整體；獨立來源1；來源B級</x:v>
      </x:c>
      <x:c r="T234" s="4" t="str">
        <x:v>示意</x:v>
      </x:c>
      <x:c r="U234" s="16" t="n">
        <x:v>1</x:v>
      </x:c>
      <x:c r="V234" s="4" t="str">
        <x:v>低</x:v>
      </x:c>
      <x:c r="W234" s="4" t="str">
        <x:v>PDF第1頁2025住宅類256,512宗、RM108.27bn；第3頁中古84.5%、初次15.5%、空地18.1%、新推64,487；第4頁已完工未售30,471。</x:v>
      </x:c>
      <x:c r="X234" s="4" t="str">
        <x:v>依協議僅一個獨立來源，整合信心低；來源A級不自動等於高信心。</x:v>
      </x:c>
      <x:c r="Y234" s="37" t="d">
        <x:v>2026-10-09T00:00:00.000Z</x:v>
      </x:c>
      <x:c r="Z234" s="4" t="str">
        <x:v>turn179view2</x:v>
      </x:c>
    </x:row>
    <x:row r="235" ht="38" customHeight="1">
      <x:c r="A235" s="4" t="str">
        <x:v>M0234</x:v>
      </x:c>
      <x:c r="B235" s="4" t="str">
        <x:v>MY</x:v>
      </x:c>
      <x:c r="C235" s="4" t="str">
        <x:v>住宅空地交易占比</x:v>
      </x:c>
      <x:c r="D235" s="19" t="n">
        <x:v>18.1</x:v>
      </x:c>
      <x:c r="E235" s="4" t="str">
        <x:v>%</x:v>
      </x:c>
      <x:c r="F235" s="16" t="n">
        <x:v>2025</x:v>
      </x:c>
      <x:c r="G235" s="4" t="str">
        <x:v>NAPIC residential category 中vacant plot占比</x:v>
      </x:c>
      <x:c r="H235" s="4" t="str">
        <x:v>MY09</x:v>
      </x:c>
      <x:c r="I235" s="4" t="str">
        <x:v>https://rehdainstitute.com/wp-content/uploads/2026/04/Summary-of-NAPIC-AR-2025.pdf</x:v>
      </x:c>
      <x:c r="J235" s="4" t="str">
        <x:v>是</x:v>
      </x:c>
      <x:c r="K235" s="4" t="str">
        <x:v>是</x:v>
      </x:c>
      <x:c r="L235" s="4" t="str">
        <x:v>是</x:v>
      </x:c>
      <x:c r="M235" s="4" t="str">
        <x:v>是</x:v>
      </x:c>
      <x:c r="N235" s="4" t="str">
        <x:v>pass</x:v>
      </x:c>
      <x:c r="O235" s="4" t="str">
        <x:v>B</x:v>
      </x:c>
      <x:c r="P235" s="4" t="str">
        <x:v>是</x:v>
      </x:c>
      <x:c r="Q235" s="19" t="n">
        <x:v>18.1</x:v>
      </x:c>
      <x:c r="R235" s="16" t="n">
        <x:v>2025</x:v>
      </x:c>
      <x:c r="S235" s="4" t="str">
        <x:v>【示意】NAPIC residential category 中vacant plot占比；獨立來源1；來源B級</x:v>
      </x:c>
      <x:c r="T235" s="4" t="str">
        <x:v>示意</x:v>
      </x:c>
      <x:c r="U235" s="16" t="n">
        <x:v>1</x:v>
      </x:c>
      <x:c r="V235" s="4" t="str">
        <x:v>低</x:v>
      </x:c>
      <x:c r="W235" s="4" t="str">
        <x:v>PDF第1頁2025住宅類256,512宗、RM108.27bn；第3頁中古84.5%、初次15.5%、空地18.1%、新推64,487；第4頁已完工未售30,471。</x:v>
      </x:c>
      <x:c r="X235" s="4" t="str">
        <x:v>依協議僅一個獨立來源，整合信心低；來源A級不自動等於高信心。</x:v>
      </x:c>
      <x:c r="Y235" s="37" t="d">
        <x:v>2026-10-09T00:00:00.000Z</x:v>
      </x:c>
      <x:c r="Z235" s="4" t="str">
        <x:v>turn179view2</x:v>
      </x:c>
    </x:row>
    <x:row r="236" ht="38" customHeight="1">
      <x:c r="A236" s="4" t="str">
        <x:v>M0235</x:v>
      </x:c>
      <x:c r="B236" s="4" t="str">
        <x:v>MY</x:v>
      </x:c>
      <x:c r="C236" s="4" t="str">
        <x:v>住宅新推案量</x:v>
      </x:c>
      <x:c r="D236" s="17" t="n">
        <x:v>64487</x:v>
      </x:c>
      <x:c r="E236" s="4" t="str">
        <x:v>戶</x:v>
      </x:c>
      <x:c r="F236" s="16" t="n">
        <x:v>2025</x:v>
      </x:c>
      <x:c r="G236" s="4" t="str">
        <x:v>新推案，不是竣工戶數</x:v>
      </x:c>
      <x:c r="H236" s="4" t="str">
        <x:v>MY09</x:v>
      </x:c>
      <x:c r="I236" s="4" t="str">
        <x:v>https://rehdainstitute.com/wp-content/uploads/2026/04/Summary-of-NAPIC-AR-2025.pdf</x:v>
      </x:c>
      <x:c r="J236" s="4" t="str">
        <x:v>是</x:v>
      </x:c>
      <x:c r="K236" s="4" t="str">
        <x:v>是</x:v>
      </x:c>
      <x:c r="L236" s="4" t="str">
        <x:v>是</x:v>
      </x:c>
      <x:c r="M236" s="4" t="str">
        <x:v>是</x:v>
      </x:c>
      <x:c r="N236" s="4" t="str">
        <x:v>pass</x:v>
      </x:c>
      <x:c r="O236" s="4" t="str">
        <x:v>B</x:v>
      </x:c>
      <x:c r="P236" s="4" t="str">
        <x:v>是</x:v>
      </x:c>
      <x:c r="Q236" s="17" t="n">
        <x:v>64487</x:v>
      </x:c>
      <x:c r="R236" s="16" t="n">
        <x:v>2025</x:v>
      </x:c>
      <x:c r="S236" s="4" t="str">
        <x:v>【示意】新推案，不是竣工戶數；獨立來源1；來源B級</x:v>
      </x:c>
      <x:c r="T236" s="4" t="str">
        <x:v>示意</x:v>
      </x:c>
      <x:c r="U236" s="16" t="n">
        <x:v>1</x:v>
      </x:c>
      <x:c r="V236" s="4" t="str">
        <x:v>低</x:v>
      </x:c>
      <x:c r="W236" s="4" t="str">
        <x:v>PDF第1頁2025住宅類256,512宗、RM108.27bn；第3頁中古84.5%、初次15.5%、空地18.1%、新推64,487；第4頁已完工未售30,471。</x:v>
      </x:c>
      <x:c r="X236" s="4" t="str">
        <x:v>依協議僅一個獨立來源，整合信心低；來源A級不自動等於高信心。</x:v>
      </x:c>
      <x:c r="Y236" s="37" t="d">
        <x:v>2026-10-09T00:00:00.000Z</x:v>
      </x:c>
      <x:c r="Z236" s="4" t="str">
        <x:v>turn179view2</x:v>
      </x:c>
    </x:row>
    <x:row r="237" ht="38" customHeight="1">
      <x:c r="A237" s="4" t="str">
        <x:v>M0236</x:v>
      </x:c>
      <x:c r="B237" s="4" t="str">
        <x:v>MY</x:v>
      </x:c>
      <x:c r="C237" s="4" t="str">
        <x:v>已完工滯銷住宅</x:v>
      </x:c>
      <x:c r="D237" s="17" t="n">
        <x:v>30471</x:v>
      </x:c>
      <x:c r="E237" s="4" t="str">
        <x:v>戶</x:v>
      </x:c>
      <x:c r="F237" s="16" t="n">
        <x:v>2025</x:v>
      </x:c>
      <x:c r="G237" s="4" t="str">
        <x:v>住宅overhang；不是全部空屋</x:v>
      </x:c>
      <x:c r="H237" s="4" t="str">
        <x:v>MY09</x:v>
      </x:c>
      <x:c r="I237" s="4" t="str">
        <x:v>https://rehdainstitute.com/wp-content/uploads/2026/04/Summary-of-NAPIC-AR-2025.pdf</x:v>
      </x:c>
      <x:c r="J237" s="4" t="str">
        <x:v>是</x:v>
      </x:c>
      <x:c r="K237" s="4" t="str">
        <x:v>是</x:v>
      </x:c>
      <x:c r="L237" s="4" t="str">
        <x:v>是</x:v>
      </x:c>
      <x:c r="M237" s="4" t="str">
        <x:v>是</x:v>
      </x:c>
      <x:c r="N237" s="4" t="str">
        <x:v>pass</x:v>
      </x:c>
      <x:c r="O237" s="4" t="str">
        <x:v>B</x:v>
      </x:c>
      <x:c r="P237" s="4" t="str">
        <x:v>是</x:v>
      </x:c>
      <x:c r="Q237" s="17" t="n">
        <x:v>30471</x:v>
      </x:c>
      <x:c r="R237" s="16" t="n">
        <x:v>2025</x:v>
      </x:c>
      <x:c r="S237" s="4" t="str">
        <x:v>【示意】住宅overhang；不是全部空屋；獨立來源1；來源B級</x:v>
      </x:c>
      <x:c r="T237" s="4" t="str">
        <x:v>示意</x:v>
      </x:c>
      <x:c r="U237" s="16" t="n">
        <x:v>1</x:v>
      </x:c>
      <x:c r="V237" s="4" t="str">
        <x:v>低</x:v>
      </x:c>
      <x:c r="W237" s="4" t="str">
        <x:v>PDF第1頁2025住宅類256,512宗、RM108.27bn；第3頁中古84.5%、初次15.5%、空地18.1%、新推64,487；第4頁已完工未售30,471。</x:v>
      </x:c>
      <x:c r="X237" s="4" t="str">
        <x:v>依協議僅一個獨立來源，整合信心低；來源A級不自動等於高信心。</x:v>
      </x:c>
      <x:c r="Y237" s="37" t="d">
        <x:v>2026-10-09T00:00:00.000Z</x:v>
      </x:c>
      <x:c r="Z237" s="4" t="str">
        <x:v>turn179view2</x:v>
      </x:c>
    </x:row>
    <x:row r="238" ht="38" customHeight="1">
      <x:c r="A238" s="4" t="str">
        <x:v>M0237</x:v>
      </x:c>
      <x:c r="B238" s="4" t="str">
        <x:v>MY</x:v>
      </x:c>
      <x:c r="C238" s="4" t="str">
        <x:v>Qanvast公寓设计施工參考包價下限</x:v>
      </x:c>
      <x:c r="D238" s="17" t="n">
        <x:v>25000</x:v>
      </x:c>
      <x:c r="E238" s="4" t="str">
        <x:v>MYR/案</x:v>
      </x:c>
      <x:c r="F238" s="16" t="str">
        <x:v>2026查閱</x:v>
      </x:c>
      <x:c r="G238" s="4" t="str">
        <x:v>頁面典型condo25k–60k；無面積與樣本年度，非全國均價</x:v>
      </x:c>
      <x:c r="H238" s="4" t="str">
        <x:v>MY10</x:v>
      </x:c>
      <x:c r="I238" s="4" t="str">
        <x:v>https://qanvast.com/my/interior-designers</x:v>
      </x:c>
      <x:c r="J238" s="4" t="str">
        <x:v>是</x:v>
      </x:c>
      <x:c r="K238" s="4" t="str">
        <x:v>是</x:v>
      </x:c>
      <x:c r="L238" s="4" t="str">
        <x:v>是</x:v>
      </x:c>
      <x:c r="M238" s="4" t="str">
        <x:v>是</x:v>
      </x:c>
      <x:c r="N238" s="4" t="str">
        <x:v>pass</x:v>
      </x:c>
      <x:c r="O238" s="4" t="str">
        <x:v>C</x:v>
      </x:c>
      <x:c r="P238" s="4" t="str">
        <x:v>是</x:v>
      </x:c>
      <x:c r="Q238" s="17" t="n">
        <x:v>25000</x:v>
      </x:c>
      <x:c r="R238" s="16" t="str">
        <x:v>2026查閱</x:v>
      </x:c>
      <x:c r="S238" s="4" t="str">
        <x:v>【示意】頁面典型condo25k–60k；無面積與樣本年度，非全國均價；獨立來源1；來源C級</x:v>
      </x:c>
      <x:c r="T238" s="4" t="str">
        <x:v>示意</x:v>
      </x:c>
      <x:c r="U238" s="16" t="n">
        <x:v>1</x:v>
      </x:c>
      <x:c r="V238" s="4" t="str">
        <x:v>低</x:v>
      </x:c>
      <x:c r="W238" s="4" t="str">
        <x:v>FAQ第285行公寓包價RM25,000–60,000，含設計諮詢、3D、管理及安裝；未揭樣本年及面積，僅2026查閱。</x:v>
      </x:c>
      <x:c r="X238" s="4" t="str">
        <x:v>依協議僅一個獨立來源，整合信心低；來源A級不自動等於高信心。</x:v>
      </x:c>
      <x:c r="Y238" s="37" t="d">
        <x:v>2026-10-09T00:00:00.000Z</x:v>
      </x:c>
      <x:c r="Z238" s="4" t="str">
        <x:v>turn221view9</x:v>
      </x:c>
    </x:row>
    <x:row r="239" ht="38" customHeight="1">
      <x:c r="A239" s="4" t="str">
        <x:v>M0238</x:v>
      </x:c>
      <x:c r="B239" s="4" t="str">
        <x:v>MY</x:v>
      </x:c>
      <x:c r="C239" s="4" t="str">
        <x:v>Qanvast公寓设计施工參考包價上限</x:v>
      </x:c>
      <x:c r="D239" s="17" t="n">
        <x:v>60000</x:v>
      </x:c>
      <x:c r="E239" s="4" t="str">
        <x:v>MYR/案</x:v>
      </x:c>
      <x:c r="F239" s="16" t="str">
        <x:v>2026查閱</x:v>
      </x:c>
      <x:c r="G239" s="4" t="str">
        <x:v>不可拆為設計費；無樣本</x:v>
      </x:c>
      <x:c r="H239" s="4" t="str">
        <x:v>MY10</x:v>
      </x:c>
      <x:c r="I239" s="4" t="str">
        <x:v>https://qanvast.com/my/interior-designers</x:v>
      </x:c>
      <x:c r="J239" s="4" t="str">
        <x:v>是</x:v>
      </x:c>
      <x:c r="K239" s="4" t="str">
        <x:v>是</x:v>
      </x:c>
      <x:c r="L239" s="4" t="str">
        <x:v>是</x:v>
      </x:c>
      <x:c r="M239" s="4" t="str">
        <x:v>是</x:v>
      </x:c>
      <x:c r="N239" s="4" t="str">
        <x:v>pass</x:v>
      </x:c>
      <x:c r="O239" s="4" t="str">
        <x:v>C</x:v>
      </x:c>
      <x:c r="P239" s="4" t="str">
        <x:v>是</x:v>
      </x:c>
      <x:c r="Q239" s="17" t="n">
        <x:v>60000</x:v>
      </x:c>
      <x:c r="R239" s="16" t="str">
        <x:v>2026查閱</x:v>
      </x:c>
      <x:c r="S239" s="4" t="str">
        <x:v>【示意】不可拆為設計費；無樣本；獨立來源1；來源C級</x:v>
      </x:c>
      <x:c r="T239" s="4" t="str">
        <x:v>示意</x:v>
      </x:c>
      <x:c r="U239" s="16" t="n">
        <x:v>1</x:v>
      </x:c>
      <x:c r="V239" s="4" t="str">
        <x:v>低</x:v>
      </x:c>
      <x:c r="W239" s="4" t="str">
        <x:v>FAQ第285行公寓包價RM25,000–60,000，含設計諮詢、3D、管理及安裝；未揭樣本年及面積，僅2026查閱。</x:v>
      </x:c>
      <x:c r="X239" s="4" t="str">
        <x:v>依協議僅一個獨立來源，整合信心低；來源A級不自動等於高信心。</x:v>
      </x:c>
      <x:c r="Y239" s="37" t="d">
        <x:v>2026-10-09T00:00:00.000Z</x:v>
      </x:c>
      <x:c r="Z239" s="4" t="str">
        <x:v>turn221view9</x:v>
      </x:c>
    </x:row>
    <x:row r="240" ht="38" customHeight="1">
      <x:c r="A240" s="4" t="str">
        <x:v>M0239</x:v>
      </x:c>
      <x:c r="B240" s="4" t="str">
        <x:v>MY</x:v>
      </x:c>
      <x:c r="C240" s="4" t="str">
        <x:v>Qanvast倒閉保障上限</x:v>
      </x:c>
      <x:c r="D240" s="17" t="n">
        <x:v>50000</x:v>
      </x:c>
      <x:c r="E240" s="4" t="str">
        <x:v>MYR/合約</x:v>
      </x:c>
      <x:c r="F240" s="16" t="str">
        <x:v>2025頁面</x:v>
      </x:c>
      <x:c r="G240" s="4" t="str">
        <x:v>合約價50%與RM50k取低，適用推薦公司破產及計畫條件；非全面履約保證</x:v>
      </x:c>
      <x:c r="H240" s="4" t="str">
        <x:v>MY11</x:v>
      </x:c>
      <x:c r="I240" s="4" t="str">
        <x:v>https://qanvast.com/my/articles/qanvast-supertrust-2025-the-top-12-interior-design-firms-in-malaysia-3407</x:v>
      </x:c>
      <x:c r="J240" s="4" t="str">
        <x:v>是</x:v>
      </x:c>
      <x:c r="K240" s="4" t="str">
        <x:v>是</x:v>
      </x:c>
      <x:c r="L240" s="4" t="str">
        <x:v>是</x:v>
      </x:c>
      <x:c r="M240" s="4" t="str">
        <x:v>是</x:v>
      </x:c>
      <x:c r="N240" s="4" t="str">
        <x:v>pass</x:v>
      </x:c>
      <x:c r="O240" s="4" t="str">
        <x:v>C</x:v>
      </x:c>
      <x:c r="P240" s="4" t="str">
        <x:v>是</x:v>
      </x:c>
      <x:c r="Q240" s="17" t="n">
        <x:v>50000</x:v>
      </x:c>
      <x:c r="R240" s="16" t="str">
        <x:v>2025頁面</x:v>
      </x:c>
      <x:c r="S240" s="4" t="str">
        <x:v>【示意】合約價50%與RM50k取低，適用推薦公司破產及計畫條件；非全面履約保證；獨立來源1；來源C級</x:v>
      </x:c>
      <x:c r="T240" s="4" t="str">
        <x:v>示意</x:v>
      </x:c>
      <x:c r="U240" s="16" t="n">
        <x:v>1</x:v>
      </x:c>
      <x:c r="V240" s="4" t="str">
        <x:v>低</x:v>
      </x:c>
      <x:c r="W240" s="4" t="str">
        <x:v>文章第216行保障為合約價50%與RM50,000取低，限推薦公司資不抵債；非一般保固。</x:v>
      </x:c>
      <x:c r="X240" s="4" t="str">
        <x:v>依協議僅一個獨立來源，整合信心低；來源A級不自動等於高信心。</x:v>
      </x:c>
      <x:c r="Y240" s="37" t="d">
        <x:v>2026-10-09T00:00:00.000Z</x:v>
      </x:c>
      <x:c r="Z240" s="4" t="str">
        <x:v>turn227view0</x:v>
      </x:c>
    </x:row>
    <x:row r="241" ht="30" customHeight="1">
      <x:c r="A241" s="4" t="str">
        <x:v>M0240</x:v>
      </x:c>
      <x:c r="B241" s="4" t="str">
        <x:v>MY</x:v>
      </x:c>
      <x:c r="C241" s="4" t="str">
        <x:v>人均GDP</x:v>
      </x:c>
      <x:c r="D241" s="22" t="n">
        <x:v>13124.55542</x:v>
      </x:c>
      <x:c r="E241" s="4" t="str">
        <x:v>USD/person</x:v>
      </x:c>
      <x:c r="F241" s="16" t="n">
        <x:v>2025</x:v>
      </x:c>
      <x:c r="G241" s="4" t="str">
        <x:v>World Bank WDI 現價美元，NY.GDP.PCAP.CD，FRED轉載；非PPP</x:v>
      </x:c>
      <x:c r="H241" s="4" t="str">
        <x:v>MY13</x:v>
      </x:c>
      <x:c r="I241" s="4" t="str">
        <x:v>https://fred.stlouisfed.org/series/PCAGDPMYA646NWDB</x:v>
      </x:c>
      <x:c r="J241" s="4" t="str">
        <x:v>是</x:v>
      </x:c>
      <x:c r="K241" s="4" t="str">
        <x:v>是</x:v>
      </x:c>
      <x:c r="L241" s="4" t="str">
        <x:v>是</x:v>
      </x:c>
      <x:c r="M241" s="4" t="str">
        <x:v>是</x:v>
      </x:c>
      <x:c r="N241" s="4" t="str">
        <x:v>pass</x:v>
      </x:c>
      <x:c r="O241" s="4" t="str">
        <x:v>A</x:v>
      </x:c>
      <x:c r="P241" s="4" t="str">
        <x:v>是</x:v>
      </x:c>
      <x:c r="Q241" s="22" t="n">
        <x:v>13124.55542</x:v>
      </x:c>
      <x:c r="R241" s="16" t="n">
        <x:v>2025</x:v>
      </x:c>
      <x:c r="S241" s="4" t="str">
        <x:v>【示意】World Bank WDI 現價美元，NY.GDP.PCAP.CD，FRED轉載；非PPP；獨立來源1；來源A級</x:v>
      </x:c>
      <x:c r="T241" s="4" t="str">
        <x:v>示意</x:v>
      </x:c>
      <x:c r="U241" s="16" t="n">
        <x:v>1</x:v>
      </x:c>
      <x:c r="V241" s="4" t="str">
        <x:v>低</x:v>
      </x:c>
      <x:c r="W241" s="4" t="str">
        <x:v>FRED觀察表2025=13,124.55542，現價美元/人，WDI NY.GDP.PCAP.CD。</x:v>
      </x:c>
      <x:c r="X241" s="4" t="str">
        <x:v>依協議僅一個獨立來源，整合信心低；來源A級不自動等於高信心。</x:v>
      </x:c>
      <x:c r="Y241" s="37" t="d">
        <x:v>2026-10-09T00:00:00.000Z</x:v>
      </x:c>
      <x:c r="Z241" s="4" t="str">
        <x:v>turn177view0</x:v>
      </x:c>
    </x:row>
    <x:row r="242" ht="38" customHeight="1">
      <x:c r="A242" s="4" t="str">
        <x:v>M0241</x:v>
      </x:c>
      <x:c r="B242" s="4" t="str">
        <x:v>MY</x:v>
      </x:c>
      <x:c r="C242" s="4" t="str">
        <x:v>Signature合併季度營收</x:v>
      </x:c>
      <x:c r="D242" s="21" t="n">
        <x:v>211.789</x:v>
      </x:c>
      <x:c r="E242" s="4" t="str">
        <x:v>百萬MYR</x:v>
      </x:c>
      <x:c r="F242" s="16" t="str">
        <x:v>2026Q1</x:v>
      </x:c>
      <x:c r="G242" s="4" t="str">
        <x:v>跨業務／地理合併營收，不是MY住宅裝修市場</x:v>
      </x:c>
      <x:c r="H242" s="4" t="str">
        <x:v>MY15</x:v>
      </x:c>
      <x:c r="I242" s="4" t="str">
        <x:v>https://newsfile.moomoo.com/public/NN-PersistNoticeAttachment/7781/20260520/MYX/MYX_3667615_238047.pdf</x:v>
      </x:c>
      <x:c r="J242" s="4" t="str">
        <x:v>是</x:v>
      </x:c>
      <x:c r="K242" s="4" t="str">
        <x:v>是</x:v>
      </x:c>
      <x:c r="L242" s="4" t="str">
        <x:v>是</x:v>
      </x:c>
      <x:c r="M242" s="4" t="str">
        <x:v>是</x:v>
      </x:c>
      <x:c r="N242" s="4" t="str">
        <x:v>pass</x:v>
      </x:c>
      <x:c r="O242" s="4" t="str">
        <x:v>A</x:v>
      </x:c>
      <x:c r="P242" s="4" t="str">
        <x:v>是</x:v>
      </x:c>
      <x:c r="Q242" s="21" t="n">
        <x:v>211.789</x:v>
      </x:c>
      <x:c r="R242" s="16" t="str">
        <x:v>2026Q1</x:v>
      </x:c>
      <x:c r="S242" s="4" t="str">
        <x:v>【示意】跨業務／地理合併營收，不是MY住宅裝修市場；獨立來源1；來源A級</x:v>
      </x:c>
      <x:c r="T242" s="4" t="str">
        <x:v>示意</x:v>
      </x:c>
      <x:c r="U242" s="16" t="n">
        <x:v>1</x:v>
      </x:c>
      <x:c r="V242" s="4" t="str">
        <x:v>低</x:v>
      </x:c>
      <x:c r="W242" s="4" t="str">
        <x:v>季度報告PDF第1頁2026Q1收入RM211,789千；第12/19頁Signature櫥櫃衣櫃外部收入45,712千、內裝88,826千。</x:v>
      </x:c>
      <x:c r="X242" s="4" t="str">
        <x:v>依協議僅一個獨立來源，整合信心低；來源A級不自動等於高信心。</x:v>
      </x:c>
      <x:c r="Y242" s="37" t="d">
        <x:v>2026-10-09T00:00:00.000Z</x:v>
      </x:c>
      <x:c r="Z242" s="4" t="str">
        <x:v>turn209view0</x:v>
      </x:c>
    </x:row>
    <x:row r="243" ht="38" customHeight="1">
      <x:c r="A243" s="4" t="str">
        <x:v>M0242</x:v>
      </x:c>
      <x:c r="B243" s="4" t="str">
        <x:v>MY</x:v>
      </x:c>
      <x:c r="C243" s="4" t="str">
        <x:v>Signature廚櫃衣櫃部門季度外部營收</x:v>
      </x:c>
      <x:c r="D243" s="21" t="n">
        <x:v>45.712</x:v>
      </x:c>
      <x:c r="E243" s="4" t="str">
        <x:v>百萬MYR</x:v>
      </x:c>
      <x:c r="F243" s="16" t="str">
        <x:v>2026Q1</x:v>
      </x:c>
      <x:c r="G243" s="4" t="str">
        <x:v>signature kitchen and wardrobe external revenue</x:v>
      </x:c>
      <x:c r="H243" s="4" t="str">
        <x:v>MY15</x:v>
      </x:c>
      <x:c r="I243" s="4" t="str">
        <x:v>https://newsfile.moomoo.com/public/NN-PersistNoticeAttachment/7781/20260520/MYX/MYX_3667615_238047.pdf</x:v>
      </x:c>
      <x:c r="J243" s="4" t="str">
        <x:v>是</x:v>
      </x:c>
      <x:c r="K243" s="4" t="str">
        <x:v>是</x:v>
      </x:c>
      <x:c r="L243" s="4" t="str">
        <x:v>是</x:v>
      </x:c>
      <x:c r="M243" s="4" t="str">
        <x:v>是</x:v>
      </x:c>
      <x:c r="N243" s="4" t="str">
        <x:v>pass</x:v>
      </x:c>
      <x:c r="O243" s="4" t="str">
        <x:v>A</x:v>
      </x:c>
      <x:c r="P243" s="4" t="str">
        <x:v>是</x:v>
      </x:c>
      <x:c r="Q243" s="21" t="n">
        <x:v>45.712</x:v>
      </x:c>
      <x:c r="R243" s="16" t="str">
        <x:v>2026Q1</x:v>
      </x:c>
      <x:c r="S243" s="4" t="str">
        <x:v>【示意】signature kitchen and wardrobe external revenue；獨立來源1；來源A級</x:v>
      </x:c>
      <x:c r="T243" s="4" t="str">
        <x:v>示意</x:v>
      </x:c>
      <x:c r="U243" s="16" t="n">
        <x:v>1</x:v>
      </x:c>
      <x:c r="V243" s="4" t="str">
        <x:v>低</x:v>
      </x:c>
      <x:c r="W243" s="4" t="str">
        <x:v>季度報告PDF第1頁2026Q1收入RM211,789千；第12/19頁Signature櫥櫃衣櫃外部收入45,712千、內裝88,826千。</x:v>
      </x:c>
      <x:c r="X243" s="4" t="str">
        <x:v>依協議僅一個獨立來源，整合信心低；來源A級不自動等於高信心。</x:v>
      </x:c>
      <x:c r="Y243" s="37" t="d">
        <x:v>2026-10-09T00:00:00.000Z</x:v>
      </x:c>
      <x:c r="Z243" s="4" t="str">
        <x:v>turn209view0</x:v>
      </x:c>
    </x:row>
    <x:row r="244" ht="38" customHeight="1">
      <x:c r="A244" s="4" t="str">
        <x:v>M0243</x:v>
      </x:c>
      <x:c r="B244" s="4" t="str">
        <x:v>MY</x:v>
      </x:c>
      <x:c r="C244" s="4" t="str">
        <x:v>Signature內裝部門季度外部營收</x:v>
      </x:c>
      <x:c r="D244" s="21" t="n">
        <x:v>88.826</x:v>
      </x:c>
      <x:c r="E244" s="4" t="str">
        <x:v>百萬MYR</x:v>
      </x:c>
      <x:c r="F244" s="16" t="str">
        <x:v>2026Q1</x:v>
      </x:c>
      <x:c r="G244" s="4" t="str">
        <x:v>interior fit-out external revenue，不限住宅</x:v>
      </x:c>
      <x:c r="H244" s="4" t="str">
        <x:v>MY15</x:v>
      </x:c>
      <x:c r="I244" s="4" t="str">
        <x:v>https://newsfile.moomoo.com/public/NN-PersistNoticeAttachment/7781/20260520/MYX/MYX_3667615_238047.pdf</x:v>
      </x:c>
      <x:c r="J244" s="4" t="str">
        <x:v>是</x:v>
      </x:c>
      <x:c r="K244" s="4" t="str">
        <x:v>是</x:v>
      </x:c>
      <x:c r="L244" s="4" t="str">
        <x:v>是</x:v>
      </x:c>
      <x:c r="M244" s="4" t="str">
        <x:v>是</x:v>
      </x:c>
      <x:c r="N244" s="4" t="str">
        <x:v>pass</x:v>
      </x:c>
      <x:c r="O244" s="4" t="str">
        <x:v>A</x:v>
      </x:c>
      <x:c r="P244" s="4" t="str">
        <x:v>是</x:v>
      </x:c>
      <x:c r="Q244" s="21" t="n">
        <x:v>88.826</x:v>
      </x:c>
      <x:c r="R244" s="16" t="str">
        <x:v>2026Q1</x:v>
      </x:c>
      <x:c r="S244" s="4" t="str">
        <x:v>【示意】interior fit-out external revenue，不限住宅；獨立來源1；來源A級</x:v>
      </x:c>
      <x:c r="T244" s="4" t="str">
        <x:v>示意</x:v>
      </x:c>
      <x:c r="U244" s="16" t="n">
        <x:v>1</x:v>
      </x:c>
      <x:c r="V244" s="4" t="str">
        <x:v>低</x:v>
      </x:c>
      <x:c r="W244" s="4" t="str">
        <x:v>季度報告PDF第1頁2026Q1收入RM211,789千；第12/19頁Signature櫥櫃衣櫃外部收入45,712千、內裝88,826千。</x:v>
      </x:c>
      <x:c r="X244" s="4" t="str">
        <x:v>依協議僅一個獨立來源，整合信心低；來源A級不自動等於高信心。</x:v>
      </x:c>
      <x:c r="Y244" s="37" t="d">
        <x:v>2026-10-09T00:00:00.000Z</x:v>
      </x:c>
      <x:c r="Z244" s="4" t="str">
        <x:v>turn209view0</x:v>
      </x:c>
    </x:row>
    <x:row r="245" ht="38" customHeight="1">
      <x:c r="A245" s="4" t="str">
        <x:v>M0244</x:v>
      </x:c>
      <x:c r="B245" s="4" t="str">
        <x:v>MY</x:v>
      </x:c>
      <x:c r="C245" s="4" t="str">
        <x:v>Home improvement混合市場模型</x:v>
      </x:c>
      <x:c r="D245" s="17" t="n">
        <x:v>1000</x:v>
      </x:c>
      <x:c r="E245" s="4" t="str">
        <x:v>百萬USD</x:v>
      </x:c>
      <x:c r="F245" s="16" t="n">
        <x:v>2025</x:v>
      </x:c>
      <x:c r="G245" s="4" t="str">
        <x:v>住宅改善商品、硬體、飾面、設備及專業服務；非純翻修；與MY20無法調和</x:v>
      </x:c>
      <x:c r="H245" s="4" t="str">
        <x:v>MY17</x:v>
      </x:c>
      <x:c r="I245" s="4" t="str">
        <x:v>https://www.kenresearch.com/malaysia-home-improvement-market</x:v>
      </x:c>
      <x:c r="J245" s="4" t="str">
        <x:v>是</x:v>
      </x:c>
      <x:c r="K245" s="4" t="str">
        <x:v>是</x:v>
      </x:c>
      <x:c r="L245" s="4" t="str">
        <x:v>是</x:v>
      </x:c>
      <x:c r="M245" s="4" t="str">
        <x:v>是</x:v>
      </x:c>
      <x:c r="N245" s="4" t="str">
        <x:v>pass</x:v>
      </x:c>
      <x:c r="O245" s="4" t="str">
        <x:v>C</x:v>
      </x:c>
      <x:c r="P245" s="4" t="str">
        <x:v>是</x:v>
      </x:c>
      <x:c r="Q245" s="17" t="n">
        <x:v>1000</x:v>
      </x:c>
      <x:c r="R245" s="16" t="n">
        <x:v>2025</x:v>
      </x:c>
      <x:c r="S245" s="4" t="str">
        <x:v>【示意】住宅改善商品、硬體、飾面、設備及專業服務；非純翻修；與MY20無法調和；獨立來源1；來源C級</x:v>
      </x:c>
      <x:c r="T245" s="4" t="str">
        <x:v>示意</x:v>
      </x:c>
      <x:c r="U245" s="16" t="n">
        <x:v>1</x:v>
      </x:c>
      <x:c r="V245" s="4" t="str">
        <x:v>低</x:v>
      </x:c>
      <x:c r="W245" s="4" t="str">
        <x:v>正文及年度模型表：2025 USD1,000m、2032 USD1,606m；摘要卡卻標2030，僅模型且方法不透明。</x:v>
      </x:c>
      <x:c r="X245" s="4" t="str">
        <x:v>依協議僅一個獨立來源，整合信心低；來源A級不自動等於高信心。</x:v>
      </x:c>
      <x:c r="Y245" s="37" t="d">
        <x:v>2026-10-09T00:00:00.000Z</x:v>
      </x:c>
      <x:c r="Z245" s="4" t="str">
        <x:v>turn197view0</x:v>
      </x:c>
    </x:row>
    <x:row r="246" ht="52" customHeight="1">
      <x:c r="A246" s="4" t="str">
        <x:v>M0245</x:v>
      </x:c>
      <x:c r="B246" s="4" t="str">
        <x:v>MY</x:v>
      </x:c>
      <x:c r="C246" s="4" t="str">
        <x:v>Home improvement混合市場預測</x:v>
      </x:c>
      <x:c r="D246" s="17" t="n">
        <x:v>1606</x:v>
      </x:c>
      <x:c r="E246" s="4" t="str">
        <x:v>百萬USD</x:v>
      </x:c>
      <x:c r="F246" s="16" t="n">
        <x:v>2032</x:v>
      </x:c>
      <x:c r="G246" s="4" t="str">
        <x:v>正文2032；頁面另標2030 Projection矛盾，不採作2030數字</x:v>
      </x:c>
      <x:c r="H246" s="4" t="str">
        <x:v>MY17</x:v>
      </x:c>
      <x:c r="I246" s="4" t="str">
        <x:v>https://www.kenresearch.com/malaysia-home-improvement-market</x:v>
      </x:c>
      <x:c r="J246" s="4" t="str">
        <x:v>是</x:v>
      </x:c>
      <x:c r="K246" s="4" t="str">
        <x:v>是</x:v>
      </x:c>
      <x:c r="L246" s="4" t="str">
        <x:v>是</x:v>
      </x:c>
      <x:c r="M246" s="4" t="str">
        <x:v>是</x:v>
      </x:c>
      <x:c r="N246" s="4" t="str">
        <x:v>partial</x:v>
      </x:c>
      <x:c r="O246" s="4" t="str">
        <x:v>C</x:v>
      </x:c>
      <x:c r="P246" s="4" t="str">
        <x:v>是</x:v>
      </x:c>
      <x:c r="Q246" s="17" t="n">
        <x:v>1606</x:v>
      </x:c>
      <x:c r="R246" s="16" t="n">
        <x:v>2032</x:v>
      </x:c>
      <x:c r="S246" s="4" t="str">
        <x:v>【預測／示意】正文2032；頁面另標2030 Projection矛盾，不採作2030數字；獨立來源1；來源C級；查核限制：正文及年度模型表：2025 USD1,000m、2032 USD1,606m；摘要卡卻標2030，僅模型且方法不透明。</x:v>
      </x:c>
      <x:c r="T246" s="4" t="str">
        <x:v>預測／示意</x:v>
      </x:c>
      <x:c r="U246" s="16" t="n">
        <x:v>1</x:v>
      </x:c>
      <x:c r="V246" s="4" t="str">
        <x:v>低</x:v>
      </x:c>
      <x:c r="W246" s="4" t="str">
        <x:v>正文及年度模型表：2025 USD1,000m、2032 USD1,606m；摘要卡卻標2030，僅模型且方法不透明。</x:v>
      </x:c>
      <x:c r="X246" s="4" t="str">
        <x:v>依協議僅一個獨立來源，整合信心低；來源A級不自動等於高信心。 原文件存在正文／圖表或年份標籤矛盾，保留已定位值，不能升級實際。</x:v>
      </x:c>
      <x:c r="Y246" s="37" t="d">
        <x:v>2026-10-09T00:00:00.000Z</x:v>
      </x:c>
      <x:c r="Z246" s="4" t="str">
        <x:v>turn197view0</x:v>
      </x:c>
    </x:row>
    <x:row r="247" ht="38" customHeight="1">
      <x:c r="A247" s="4" t="str">
        <x:v>M0246</x:v>
      </x:c>
      <x:c r="B247" s="4" t="str">
        <x:v>MY</x:v>
      </x:c>
      <x:c r="C247" s="4" t="str">
        <x:v>國內家具最終銷售模型</x:v>
      </x:c>
      <x:c r="D247" s="17" t="n">
        <x:v>2131</x:v>
      </x:c>
      <x:c r="E247" s="4" t="str">
        <x:v>百萬USD</x:v>
      </x:c>
      <x:c r="F247" s="16" t="n">
        <x:v>2025</x:v>
      </x:c>
      <x:c r="G247" s="4" t="str">
        <x:v>含進口、排除出口；模型估計非零售普查</x:v>
      </x:c>
      <x:c r="H247" s="4" t="str">
        <x:v>MY18</x:v>
      </x:c>
      <x:c r="I247" s="4" t="str">
        <x:v>https://www.kenresearch.com/industry-reports/malaysia-furniture-market</x:v>
      </x:c>
      <x:c r="J247" s="4" t="str">
        <x:v>是</x:v>
      </x:c>
      <x:c r="K247" s="4" t="str">
        <x:v>是</x:v>
      </x:c>
      <x:c r="L247" s="4" t="str">
        <x:v>是</x:v>
      </x:c>
      <x:c r="M247" s="4" t="str">
        <x:v>是</x:v>
      </x:c>
      <x:c r="N247" s="4" t="str">
        <x:v>pass</x:v>
      </x:c>
      <x:c r="O247" s="4" t="str">
        <x:v>C</x:v>
      </x:c>
      <x:c r="P247" s="4" t="str">
        <x:v>是</x:v>
      </x:c>
      <x:c r="Q247" s="17" t="n">
        <x:v>2131</x:v>
      </x:c>
      <x:c r="R247" s="16" t="n">
        <x:v>2025</x:v>
      </x:c>
      <x:c r="S247" s="4" t="str">
        <x:v>【示意】含進口、排除出口；模型估計非零售普查；獨立來源1；來源C級</x:v>
      </x:c>
      <x:c r="T247" s="4" t="str">
        <x:v>示意</x:v>
      </x:c>
      <x:c r="U247" s="16" t="n">
        <x:v>1</x:v>
      </x:c>
      <x:c r="V247" s="4" t="str">
        <x:v>低</x:v>
      </x:c>
      <x:c r="W247" s="4" t="str">
        <x:v>頁面年度表2025 USD2,131m、2030 USD2,852m；FAQ明示國內最終銷售模型，含進口、排除出口。</x:v>
      </x:c>
      <x:c r="X247" s="4" t="str">
        <x:v>依協議僅一個獨立來源，整合信心低；來源A級不自動等於高信心。</x:v>
      </x:c>
      <x:c r="Y247" s="37" t="d">
        <x:v>2026-10-09T00:00:00.000Z</x:v>
      </x:c>
      <x:c r="Z247" s="4" t="str">
        <x:v>turn197view2</x:v>
      </x:c>
    </x:row>
    <x:row r="248" ht="38" customHeight="1">
      <x:c r="A248" s="4" t="str">
        <x:v>M0247</x:v>
      </x:c>
      <x:c r="B248" s="4" t="str">
        <x:v>MY</x:v>
      </x:c>
      <x:c r="C248" s="4" t="str">
        <x:v>國內家具最終銷售預測</x:v>
      </x:c>
      <x:c r="D248" s="17" t="n">
        <x:v>2852</x:v>
      </x:c>
      <x:c r="E248" s="4" t="str">
        <x:v>百萬USD</x:v>
      </x:c>
      <x:c r="F248" s="16" t="n">
        <x:v>2030</x:v>
      </x:c>
      <x:c r="G248" s="4" t="str">
        <x:v>報告年度表2030模型；非實際</x:v>
      </x:c>
      <x:c r="H248" s="4" t="str">
        <x:v>MY18</x:v>
      </x:c>
      <x:c r="I248" s="4" t="str">
        <x:v>https://www.kenresearch.com/industry-reports/malaysia-furniture-market</x:v>
      </x:c>
      <x:c r="J248" s="4" t="str">
        <x:v>是</x:v>
      </x:c>
      <x:c r="K248" s="4" t="str">
        <x:v>是</x:v>
      </x:c>
      <x:c r="L248" s="4" t="str">
        <x:v>是</x:v>
      </x:c>
      <x:c r="M248" s="4" t="str">
        <x:v>是</x:v>
      </x:c>
      <x:c r="N248" s="4" t="str">
        <x:v>pass</x:v>
      </x:c>
      <x:c r="O248" s="4" t="str">
        <x:v>C</x:v>
      </x:c>
      <x:c r="P248" s="4" t="str">
        <x:v>是</x:v>
      </x:c>
      <x:c r="Q248" s="17" t="n">
        <x:v>2852</x:v>
      </x:c>
      <x:c r="R248" s="16" t="n">
        <x:v>2030</x:v>
      </x:c>
      <x:c r="S248" s="4" t="str">
        <x:v>【預測／示意】報告年度表2030模型；非實際；獨立來源1；來源C級</x:v>
      </x:c>
      <x:c r="T248" s="4" t="str">
        <x:v>預測／示意</x:v>
      </x:c>
      <x:c r="U248" s="16" t="n">
        <x:v>1</x:v>
      </x:c>
      <x:c r="V248" s="4" t="str">
        <x:v>低</x:v>
      </x:c>
      <x:c r="W248" s="4" t="str">
        <x:v>頁面年度表2025 USD2,131m、2030 USD2,852m；FAQ明示國內最終銷售模型，含進口、排除出口。</x:v>
      </x:c>
      <x:c r="X248" s="4" t="str">
        <x:v>依協議僅一個獨立來源，整合信心低；來源A級不自動等於高信心。</x:v>
      </x:c>
      <x:c r="Y248" s="37" t="d">
        <x:v>2026-10-09T00:00:00.000Z</x:v>
      </x:c>
      <x:c r="Z248" s="4" t="str">
        <x:v>turn197view2</x:v>
      </x:c>
    </x:row>
    <x:row r="249" ht="38" customHeight="1">
      <x:c r="A249" s="4" t="str">
        <x:v>M0248</x:v>
      </x:c>
      <x:c r="B249" s="4" t="str">
        <x:v>MY</x:v>
      </x:c>
      <x:c r="C249" s="4" t="str">
        <x:v>家具與室內設計混合市場模型</x:v>
      </x:c>
      <x:c r="D249" s="17" t="n">
        <x:v>2430</x:v>
      </x:c>
      <x:c r="E249" s="4" t="str">
        <x:v>百萬USD</x:v>
      </x:c>
      <x:c r="F249" s="16" t="n">
        <x:v>2025</x:v>
      </x:c>
      <x:c r="G249" s="4" t="str">
        <x:v>住宅／商用家具、家飾、設計費，聲稱避免FF&amp;E重複；不可當純設計</x:v>
      </x:c>
      <x:c r="H249" s="4" t="str">
        <x:v>MY19</x:v>
      </x:c>
      <x:c r="I249" s="4" t="str">
        <x:v>https://www.kenresearch.com/malaysia-furniture-and-interior-design-market</x:v>
      </x:c>
      <x:c r="J249" s="4" t="str">
        <x:v>是</x:v>
      </x:c>
      <x:c r="K249" s="4" t="str">
        <x:v>是</x:v>
      </x:c>
      <x:c r="L249" s="4" t="str">
        <x:v>是</x:v>
      </x:c>
      <x:c r="M249" s="4" t="str">
        <x:v>是</x:v>
      </x:c>
      <x:c r="N249" s="4" t="str">
        <x:v>pass</x:v>
      </x:c>
      <x:c r="O249" s="4" t="str">
        <x:v>C</x:v>
      </x:c>
      <x:c r="P249" s="4" t="str">
        <x:v>是</x:v>
      </x:c>
      <x:c r="Q249" s="17" t="n">
        <x:v>2430</x:v>
      </x:c>
      <x:c r="R249" s="16" t="n">
        <x:v>2025</x:v>
      </x:c>
      <x:c r="S249" s="4" t="str">
        <x:v>【示意】住宅／商用家具、家飾、設計費，聲稱避免FF&amp;E重複；不可當純設計；獨立來源1；來源C級</x:v>
      </x:c>
      <x:c r="T249" s="4" t="str">
        <x:v>示意</x:v>
      </x:c>
      <x:c r="U249" s="16" t="n">
        <x:v>1</x:v>
      </x:c>
      <x:c r="V249" s="4" t="str">
        <x:v>低</x:v>
      </x:c>
      <x:c r="W249" s="4" t="str">
        <x:v>年度表2025 USD2,430m、2030 USD3,456m；範圍混合家具、家飾及設計費；頁首末年另有矛盾。</x:v>
      </x:c>
      <x:c r="X249" s="4" t="str">
        <x:v>依協議僅一個獨立來源，整合信心低；來源A級不自動等於高信心。</x:v>
      </x:c>
      <x:c r="Y249" s="37" t="d">
        <x:v>2026-10-09T00:00:00.000Z</x:v>
      </x:c>
      <x:c r="Z249" s="4" t="str">
        <x:v>turn197view4</x:v>
      </x:c>
    </x:row>
    <x:row r="250" ht="52" customHeight="1">
      <x:c r="A250" s="4" t="str">
        <x:v>M0249</x:v>
      </x:c>
      <x:c r="B250" s="4" t="str">
        <x:v>MY</x:v>
      </x:c>
      <x:c r="C250" s="4" t="str">
        <x:v>家具與室內設計混合市場預測</x:v>
      </x:c>
      <x:c r="D250" s="17" t="n">
        <x:v>3456</x:v>
      </x:c>
      <x:c r="E250" s="4" t="str">
        <x:v>百萬USD</x:v>
      </x:c>
      <x:c r="F250" s="16" t="n">
        <x:v>2030</x:v>
      </x:c>
      <x:c r="G250" s="4" t="str">
        <x:v>報告年度表2030；首頁另有預測末年誤標，信心低</x:v>
      </x:c>
      <x:c r="H250" s="4" t="str">
        <x:v>MY19</x:v>
      </x:c>
      <x:c r="I250" s="4" t="str">
        <x:v>https://www.kenresearch.com/malaysia-furniture-and-interior-design-market</x:v>
      </x:c>
      <x:c r="J250" s="4" t="str">
        <x:v>是</x:v>
      </x:c>
      <x:c r="K250" s="4" t="str">
        <x:v>是</x:v>
      </x:c>
      <x:c r="L250" s="4" t="str">
        <x:v>是</x:v>
      </x:c>
      <x:c r="M250" s="4" t="str">
        <x:v>是</x:v>
      </x:c>
      <x:c r="N250" s="4" t="str">
        <x:v>partial</x:v>
      </x:c>
      <x:c r="O250" s="4" t="str">
        <x:v>C</x:v>
      </x:c>
      <x:c r="P250" s="4" t="str">
        <x:v>是</x:v>
      </x:c>
      <x:c r="Q250" s="17" t="n">
        <x:v>3456</x:v>
      </x:c>
      <x:c r="R250" s="16" t="n">
        <x:v>2030</x:v>
      </x:c>
      <x:c r="S250" s="4" t="str">
        <x:v>【預測／示意】報告年度表2030；首頁另有預測末年誤標，信心低；獨立來源1；來源C級；查核限制：年度表2025 USD2,430m、2030 USD3,456m；範圍混合家具、家飾及設計費；頁首末年另有矛盾。</x:v>
      </x:c>
      <x:c r="T250" s="4" t="str">
        <x:v>預測／示意</x:v>
      </x:c>
      <x:c r="U250" s="16" t="n">
        <x:v>1</x:v>
      </x:c>
      <x:c r="V250" s="4" t="str">
        <x:v>低</x:v>
      </x:c>
      <x:c r="W250" s="4" t="str">
        <x:v>年度表2025 USD2,430m、2030 USD3,456m；範圍混合家具、家飾及設計費；頁首末年另有矛盾。</x:v>
      </x:c>
      <x:c r="X250" s="4" t="str">
        <x:v>依協議僅一個獨立來源，整合信心低；來源A級不自動等於高信心。 原文件存在正文／圖表或年份標籤矛盾，保留已定位值，不能升級實際。</x:v>
      </x:c>
      <x:c r="Y250" s="37" t="d">
        <x:v>2026-10-09T00:00:00.000Z</x:v>
      </x:c>
      <x:c r="Z250" s="4" t="str">
        <x:v>turn197view4</x:v>
      </x:c>
    </x:row>
    <x:row r="251" ht="38" customHeight="1">
      <x:c r="A251" s="4" t="str">
        <x:v>M0250</x:v>
      </x:c>
      <x:c r="B251" s="4" t="str">
        <x:v>MY</x:v>
      </x:c>
      <x:c r="C251" s="4" t="str">
        <x:v>住宅改善商品市場</x:v>
      </x:c>
      <x:c r="D251" s="18" t="n">
        <x:v>47.73</x:v>
      </x:c>
      <x:c r="E251" s="4" t="str">
        <x:v>十億MYR</x:v>
      </x:c>
      <x:c r="F251" s="16" t="n">
        <x:v>2024</x:v>
      </x:c>
      <x:c r="G251" s="4" t="str">
        <x:v>Protégé估計商品銷售；行業範圍含製造／批零／相關服務，但此規模表明列products sales；非純施工</x:v>
      </x:c>
      <x:c r="H251" s="4" t="str">
        <x:v>MY20</x:v>
      </x:c>
      <x:c r="I251" s="4" t="str">
        <x:v>https://cdn1.i3investor.com/my/files/dfgs88n/2026/01/27/1591876029--792141648.pdf</x:v>
      </x:c>
      <x:c r="J251" s="4" t="str">
        <x:v>否</x:v>
      </x:c>
      <x:c r="K251" s="4" t="str">
        <x:v>未確認</x:v>
      </x:c>
      <x:c r="L251" s="4" t="str">
        <x:v>未確認</x:v>
      </x:c>
      <x:c r="M251" s="4" t="str">
        <x:v>未確認</x:v>
      </x:c>
      <x:c r="N251" s="4" t="str">
        <x:v>fail</x:v>
      </x:c>
      <x:c r="O251" s="4" t="str">
        <x:v>D</x:v>
      </x:c>
      <x:c r="P251" s="4" t="str">
        <x:v>否</x:v>
      </x:c>
      <x:c r="Q251" s="14" t="str"/>
      <x:c r="R251" s="16" t="str"/>
      <x:c r="S251" s="4" t="str"/>
      <x:c r="T251" s="4" t="str">
        <x:v>不採用</x:v>
      </x:c>
      <x:c r="U251" s="16" t="n">
        <x:v>1</x:v>
      </x:c>
      <x:c r="V251" s="4" t="str">
        <x:v>低</x:v>
      </x:c>
      <x:c r="W251" s="4" t="str">
        <x:v>原URL重新開啟及本地下載均回404；搜尋摘要仍可見但不算開頁驗證。已另找到同一招股書MY24，來源不獨立。</x:v>
      </x:c>
      <x:c r="X251" s="4" t="str">
        <x:v>原列保留稽核，不收入可採用指標；改見替代來源MY24／TH25對應列（同源，非三角驗證）。</x:v>
      </x:c>
      <x:c r="Y251" s="37" t="d">
        <x:v>2026-10-09T00:00:00.000Z</x:v>
      </x:c>
      <x:c r="Z251" s="4" t="str">
        <x:v>turn254view0</x:v>
      </x:c>
    </x:row>
    <x:row r="252" ht="38" customHeight="1">
      <x:c r="A252" s="4" t="str">
        <x:v>M0251</x:v>
      </x:c>
      <x:c r="B252" s="4" t="str">
        <x:v>MY</x:v>
      </x:c>
      <x:c r="C252" s="4" t="str">
        <x:v>住宅改善商品市場估計</x:v>
      </x:c>
      <x:c r="D252" s="18" t="n">
        <x:v>49.64</x:v>
      </x:c>
      <x:c r="E252" s="4" t="str">
        <x:v>十億MYR</x:v>
      </x:c>
      <x:c r="F252" s="16" t="n">
        <x:v>2025</x:v>
      </x:c>
      <x:c r="G252" s="4" t="str">
        <x:v>招股書標e估計；非2025官方實績</x:v>
      </x:c>
      <x:c r="H252" s="4" t="str">
        <x:v>MY20</x:v>
      </x:c>
      <x:c r="I252" s="4" t="str">
        <x:v>https://cdn1.i3investor.com/my/files/dfgs88n/2026/01/27/1591876029--792141648.pdf</x:v>
      </x:c>
      <x:c r="J252" s="4" t="str">
        <x:v>否</x:v>
      </x:c>
      <x:c r="K252" s="4" t="str">
        <x:v>未確認</x:v>
      </x:c>
      <x:c r="L252" s="4" t="str">
        <x:v>未確認</x:v>
      </x:c>
      <x:c r="M252" s="4" t="str">
        <x:v>未確認</x:v>
      </x:c>
      <x:c r="N252" s="4" t="str">
        <x:v>fail</x:v>
      </x:c>
      <x:c r="O252" s="4" t="str">
        <x:v>D</x:v>
      </x:c>
      <x:c r="P252" s="4" t="str">
        <x:v>否</x:v>
      </x:c>
      <x:c r="Q252" s="14" t="str"/>
      <x:c r="R252" s="16" t="str"/>
      <x:c r="S252" s="4" t="str"/>
      <x:c r="T252" s="4" t="str">
        <x:v>不採用</x:v>
      </x:c>
      <x:c r="U252" s="16" t="n">
        <x:v>1</x:v>
      </x:c>
      <x:c r="V252" s="4" t="str">
        <x:v>低</x:v>
      </x:c>
      <x:c r="W252" s="4" t="str">
        <x:v>原URL重新開啟及本地下載均回404；搜尋摘要仍可見但不算開頁驗證。已另找到同一招股書MY24，來源不獨立。</x:v>
      </x:c>
      <x:c r="X252" s="4" t="str">
        <x:v>原列保留稽核，不收入可採用指標；改見替代來源MY24／TH25對應列（同源，非三角驗證）。</x:v>
      </x:c>
      <x:c r="Y252" s="37" t="d">
        <x:v>2026-10-09T00:00:00.000Z</x:v>
      </x:c>
      <x:c r="Z252" s="4" t="str">
        <x:v>turn254view0</x:v>
      </x:c>
    </x:row>
    <x:row r="253" ht="38" customHeight="1">
      <x:c r="A253" s="4" t="str">
        <x:v>M0252</x:v>
      </x:c>
      <x:c r="B253" s="4" t="str">
        <x:v>MY</x:v>
      </x:c>
      <x:c r="C253" s="4" t="str">
        <x:v>住宅改善商品市場預測</x:v>
      </x:c>
      <x:c r="D253" s="18" t="n">
        <x:v>59.19</x:v>
      </x:c>
      <x:c r="E253" s="4" t="str">
        <x:v>十億MYR</x:v>
      </x:c>
      <x:c r="F253" s="16" t="n">
        <x:v>2029</x:v>
      </x:c>
      <x:c r="G253" s="4" t="str">
        <x:v>招股書標f預測，不是2030實績</x:v>
      </x:c>
      <x:c r="H253" s="4" t="str">
        <x:v>MY20</x:v>
      </x:c>
      <x:c r="I253" s="4" t="str">
        <x:v>https://cdn1.i3investor.com/my/files/dfgs88n/2026/01/27/1591876029--792141648.pdf</x:v>
      </x:c>
      <x:c r="J253" s="4" t="str">
        <x:v>否</x:v>
      </x:c>
      <x:c r="K253" s="4" t="str">
        <x:v>未確認</x:v>
      </x:c>
      <x:c r="L253" s="4" t="str">
        <x:v>未確認</x:v>
      </x:c>
      <x:c r="M253" s="4" t="str">
        <x:v>未確認</x:v>
      </x:c>
      <x:c r="N253" s="4" t="str">
        <x:v>fail</x:v>
      </x:c>
      <x:c r="O253" s="4" t="str">
        <x:v>D</x:v>
      </x:c>
      <x:c r="P253" s="4" t="str">
        <x:v>否</x:v>
      </x:c>
      <x:c r="Q253" s="14" t="str"/>
      <x:c r="R253" s="16" t="str"/>
      <x:c r="S253" s="4" t="str"/>
      <x:c r="T253" s="4" t="str">
        <x:v>不採用</x:v>
      </x:c>
      <x:c r="U253" s="16" t="n">
        <x:v>1</x:v>
      </x:c>
      <x:c r="V253" s="4" t="str">
        <x:v>低</x:v>
      </x:c>
      <x:c r="W253" s="4" t="str">
        <x:v>原URL重新開啟及本地下載均回404；搜尋摘要仍可見但不算開頁驗證。已另找到同一招股書MY24，來源不獨立。</x:v>
      </x:c>
      <x:c r="X253" s="4" t="str">
        <x:v>原列保留稽核，不收入可採用指標；改見替代來源MY24／TH25對應列（同源，非三角驗證）。</x:v>
      </x:c>
      <x:c r="Y253" s="37" t="d">
        <x:v>2026-10-09T00:00:00.000Z</x:v>
      </x:c>
      <x:c r="Z253" s="4" t="str">
        <x:v>turn254view0</x:v>
      </x:c>
    </x:row>
    <x:row r="254" ht="38" customHeight="1">
      <x:c r="A254" s="4" t="str">
        <x:v>M0253</x:v>
      </x:c>
      <x:c r="B254" s="4" t="str">
        <x:v>MY</x:v>
      </x:c>
      <x:c r="C254" s="4" t="str">
        <x:v>公寓表面更新廠商參考單價</x:v>
      </x:c>
      <x:c r="D254" s="14" t="str">
        <x:v>20–40</x:v>
      </x:c>
      <x:c r="E254" s="4" t="str">
        <x:v>MYR/平方英尺</x:v>
      </x:c>
      <x:c r="F254" s="16" t="n">
        <x:v>2025</x:v>
      </x:c>
      <x:c r="G254" s="4" t="str">
        <x:v>Hin Construction行銷價，僅油漆／小裝置等cosmetic工作；不是正式全國三級價</x:v>
      </x:c>
      <x:c r="H254" s="4" t="str">
        <x:v>MY23</x:v>
      </x:c>
      <x:c r="I254" s="4" t="str">
        <x:v>https://hinconstruction.onesync.my/bm/showproducts/productid/5884188/cid/598579</x:v>
      </x:c>
      <x:c r="J254" s="4" t="str">
        <x:v>是</x:v>
      </x:c>
      <x:c r="K254" s="4" t="str">
        <x:v>是</x:v>
      </x:c>
      <x:c r="L254" s="4" t="str">
        <x:v>是</x:v>
      </x:c>
      <x:c r="M254" s="4" t="str">
        <x:v>是</x:v>
      </x:c>
      <x:c r="N254" s="4" t="str">
        <x:v>fail</x:v>
      </x:c>
      <x:c r="O254" s="4" t="str">
        <x:v>D</x:v>
      </x:c>
      <x:c r="P254" s="4" t="str">
        <x:v>否</x:v>
      </x:c>
      <x:c r="Q254" s="14" t="str"/>
      <x:c r="R254" s="16" t="str"/>
      <x:c r="S254" s="4" t="str"/>
      <x:c r="T254" s="4" t="str">
        <x:v>不採用</x:v>
      </x:c>
      <x:c r="U254" s="16" t="n">
        <x:v>1</x:v>
      </x:c>
      <x:c r="V254" s="4" t="str">
        <x:v>低</x:v>
      </x:c>
      <x:c r="W254" s="4" t="str">
        <x:v>廠商文章第1617–1618行有20–40與50–150 MYR/ft²；換算數學正確。依新協議部落格為D，正文與採用表移除。</x:v>
      </x:c>
      <x:c r="X254" s="4" t="str">
        <x:v>數字可定位，但新整合協議明列部落格D不採用；不能靠單位換算提高證據等級。</x:v>
      </x:c>
      <x:c r="Y254" s="37" t="d">
        <x:v>2026-10-09T00:00:00.000Z</x:v>
      </x:c>
      <x:c r="Z254" s="4" t="str">
        <x:v>turn209view3</x:v>
      </x:c>
    </x:row>
    <x:row r="255" ht="38" customHeight="1">
      <x:c r="A255" s="4" t="str">
        <x:v>M0254</x:v>
      </x:c>
      <x:c r="B255" s="4" t="str">
        <x:v>MY</x:v>
      </x:c>
      <x:c r="C255" s="4" t="str">
        <x:v>公寓表面更新廠商參考單價換算</x:v>
      </x:c>
      <x:c r="D255" s="14" t="str">
        <x:v>215–431</x:v>
      </x:c>
      <x:c r="E255" s="4" t="str">
        <x:v>MYR/m²</x:v>
      </x:c>
      <x:c r="F255" s="16" t="n">
        <x:v>2025</x:v>
      </x:c>
      <x:c r="G255" s="4" t="str">
        <x:v>由20–40 MYR/ft²乘10.7639104，四捨五入；非新增調查</x:v>
      </x:c>
      <x:c r="H255" s="4" t="str">
        <x:v>MY23</x:v>
      </x:c>
      <x:c r="I255" s="4" t="str">
        <x:v>https://hinconstruction.onesync.my/bm/showproducts/productid/5884188/cid/598579</x:v>
      </x:c>
      <x:c r="J255" s="4" t="str">
        <x:v>是</x:v>
      </x:c>
      <x:c r="K255" s="4" t="str">
        <x:v>是</x:v>
      </x:c>
      <x:c r="L255" s="4" t="str">
        <x:v>是</x:v>
      </x:c>
      <x:c r="M255" s="4" t="str">
        <x:v>是</x:v>
      </x:c>
      <x:c r="N255" s="4" t="str">
        <x:v>fail</x:v>
      </x:c>
      <x:c r="O255" s="4" t="str">
        <x:v>D</x:v>
      </x:c>
      <x:c r="P255" s="4" t="str">
        <x:v>否</x:v>
      </x:c>
      <x:c r="Q255" s="14" t="str"/>
      <x:c r="R255" s="16" t="str"/>
      <x:c r="S255" s="4" t="str"/>
      <x:c r="T255" s="4" t="str">
        <x:v>不採用</x:v>
      </x:c>
      <x:c r="U255" s="16" t="n">
        <x:v>1</x:v>
      </x:c>
      <x:c r="V255" s="4" t="str">
        <x:v>低</x:v>
      </x:c>
      <x:c r="W255" s="4" t="str">
        <x:v>廠商文章第1617–1618行有20–40與50–150 MYR/ft²；換算數學正確。依新協議部落格為D，正文與採用表移除。</x:v>
      </x:c>
      <x:c r="X255" s="4" t="str">
        <x:v>數字可定位，但新整合協議明列部落格D不採用；不能靠單位換算提高證據等級。</x:v>
      </x:c>
      <x:c r="Y255" s="37" t="d">
        <x:v>2026-10-09T00:00:00.000Z</x:v>
      </x:c>
      <x:c r="Z255" s="4" t="str">
        <x:v>turn209view3</x:v>
      </x:c>
    </x:row>
    <x:row r="256" ht="38" customHeight="1">
      <x:c r="A256" s="4" t="str">
        <x:v>M0255</x:v>
      </x:c>
      <x:c r="B256" s="4" t="str">
        <x:v>MY</x:v>
      </x:c>
      <x:c r="C256" s="4" t="str">
        <x:v>公寓完整室內翻新廠商參考單價</x:v>
      </x:c>
      <x:c r="D256" s="14" t="str">
        <x:v>50–150</x:v>
      </x:c>
      <x:c r="E256" s="4" t="str">
        <x:v>MYR/平方英尺</x:v>
      </x:c>
      <x:c r="F256" s="16" t="n">
        <x:v>2025</x:v>
      </x:c>
      <x:c r="G256" s="4" t="str">
        <x:v>含新地板／廚櫃／浴室；無完整排除項，非全國均價</x:v>
      </x:c>
      <x:c r="H256" s="4" t="str">
        <x:v>MY23</x:v>
      </x:c>
      <x:c r="I256" s="4" t="str">
        <x:v>https://hinconstruction.onesync.my/bm/showproducts/productid/5884188/cid/598579</x:v>
      </x:c>
      <x:c r="J256" s="4" t="str">
        <x:v>是</x:v>
      </x:c>
      <x:c r="K256" s="4" t="str">
        <x:v>是</x:v>
      </x:c>
      <x:c r="L256" s="4" t="str">
        <x:v>是</x:v>
      </x:c>
      <x:c r="M256" s="4" t="str">
        <x:v>是</x:v>
      </x:c>
      <x:c r="N256" s="4" t="str">
        <x:v>fail</x:v>
      </x:c>
      <x:c r="O256" s="4" t="str">
        <x:v>D</x:v>
      </x:c>
      <x:c r="P256" s="4" t="str">
        <x:v>否</x:v>
      </x:c>
      <x:c r="Q256" s="14" t="str"/>
      <x:c r="R256" s="16" t="str"/>
      <x:c r="S256" s="4" t="str"/>
      <x:c r="T256" s="4" t="str">
        <x:v>不採用</x:v>
      </x:c>
      <x:c r="U256" s="16" t="n">
        <x:v>1</x:v>
      </x:c>
      <x:c r="V256" s="4" t="str">
        <x:v>低</x:v>
      </x:c>
      <x:c r="W256" s="4" t="str">
        <x:v>廠商文章第1617–1618行有20–40與50–150 MYR/ft²；換算數學正確。依新協議部落格為D，正文與採用表移除。</x:v>
      </x:c>
      <x:c r="X256" s="4" t="str">
        <x:v>數字可定位，但新整合協議明列部落格D不採用；不能靠單位換算提高證據等級。</x:v>
      </x:c>
      <x:c r="Y256" s="37" t="d">
        <x:v>2026-10-09T00:00:00.000Z</x:v>
      </x:c>
      <x:c r="Z256" s="4" t="str">
        <x:v>turn209view3</x:v>
      </x:c>
    </x:row>
    <x:row r="257" ht="38" customHeight="1">
      <x:c r="A257" s="4" t="str">
        <x:v>M0256</x:v>
      </x:c>
      <x:c r="B257" s="4" t="str">
        <x:v>MY</x:v>
      </x:c>
      <x:c r="C257" s="4" t="str">
        <x:v>公寓完整室內翻新廠商參考單價換算</x:v>
      </x:c>
      <x:c r="D257" s="14" t="str">
        <x:v>538–1615</x:v>
      </x:c>
      <x:c r="E257" s="4" t="str">
        <x:v>MYR/m²</x:v>
      </x:c>
      <x:c r="F257" s="16" t="n">
        <x:v>2025</x:v>
      </x:c>
      <x:c r="G257" s="4" t="str">
        <x:v>由50–150 MYR/ft²乘10.7639104，四捨五入</x:v>
      </x:c>
      <x:c r="H257" s="4" t="str">
        <x:v>MY23</x:v>
      </x:c>
      <x:c r="I257" s="4" t="str">
        <x:v>https://hinconstruction.onesync.my/bm/showproducts/productid/5884188/cid/598579</x:v>
      </x:c>
      <x:c r="J257" s="4" t="str">
        <x:v>是</x:v>
      </x:c>
      <x:c r="K257" s="4" t="str">
        <x:v>是</x:v>
      </x:c>
      <x:c r="L257" s="4" t="str">
        <x:v>是</x:v>
      </x:c>
      <x:c r="M257" s="4" t="str">
        <x:v>是</x:v>
      </x:c>
      <x:c r="N257" s="4" t="str">
        <x:v>fail</x:v>
      </x:c>
      <x:c r="O257" s="4" t="str">
        <x:v>D</x:v>
      </x:c>
      <x:c r="P257" s="4" t="str">
        <x:v>否</x:v>
      </x:c>
      <x:c r="Q257" s="14" t="str"/>
      <x:c r="R257" s="16" t="str"/>
      <x:c r="S257" s="4" t="str"/>
      <x:c r="T257" s="4" t="str">
        <x:v>不採用</x:v>
      </x:c>
      <x:c r="U257" s="16" t="n">
        <x:v>1</x:v>
      </x:c>
      <x:c r="V257" s="4" t="str">
        <x:v>低</x:v>
      </x:c>
      <x:c r="W257" s="4" t="str">
        <x:v>廠商文章第1617–1618行有20–40與50–150 MYR/ft²；換算數學正確。依新協議部落格為D，正文與採用表移除。</x:v>
      </x:c>
      <x:c r="X257" s="4" t="str">
        <x:v>數字可定位，但新整合協議明列部落格D不採用；不能靠單位換算提高證據等級。</x:v>
      </x:c>
      <x:c r="Y257" s="37" t="d">
        <x:v>2026-10-09T00:00:00.000Z</x:v>
      </x:c>
      <x:c r="Z257" s="4" t="str">
        <x:v>turn209view3</x:v>
      </x:c>
    </x:row>
    <x:row r="258" ht="38" customHeight="1">
      <x:c r="A258" s="4" t="str">
        <x:v>M0257</x:v>
      </x:c>
      <x:c r="B258" s="4" t="str">
        <x:v>MY</x:v>
      </x:c>
      <x:c r="C258" s="4" t="str">
        <x:v>吉隆坡商辦裝修成本</x:v>
      </x:c>
      <x:c r="D258" s="20" t="n">
        <x:v>861.1128333367777</x:v>
      </x:c>
      <x:c r="E258" s="4" t="str">
        <x:v>USD/m²</x:v>
      </x:c>
      <x:c r="F258" s="16" t="n">
        <x:v>2026</x:v>
      </x:c>
      <x:c r="G258" s="4" t="str">
        <x:v>C&amp;W 2026商辦fit-out，價格基準2025年12月；USD/ft²÷0.09290304，非住宅報價，報告自身匯率</x:v>
      </x:c>
      <x:c r="H258" s="4" t="str">
        <x:v>X02</x:v>
      </x:c>
      <x:c r="I258" s="4" t="str">
        <x:v>https://digital.cushmanwakefield.com/fitoutcostguide-03-2026-apac-regional-en-content-pds-office/30-31/</x:v>
      </x:c>
      <x:c r="J258" s="4" t="str">
        <x:v>是</x:v>
      </x:c>
      <x:c r="K258" s="4" t="str">
        <x:v>是</x:v>
      </x:c>
      <x:c r="L258" s="4" t="str">
        <x:v>是</x:v>
      </x:c>
      <x:c r="M258" s="4" t="str">
        <x:v>是</x:v>
      </x:c>
      <x:c r="N258" s="4" t="str">
        <x:v>pass</x:v>
      </x:c>
      <x:c r="O258" s="4" t="str">
        <x:v>B</x:v>
      </x:c>
      <x:c r="P258" s="4" t="str">
        <x:v>是</x:v>
      </x:c>
      <x:c r="Q258" s="20" t="n">
        <x:v>861.1128333367777</x:v>
      </x:c>
      <x:c r="R258" s="16" t="n">
        <x:v>2026</x:v>
      </x:c>
      <x:c r="S258" s="4" t="str">
        <x:v>【示意】C&amp;W 2026商辦fit-out，價格基準2025年12月；USD/ft²÷0.09290304，非住宅報價，報告自身匯率；獨立來源1；來源B級</x:v>
      </x:c>
      <x:c r="T258" s="4" t="str">
        <x:v>示意</x:v>
      </x:c>
      <x:c r="U258" s="16" t="n">
        <x:v>1</x:v>
      </x:c>
      <x:c r="V258" s="4" t="str">
        <x:v>低</x:v>
      </x:c>
      <x:c r="W258" s="4" t="str">
        <x:v>成本頁逐城讀USD/ft²；配合X11方法頁確定價格2025-12，報告2026。 吉隆坡=80USD/ft²，除0.09290304得861.1128333367777USD/m²；原幣325MYR/ft²。</x:v>
      </x:c>
      <x:c r="X258" s="4" t="str">
        <x:v>單一獨立原始機構，依協議第4條低信心示意；A/B來源等級不等於已三角驗證。</x:v>
      </x:c>
      <x:c r="Y258" s="37" t="d">
        <x:v>2026-10-09T00:00:00.000Z</x:v>
      </x:c>
      <x:c r="Z258" s="4" t="str">
        <x:v>turn202view1</x:v>
      </x:c>
    </x:row>
    <x:row r="259" ht="38" customHeight="1">
      <x:c r="A259" s="4" t="str">
        <x:v>M0258</x:v>
      </x:c>
      <x:c r="B259" s="4" t="str">
        <x:v>TH</x:v>
      </x:c>
      <x:c r="C259" s="4" t="str">
        <x:v>人均GDP</x:v>
      </x:c>
      <x:c r="D259" s="21" t="n">
        <x:v>8056.564</x:v>
      </x:c>
      <x:c r="E259" s="4" t="str">
        <x:v>USD/人</x:v>
      </x:c>
      <x:c r="F259" s="16" t="n">
        <x:v>2025</x:v>
      </x:c>
      <x:c r="G259" s="4" t="str">
        <x:v>名目、現價美元；WDI 2025歷史數列，可能修訂，非家庭可支配所得</x:v>
      </x:c>
      <x:c r="H259" s="4" t="str">
        <x:v>MTH</x:v>
      </x:c>
      <x:c r="I259" s="4" t="str">
        <x:v>https://data.worldbank.org/country/thailand</x:v>
      </x:c>
      <x:c r="J259" s="4" t="str">
        <x:v>是</x:v>
      </x:c>
      <x:c r="K259" s="4" t="str">
        <x:v>是</x:v>
      </x:c>
      <x:c r="L259" s="4" t="str">
        <x:v>是</x:v>
      </x:c>
      <x:c r="M259" s="4" t="str">
        <x:v>是</x:v>
      </x:c>
      <x:c r="N259" s="4" t="str">
        <x:v>pass</x:v>
      </x:c>
      <x:c r="O259" s="4" t="str">
        <x:v>A</x:v>
      </x:c>
      <x:c r="P259" s="4" t="str">
        <x:v>是</x:v>
      </x:c>
      <x:c r="Q259" s="21" t="n">
        <x:v>8056.564</x:v>
      </x:c>
      <x:c r="R259" s="16" t="n">
        <x:v>2025</x:v>
      </x:c>
      <x:c r="S259" s="4" t="str">
        <x:v>【示意】名目、現價美元；WDI 2025歷史數列，可能修訂，非家庭可支配所得；獨立來源1；來源A級</x:v>
      </x:c>
      <x:c r="T259" s="4" t="str">
        <x:v>示意</x:v>
      </x:c>
      <x:c r="U259" s="16" t="n">
        <x:v>1</x:v>
      </x:c>
      <x:c r="V259" s="4" t="str">
        <x:v>低</x:v>
      </x:c>
      <x:c r="W259" s="4" t="str">
        <x:v>WDI國家頁Latest value(2025)：人均GDP=8056.564 USD/人；人口=71619863 人；GDP=577010000000.0 USD。GDP和CN/IN人口按頁面取整，不提高精度。</x:v>
      </x:c>
      <x:c r="X259" s="4" t="str">
        <x:v>單一獨立原始機構，依協議第4條低信心示意；A/B來源等級不等於已三角驗證。</x:v>
      </x:c>
      <x:c r="Y259" s="37" t="d">
        <x:v>2026-10-09T00:00:00.000Z</x:v>
      </x:c>
      <x:c r="Z259" s="4" t="str">
        <x:v>turn244view0</x:v>
      </x:c>
    </x:row>
    <x:row r="260" ht="38" customHeight="1">
      <x:c r="A260" s="4" t="str">
        <x:v>M0259</x:v>
      </x:c>
      <x:c r="B260" s="4" t="str">
        <x:v>TH</x:v>
      </x:c>
      <x:c r="C260" s="4" t="str">
        <x:v>人口</x:v>
      </x:c>
      <x:c r="D260" s="17" t="n">
        <x:v>71619863</x:v>
      </x:c>
      <x:c r="E260" s="4" t="str">
        <x:v>人</x:v>
      </x:c>
      <x:c r="F260" s="16" t="n">
        <x:v>2025</x:v>
      </x:c>
      <x:c r="G260" s="4" t="str">
        <x:v>WDI 2025；CN、IN為頁面billion顯示的四捨五入值，其餘依顯示人數</x:v>
      </x:c>
      <x:c r="H260" s="4" t="str">
        <x:v>MTH</x:v>
      </x:c>
      <x:c r="I260" s="4" t="str">
        <x:v>https://data.worldbank.org/country/thailand</x:v>
      </x:c>
      <x:c r="J260" s="4" t="str">
        <x:v>是</x:v>
      </x:c>
      <x:c r="K260" s="4" t="str">
        <x:v>是</x:v>
      </x:c>
      <x:c r="L260" s="4" t="str">
        <x:v>是</x:v>
      </x:c>
      <x:c r="M260" s="4" t="str">
        <x:v>是</x:v>
      </x:c>
      <x:c r="N260" s="4" t="str">
        <x:v>pass</x:v>
      </x:c>
      <x:c r="O260" s="4" t="str">
        <x:v>A</x:v>
      </x:c>
      <x:c r="P260" s="4" t="str">
        <x:v>是</x:v>
      </x:c>
      <x:c r="Q260" s="17" t="n">
        <x:v>71619863</x:v>
      </x:c>
      <x:c r="R260" s="16" t="n">
        <x:v>2025</x:v>
      </x:c>
      <x:c r="S260" s="4" t="str">
        <x:v>【示意】WDI 2025；CN、IN為頁面billion顯示的四捨五入值，其餘依顯示人數；獨立來源1；來源A級</x:v>
      </x:c>
      <x:c r="T260" s="4" t="str">
        <x:v>示意</x:v>
      </x:c>
      <x:c r="U260" s="16" t="n">
        <x:v>1</x:v>
      </x:c>
      <x:c r="V260" s="4" t="str">
        <x:v>低</x:v>
      </x:c>
      <x:c r="W260" s="4" t="str">
        <x:v>WDI國家頁Latest value(2025)：人均GDP=8056.564 USD/人；人口=71619863 人；GDP=577010000000.0 USD。GDP和CN/IN人口按頁面取整，不提高精度。</x:v>
      </x:c>
      <x:c r="X260" s="4" t="str">
        <x:v>單一獨立原始機構，依協議第4條低信心示意；A/B來源等級不等於已三角驗證。</x:v>
      </x:c>
      <x:c r="Y260" s="37" t="d">
        <x:v>2026-10-09T00:00:00.000Z</x:v>
      </x:c>
      <x:c r="Z260" s="4" t="str">
        <x:v>turn244view0</x:v>
      </x:c>
    </x:row>
    <x:row r="261" ht="38" customHeight="1">
      <x:c r="A261" s="4" t="str">
        <x:v>M0260</x:v>
      </x:c>
      <x:c r="B261" s="4" t="str">
        <x:v>TH</x:v>
      </x:c>
      <x:c r="C261" s="4" t="str">
        <x:v>GDP</x:v>
      </x:c>
      <x:c r="D261" s="17" t="n">
        <x:v>577010000000</x:v>
      </x:c>
      <x:c r="E261" s="4" t="str">
        <x:v>USD</x:v>
      </x:c>
      <x:c r="F261" s="16" t="n">
        <x:v>2025</x:v>
      </x:c>
      <x:c r="G261" s="4" t="str">
        <x:v>WDI 2025現價；頁面billion/trillion四捨五入值</x:v>
      </x:c>
      <x:c r="H261" s="4" t="str">
        <x:v>MTH</x:v>
      </x:c>
      <x:c r="I261" s="4" t="str">
        <x:v>https://data.worldbank.org/country/thailand</x:v>
      </x:c>
      <x:c r="J261" s="4" t="str">
        <x:v>是</x:v>
      </x:c>
      <x:c r="K261" s="4" t="str">
        <x:v>是</x:v>
      </x:c>
      <x:c r="L261" s="4" t="str">
        <x:v>是</x:v>
      </x:c>
      <x:c r="M261" s="4" t="str">
        <x:v>是</x:v>
      </x:c>
      <x:c r="N261" s="4" t="str">
        <x:v>pass</x:v>
      </x:c>
      <x:c r="O261" s="4" t="str">
        <x:v>A</x:v>
      </x:c>
      <x:c r="P261" s="4" t="str">
        <x:v>是</x:v>
      </x:c>
      <x:c r="Q261" s="17" t="n">
        <x:v>577010000000</x:v>
      </x:c>
      <x:c r="R261" s="16" t="n">
        <x:v>2025</x:v>
      </x:c>
      <x:c r="S261" s="4" t="str">
        <x:v>【示意】WDI 2025現價；頁面billion/trillion四捨五入值；獨立來源1；來源A級</x:v>
      </x:c>
      <x:c r="T261" s="4" t="str">
        <x:v>示意</x:v>
      </x:c>
      <x:c r="U261" s="16" t="n">
        <x:v>1</x:v>
      </x:c>
      <x:c r="V261" s="4" t="str">
        <x:v>低</x:v>
      </x:c>
      <x:c r="W261" s="4" t="str">
        <x:v>WDI國家頁Latest value(2025)：人均GDP=8056.564 USD/人；人口=71619863 人；GDP=577010000000.0 USD。GDP和CN/IN人口按頁面取整，不提高精度。</x:v>
      </x:c>
      <x:c r="X261" s="4" t="str">
        <x:v>單一獨立原始機構，依協議第4條低信心示意；A/B來源等級不等於已三角驗證。</x:v>
      </x:c>
      <x:c r="Y261" s="37" t="d">
        <x:v>2026-10-09T00:00:00.000Z</x:v>
      </x:c>
      <x:c r="Z261" s="4" t="str">
        <x:v>turn244view0</x:v>
      </x:c>
    </x:row>
    <x:row r="262" ht="38" customHeight="1">
      <x:c r="A262" s="4" t="str">
        <x:v>M0261</x:v>
      </x:c>
      <x:c r="B262" s="4" t="str">
        <x:v>TH</x:v>
      </x:c>
      <x:c r="C262" s="4" t="str">
        <x:v>HomePro合併銷售收入</x:v>
      </x:c>
      <x:c r="D262" s="18" t="n">
        <x:v>65955.18</x:v>
      </x:c>
      <x:c r="E262" s="4" t="str">
        <x:v>百萬THB</x:v>
      </x:c>
      <x:c r="F262" s="16" t="n">
        <x:v>2025</x:v>
      </x:c>
      <x:c r="G262" s="4" t="str">
        <x:v>Sales income；合併商品銷售，不是施工收入</x:v>
      </x:c>
      <x:c r="H262" s="4" t="str">
        <x:v>TH01</x:v>
      </x:c>
      <x:c r="I262" s="4" t="str">
        <x:v>https://hmpro.listedcompany.com/financial_highlights.html</x:v>
      </x:c>
      <x:c r="J262" s="4" t="str">
        <x:v>是</x:v>
      </x:c>
      <x:c r="K262" s="4" t="str">
        <x:v>是</x:v>
      </x:c>
      <x:c r="L262" s="4" t="str">
        <x:v>是</x:v>
      </x:c>
      <x:c r="M262" s="4" t="str">
        <x:v>是</x:v>
      </x:c>
      <x:c r="N262" s="4" t="str">
        <x:v>pass</x:v>
      </x:c>
      <x:c r="O262" s="4" t="str">
        <x:v>A</x:v>
      </x:c>
      <x:c r="P262" s="4" t="str">
        <x:v>是</x:v>
      </x:c>
      <x:c r="Q262" s="18" t="n">
        <x:v>65955.18</x:v>
      </x:c>
      <x:c r="R262" s="16" t="n">
        <x:v>2025</x:v>
      </x:c>
      <x:c r="S262" s="4" t="str">
        <x:v>【示意】Sales income；合併商品銷售，不是施工收入；獨立來源1；來源A級</x:v>
      </x:c>
      <x:c r="T262" s="4" t="str">
        <x:v>示意</x:v>
      </x:c>
      <x:c r="U262" s="16" t="n">
        <x:v>1</x:v>
      </x:c>
      <x:c r="V262" s="4" t="str">
        <x:v>低</x:v>
      </x:c>
      <x:c r="W262" s="4" t="str">
        <x:v>合併財務摘要2025欄：銷售65,955.18、總收入70,569.77、淨利6,011.39（百萬THB）；毛利26.71%、淨利8.52%。</x:v>
      </x:c>
      <x:c r="X262" s="4" t="str">
        <x:v>依協議僅一個獨立來源，整合信心低；來源A級不自動等於高信心。</x:v>
      </x:c>
      <x:c r="Y262" s="37" t="d">
        <x:v>2026-10-09T00:00:00.000Z</x:v>
      </x:c>
      <x:c r="Z262" s="4" t="str">
        <x:v>turn227view1</x:v>
      </x:c>
    </x:row>
    <x:row r="263" ht="38" customHeight="1">
      <x:c r="A263" s="4" t="str">
        <x:v>M0262</x:v>
      </x:c>
      <x:c r="B263" s="4" t="str">
        <x:v>TH</x:v>
      </x:c>
      <x:c r="C263" s="4" t="str">
        <x:v>HomePro合併總收入</x:v>
      </x:c>
      <x:c r="D263" s="18" t="n">
        <x:v>70569.77</x:v>
      </x:c>
      <x:c r="E263" s="4" t="str">
        <x:v>百萬THB</x:v>
      </x:c>
      <x:c r="F263" s="16" t="n">
        <x:v>2025</x:v>
      </x:c>
      <x:c r="G263" s="4" t="str">
        <x:v>Total revenues；含零售等跨業務，不等於泰國翻修市場</x:v>
      </x:c>
      <x:c r="H263" s="4" t="str">
        <x:v>TH01</x:v>
      </x:c>
      <x:c r="I263" s="4" t="str">
        <x:v>https://hmpro.listedcompany.com/financial_highlights.html</x:v>
      </x:c>
      <x:c r="J263" s="4" t="str">
        <x:v>是</x:v>
      </x:c>
      <x:c r="K263" s="4" t="str">
        <x:v>是</x:v>
      </x:c>
      <x:c r="L263" s="4" t="str">
        <x:v>是</x:v>
      </x:c>
      <x:c r="M263" s="4" t="str">
        <x:v>是</x:v>
      </x:c>
      <x:c r="N263" s="4" t="str">
        <x:v>pass</x:v>
      </x:c>
      <x:c r="O263" s="4" t="str">
        <x:v>A</x:v>
      </x:c>
      <x:c r="P263" s="4" t="str">
        <x:v>是</x:v>
      </x:c>
      <x:c r="Q263" s="18" t="n">
        <x:v>70569.77</x:v>
      </x:c>
      <x:c r="R263" s="16" t="n">
        <x:v>2025</x:v>
      </x:c>
      <x:c r="S263" s="4" t="str">
        <x:v>【示意】Total revenues；含零售等跨業務，不等於泰國翻修市場；獨立來源1；來源A級</x:v>
      </x:c>
      <x:c r="T263" s="4" t="str">
        <x:v>示意</x:v>
      </x:c>
      <x:c r="U263" s="16" t="n">
        <x:v>1</x:v>
      </x:c>
      <x:c r="V263" s="4" t="str">
        <x:v>低</x:v>
      </x:c>
      <x:c r="W263" s="4" t="str">
        <x:v>合併財務摘要2025欄：銷售65,955.18、總收入70,569.77、淨利6,011.39（百萬THB）；毛利26.71%、淨利8.52%。</x:v>
      </x:c>
      <x:c r="X263" s="4" t="str">
        <x:v>依協議僅一個獨立來源，整合信心低；來源A級不自動等於高信心。</x:v>
      </x:c>
      <x:c r="Y263" s="37" t="d">
        <x:v>2026-10-09T00:00:00.000Z</x:v>
      </x:c>
      <x:c r="Z263" s="4" t="str">
        <x:v>turn227view1</x:v>
      </x:c>
    </x:row>
    <x:row r="264" ht="38" customHeight="1">
      <x:c r="A264" s="4" t="str">
        <x:v>M0263</x:v>
      </x:c>
      <x:c r="B264" s="4" t="str">
        <x:v>TH</x:v>
      </x:c>
      <x:c r="C264" s="4" t="str">
        <x:v>HomePro合併淨利</x:v>
      </x:c>
      <x:c r="D264" s="18" t="n">
        <x:v>6011.39</x:v>
      </x:c>
      <x:c r="E264" s="4" t="str">
        <x:v>百萬THB</x:v>
      </x:c>
      <x:c r="F264" s="16" t="n">
        <x:v>2025</x:v>
      </x:c>
      <x:c r="G264" s="4" t="str">
        <x:v>公司整體，不是施工案淨利</x:v>
      </x:c>
      <x:c r="H264" s="4" t="str">
        <x:v>TH01</x:v>
      </x:c>
      <x:c r="I264" s="4" t="str">
        <x:v>https://hmpro.listedcompany.com/financial_highlights.html</x:v>
      </x:c>
      <x:c r="J264" s="4" t="str">
        <x:v>是</x:v>
      </x:c>
      <x:c r="K264" s="4" t="str">
        <x:v>是</x:v>
      </x:c>
      <x:c r="L264" s="4" t="str">
        <x:v>是</x:v>
      </x:c>
      <x:c r="M264" s="4" t="str">
        <x:v>是</x:v>
      </x:c>
      <x:c r="N264" s="4" t="str">
        <x:v>pass</x:v>
      </x:c>
      <x:c r="O264" s="4" t="str">
        <x:v>A</x:v>
      </x:c>
      <x:c r="P264" s="4" t="str">
        <x:v>是</x:v>
      </x:c>
      <x:c r="Q264" s="18" t="n">
        <x:v>6011.39</x:v>
      </x:c>
      <x:c r="R264" s="16" t="n">
        <x:v>2025</x:v>
      </x:c>
      <x:c r="S264" s="4" t="str">
        <x:v>【示意】公司整體，不是施工案淨利；獨立來源1；來源A級</x:v>
      </x:c>
      <x:c r="T264" s="4" t="str">
        <x:v>示意</x:v>
      </x:c>
      <x:c r="U264" s="16" t="n">
        <x:v>1</x:v>
      </x:c>
      <x:c r="V264" s="4" t="str">
        <x:v>低</x:v>
      </x:c>
      <x:c r="W264" s="4" t="str">
        <x:v>合併財務摘要2025欄：銷售65,955.18、總收入70,569.77、淨利6,011.39（百萬THB）；毛利26.71%、淨利8.52%。</x:v>
      </x:c>
      <x:c r="X264" s="4" t="str">
        <x:v>依協議僅一個獨立來源，整合信心低；來源A級不自動等於高信心。</x:v>
      </x:c>
      <x:c r="Y264" s="37" t="d">
        <x:v>2026-10-09T00:00:00.000Z</x:v>
      </x:c>
      <x:c r="Z264" s="4" t="str">
        <x:v>turn227view1</x:v>
      </x:c>
    </x:row>
    <x:row r="265" ht="38" customHeight="1">
      <x:c r="A265" s="4" t="str">
        <x:v>M0264</x:v>
      </x:c>
      <x:c r="B265" s="4" t="str">
        <x:v>TH</x:v>
      </x:c>
      <x:c r="C265" s="4" t="str">
        <x:v>HomePro合併毛利率</x:v>
      </x:c>
      <x:c r="D265" s="18" t="n">
        <x:v>26.71</x:v>
      </x:c>
      <x:c r="E265" s="4" t="str">
        <x:v>%</x:v>
      </x:c>
      <x:c r="F265" s="16" t="n">
        <x:v>2025</x:v>
      </x:c>
      <x:c r="G265" s="4" t="str">
        <x:v>公司整體毛利率，不是裝修工程毛利率</x:v>
      </x:c>
      <x:c r="H265" s="4" t="str">
        <x:v>TH01</x:v>
      </x:c>
      <x:c r="I265" s="4" t="str">
        <x:v>https://hmpro.listedcompany.com/financial_highlights.html</x:v>
      </x:c>
      <x:c r="J265" s="4" t="str">
        <x:v>是</x:v>
      </x:c>
      <x:c r="K265" s="4" t="str">
        <x:v>是</x:v>
      </x:c>
      <x:c r="L265" s="4" t="str">
        <x:v>是</x:v>
      </x:c>
      <x:c r="M265" s="4" t="str">
        <x:v>是</x:v>
      </x:c>
      <x:c r="N265" s="4" t="str">
        <x:v>pass</x:v>
      </x:c>
      <x:c r="O265" s="4" t="str">
        <x:v>A</x:v>
      </x:c>
      <x:c r="P265" s="4" t="str">
        <x:v>是</x:v>
      </x:c>
      <x:c r="Q265" s="18" t="n">
        <x:v>26.71</x:v>
      </x:c>
      <x:c r="R265" s="16" t="n">
        <x:v>2025</x:v>
      </x:c>
      <x:c r="S265" s="4" t="str">
        <x:v>【示意】公司整體毛利率，不是裝修工程毛利率；獨立來源1；來源A級</x:v>
      </x:c>
      <x:c r="T265" s="4" t="str">
        <x:v>示意</x:v>
      </x:c>
      <x:c r="U265" s="16" t="n">
        <x:v>1</x:v>
      </x:c>
      <x:c r="V265" s="4" t="str">
        <x:v>低</x:v>
      </x:c>
      <x:c r="W265" s="4" t="str">
        <x:v>合併財務摘要2025欄：銷售65,955.18、總收入70,569.77、淨利6,011.39（百萬THB）；毛利26.71%、淨利8.52%。</x:v>
      </x:c>
      <x:c r="X265" s="4" t="str">
        <x:v>依協議僅一個獨立來源，整合信心低；來源A級不自動等於高信心。</x:v>
      </x:c>
      <x:c r="Y265" s="37" t="d">
        <x:v>2026-10-09T00:00:00.000Z</x:v>
      </x:c>
      <x:c r="Z265" s="4" t="str">
        <x:v>turn227view1</x:v>
      </x:c>
    </x:row>
    <x:row r="266" ht="38" customHeight="1">
      <x:c r="A266" s="4" t="str">
        <x:v>M0265</x:v>
      </x:c>
      <x:c r="B266" s="4" t="str">
        <x:v>TH</x:v>
      </x:c>
      <x:c r="C266" s="4" t="str">
        <x:v>HomePro合併淨利率</x:v>
      </x:c>
      <x:c r="D266" s="18" t="n">
        <x:v>8.52</x:v>
      </x:c>
      <x:c r="E266" s="4" t="str">
        <x:v>%</x:v>
      </x:c>
      <x:c r="F266" s="16" t="n">
        <x:v>2025</x:v>
      </x:c>
      <x:c r="G266" s="4" t="str">
        <x:v>公司公布比率；不能直接套在設計施工案</x:v>
      </x:c>
      <x:c r="H266" s="4" t="str">
        <x:v>TH01</x:v>
      </x:c>
      <x:c r="I266" s="4" t="str">
        <x:v>https://hmpro.listedcompany.com/financial_highlights.html</x:v>
      </x:c>
      <x:c r="J266" s="4" t="str">
        <x:v>是</x:v>
      </x:c>
      <x:c r="K266" s="4" t="str">
        <x:v>是</x:v>
      </x:c>
      <x:c r="L266" s="4" t="str">
        <x:v>是</x:v>
      </x:c>
      <x:c r="M266" s="4" t="str">
        <x:v>是</x:v>
      </x:c>
      <x:c r="N266" s="4" t="str">
        <x:v>pass</x:v>
      </x:c>
      <x:c r="O266" s="4" t="str">
        <x:v>A</x:v>
      </x:c>
      <x:c r="P266" s="4" t="str">
        <x:v>是</x:v>
      </x:c>
      <x:c r="Q266" s="18" t="n">
        <x:v>8.52</x:v>
      </x:c>
      <x:c r="R266" s="16" t="n">
        <x:v>2025</x:v>
      </x:c>
      <x:c r="S266" s="4" t="str">
        <x:v>【示意】公司公布比率；不能直接套在設計施工案；獨立來源1；來源A級</x:v>
      </x:c>
      <x:c r="T266" s="4" t="str">
        <x:v>示意</x:v>
      </x:c>
      <x:c r="U266" s="16" t="n">
        <x:v>1</x:v>
      </x:c>
      <x:c r="V266" s="4" t="str">
        <x:v>低</x:v>
      </x:c>
      <x:c r="W266" s="4" t="str">
        <x:v>合併財務摘要2025欄：銷售65,955.18、總收入70,569.77、淨利6,011.39（百萬THB）；毛利26.71%、淨利8.52%。</x:v>
      </x:c>
      <x:c r="X266" s="4" t="str">
        <x:v>依協議僅一個獨立來源，整合信心低；來源A級不自動等於高信心。</x:v>
      </x:c>
      <x:c r="Y266" s="37" t="d">
        <x:v>2026-10-09T00:00:00.000Z</x:v>
      </x:c>
      <x:c r="Z266" s="4" t="str">
        <x:v>turn227view1</x:v>
      </x:c>
    </x:row>
    <x:row r="267" ht="38" customHeight="1">
      <x:c r="A267" s="4" t="str">
        <x:v>M0266</x:v>
      </x:c>
      <x:c r="B267" s="4" t="str">
        <x:v>TH</x:v>
      </x:c>
      <x:c r="C267" s="4" t="str">
        <x:v>Index Living Mall銷售收入</x:v>
      </x:c>
      <x:c r="D267" s="19" t="n">
        <x:v>9053.7</x:v>
      </x:c>
      <x:c r="E267" s="4" t="str">
        <x:v>百萬THB</x:v>
      </x:c>
      <x:c r="F267" s="16" t="n">
        <x:v>2025</x:v>
      </x:c>
      <x:c r="G267" s="4" t="str">
        <x:v>產品銷售；佛曆2568</x:v>
      </x:c>
      <x:c r="H267" s="4" t="str">
        <x:v>TH02</x:v>
      </x:c>
      <x:c r="I267" s="4" t="str">
        <x:v>https://investor.indexlivingmall.com/th/financial-info/financial-highlights</x:v>
      </x:c>
      <x:c r="J267" s="4" t="str">
        <x:v>是</x:v>
      </x:c>
      <x:c r="K267" s="4" t="str">
        <x:v>是</x:v>
      </x:c>
      <x:c r="L267" s="4" t="str">
        <x:v>是</x:v>
      </x:c>
      <x:c r="M267" s="4" t="str">
        <x:v>是</x:v>
      </x:c>
      <x:c r="N267" s="4" t="str">
        <x:v>pass</x:v>
      </x:c>
      <x:c r="O267" s="4" t="str">
        <x:v>A</x:v>
      </x:c>
      <x:c r="P267" s="4" t="str">
        <x:v>是</x:v>
      </x:c>
      <x:c r="Q267" s="19" t="n">
        <x:v>9053.7</x:v>
      </x:c>
      <x:c r="R267" s="16" t="n">
        <x:v>2025</x:v>
      </x:c>
      <x:c r="S267" s="4" t="str">
        <x:v>【示意】產品銷售；佛曆2568；獨立來源1；來源A級</x:v>
      </x:c>
      <x:c r="T267" s="4" t="str">
        <x:v>示意</x:v>
      </x:c>
      <x:c r="U267" s="16" t="n">
        <x:v>1</x:v>
      </x:c>
      <x:c r="V267" s="4" t="str">
        <x:v>低</x:v>
      </x:c>
      <x:c r="W267" s="4" t="str">
        <x:v>泰文財務摘要2568=2025：銷售9,053.7、租賃服務803.5、營運9,857.2、總收入10,001.2、母公司淨利753.2百萬THB；毛利47.4%、淨利7.5%。</x:v>
      </x:c>
      <x:c r="X267" s="4" t="str">
        <x:v>依協議僅一個獨立來源，整合信心低；來源A級不自動等於高信心。</x:v>
      </x:c>
      <x:c r="Y267" s="37" t="d">
        <x:v>2026-10-09T00:00:00.000Z</x:v>
      </x:c>
      <x:c r="Z267" s="4" t="str">
        <x:v>turn233view6</x:v>
      </x:c>
    </x:row>
    <x:row r="268" ht="38" customHeight="1">
      <x:c r="A268" s="4" t="str">
        <x:v>M0267</x:v>
      </x:c>
      <x:c r="B268" s="4" t="str">
        <x:v>TH</x:v>
      </x:c>
      <x:c r="C268" s="4" t="str">
        <x:v>Index Living Mall租賃及服務收入</x:v>
      </x:c>
      <x:c r="D268" s="19" t="n">
        <x:v>803.5</x:v>
      </x:c>
      <x:c r="E268" s="4" t="str">
        <x:v>百萬THB</x:v>
      </x:c>
      <x:c r="F268" s="16" t="n">
        <x:v>2025</x:v>
      </x:c>
      <x:c r="G268" s="4" t="str">
        <x:v>租賃及服務；非純設計服務</x:v>
      </x:c>
      <x:c r="H268" s="4" t="str">
        <x:v>TH02</x:v>
      </x:c>
      <x:c r="I268" s="4" t="str">
        <x:v>https://investor.indexlivingmall.com/th/financial-info/financial-highlights</x:v>
      </x:c>
      <x:c r="J268" s="4" t="str">
        <x:v>是</x:v>
      </x:c>
      <x:c r="K268" s="4" t="str">
        <x:v>是</x:v>
      </x:c>
      <x:c r="L268" s="4" t="str">
        <x:v>是</x:v>
      </x:c>
      <x:c r="M268" s="4" t="str">
        <x:v>是</x:v>
      </x:c>
      <x:c r="N268" s="4" t="str">
        <x:v>pass</x:v>
      </x:c>
      <x:c r="O268" s="4" t="str">
        <x:v>A</x:v>
      </x:c>
      <x:c r="P268" s="4" t="str">
        <x:v>是</x:v>
      </x:c>
      <x:c r="Q268" s="19" t="n">
        <x:v>803.5</x:v>
      </x:c>
      <x:c r="R268" s="16" t="n">
        <x:v>2025</x:v>
      </x:c>
      <x:c r="S268" s="4" t="str">
        <x:v>【示意】租賃及服務；非純設計服務；獨立來源1；來源A級</x:v>
      </x:c>
      <x:c r="T268" s="4" t="str">
        <x:v>示意</x:v>
      </x:c>
      <x:c r="U268" s="16" t="n">
        <x:v>1</x:v>
      </x:c>
      <x:c r="V268" s="4" t="str">
        <x:v>低</x:v>
      </x:c>
      <x:c r="W268" s="4" t="str">
        <x:v>泰文財務摘要2568=2025：銷售9,053.7、租賃服務803.5、營運9,857.2、總收入10,001.2、母公司淨利753.2百萬THB；毛利47.4%、淨利7.5%。</x:v>
      </x:c>
      <x:c r="X268" s="4" t="str">
        <x:v>依協議僅一個獨立來源，整合信心低；來源A級不自動等於高信心。</x:v>
      </x:c>
      <x:c r="Y268" s="37" t="d">
        <x:v>2026-10-09T00:00:00.000Z</x:v>
      </x:c>
      <x:c r="Z268" s="4" t="str">
        <x:v>turn233view6</x:v>
      </x:c>
    </x:row>
    <x:row r="269" ht="38" customHeight="1">
      <x:c r="A269" s="4" t="str">
        <x:v>M0268</x:v>
      </x:c>
      <x:c r="B269" s="4" t="str">
        <x:v>TH</x:v>
      </x:c>
      <x:c r="C269" s="4" t="str">
        <x:v>Index Living Mall營運收入</x:v>
      </x:c>
      <x:c r="D269" s="19" t="n">
        <x:v>9857.2</x:v>
      </x:c>
      <x:c r="E269" s="4" t="str">
        <x:v>百萬THB</x:v>
      </x:c>
      <x:c r="F269" s="16" t="n">
        <x:v>2025</x:v>
      </x:c>
      <x:c r="G269" s="4" t="str">
        <x:v>銷售+租賃服務，未含其他收入144.0</x:v>
      </x:c>
      <x:c r="H269" s="4" t="str">
        <x:v>TH02</x:v>
      </x:c>
      <x:c r="I269" s="4" t="str">
        <x:v>https://investor.indexlivingmall.com/th/financial-info/financial-highlights</x:v>
      </x:c>
      <x:c r="J269" s="4" t="str">
        <x:v>是</x:v>
      </x:c>
      <x:c r="K269" s="4" t="str">
        <x:v>是</x:v>
      </x:c>
      <x:c r="L269" s="4" t="str">
        <x:v>是</x:v>
      </x:c>
      <x:c r="M269" s="4" t="str">
        <x:v>是</x:v>
      </x:c>
      <x:c r="N269" s="4" t="str">
        <x:v>pass</x:v>
      </x:c>
      <x:c r="O269" s="4" t="str">
        <x:v>A</x:v>
      </x:c>
      <x:c r="P269" s="4" t="str">
        <x:v>是</x:v>
      </x:c>
      <x:c r="Q269" s="19" t="n">
        <x:v>9857.2</x:v>
      </x:c>
      <x:c r="R269" s="16" t="n">
        <x:v>2025</x:v>
      </x:c>
      <x:c r="S269" s="4" t="str">
        <x:v>【示意】銷售+租賃服務，未含其他收入144.0；獨立來源1；來源A級</x:v>
      </x:c>
      <x:c r="T269" s="4" t="str">
        <x:v>示意</x:v>
      </x:c>
      <x:c r="U269" s="16" t="n">
        <x:v>1</x:v>
      </x:c>
      <x:c r="V269" s="4" t="str">
        <x:v>低</x:v>
      </x:c>
      <x:c r="W269" s="4" t="str">
        <x:v>泰文財務摘要2568=2025：銷售9,053.7、租賃服務803.5、營運9,857.2、總收入10,001.2、母公司淨利753.2百萬THB；毛利47.4%、淨利7.5%。</x:v>
      </x:c>
      <x:c r="X269" s="4" t="str">
        <x:v>依協議僅一個獨立來源，整合信心低；來源A級不自動等於高信心。</x:v>
      </x:c>
      <x:c r="Y269" s="37" t="d">
        <x:v>2026-10-09T00:00:00.000Z</x:v>
      </x:c>
      <x:c r="Z269" s="4" t="str">
        <x:v>turn233view6</x:v>
      </x:c>
    </x:row>
    <x:row r="270" ht="38" customHeight="1">
      <x:c r="A270" s="4" t="str">
        <x:v>M0269</x:v>
      </x:c>
      <x:c r="B270" s="4" t="str">
        <x:v>TH</x:v>
      </x:c>
      <x:c r="C270" s="4" t="str">
        <x:v>Index Living Mall總收入</x:v>
      </x:c>
      <x:c r="D270" s="19" t="n">
        <x:v>10001.2</x:v>
      </x:c>
      <x:c r="E270" s="4" t="str">
        <x:v>百萬THB</x:v>
      </x:c>
      <x:c r="F270" s="16" t="n">
        <x:v>2025</x:v>
      </x:c>
      <x:c r="G270" s="4" t="str">
        <x:v>含其他收入；不同於營運收入9857.2</x:v>
      </x:c>
      <x:c r="H270" s="4" t="str">
        <x:v>TH02</x:v>
      </x:c>
      <x:c r="I270" s="4" t="str">
        <x:v>https://investor.indexlivingmall.com/th/financial-info/financial-highlights</x:v>
      </x:c>
      <x:c r="J270" s="4" t="str">
        <x:v>是</x:v>
      </x:c>
      <x:c r="K270" s="4" t="str">
        <x:v>是</x:v>
      </x:c>
      <x:c r="L270" s="4" t="str">
        <x:v>是</x:v>
      </x:c>
      <x:c r="M270" s="4" t="str">
        <x:v>是</x:v>
      </x:c>
      <x:c r="N270" s="4" t="str">
        <x:v>pass</x:v>
      </x:c>
      <x:c r="O270" s="4" t="str">
        <x:v>A</x:v>
      </x:c>
      <x:c r="P270" s="4" t="str">
        <x:v>是</x:v>
      </x:c>
      <x:c r="Q270" s="19" t="n">
        <x:v>10001.2</x:v>
      </x:c>
      <x:c r="R270" s="16" t="n">
        <x:v>2025</x:v>
      </x:c>
      <x:c r="S270" s="4" t="str">
        <x:v>【示意】含其他收入；不同於營運收入9857.2；獨立來源1；來源A級</x:v>
      </x:c>
      <x:c r="T270" s="4" t="str">
        <x:v>示意</x:v>
      </x:c>
      <x:c r="U270" s="16" t="n">
        <x:v>1</x:v>
      </x:c>
      <x:c r="V270" s="4" t="str">
        <x:v>低</x:v>
      </x:c>
      <x:c r="W270" s="4" t="str">
        <x:v>泰文財務摘要2568=2025：銷售9,053.7、租賃服務803.5、營運9,857.2、總收入10,001.2、母公司淨利753.2百萬THB；毛利47.4%、淨利7.5%。</x:v>
      </x:c>
      <x:c r="X270" s="4" t="str">
        <x:v>依協議僅一個獨立來源，整合信心低；來源A級不自動等於高信心。</x:v>
      </x:c>
      <x:c r="Y270" s="37" t="d">
        <x:v>2026-10-09T00:00:00.000Z</x:v>
      </x:c>
      <x:c r="Z270" s="4" t="str">
        <x:v>turn233view6</x:v>
      </x:c>
    </x:row>
    <x:row r="271" ht="38" customHeight="1">
      <x:c r="A271" s="4" t="str">
        <x:v>M0270</x:v>
      </x:c>
      <x:c r="B271" s="4" t="str">
        <x:v>TH</x:v>
      </x:c>
      <x:c r="C271" s="4" t="str">
        <x:v>Index Living Mall母公司股東淨利</x:v>
      </x:c>
      <x:c r="D271" s="19" t="n">
        <x:v>753.2</x:v>
      </x:c>
      <x:c r="E271" s="4" t="str">
        <x:v>百萬THB</x:v>
      </x:c>
      <x:c r="F271" s="16" t="n">
        <x:v>2025</x:v>
      </x:c>
      <x:c r="G271" s="4" t="str">
        <x:v>profit attributable to parent</x:v>
      </x:c>
      <x:c r="H271" s="4" t="str">
        <x:v>TH02</x:v>
      </x:c>
      <x:c r="I271" s="4" t="str">
        <x:v>https://investor.indexlivingmall.com/th/financial-info/financial-highlights</x:v>
      </x:c>
      <x:c r="J271" s="4" t="str">
        <x:v>是</x:v>
      </x:c>
      <x:c r="K271" s="4" t="str">
        <x:v>是</x:v>
      </x:c>
      <x:c r="L271" s="4" t="str">
        <x:v>是</x:v>
      </x:c>
      <x:c r="M271" s="4" t="str">
        <x:v>是</x:v>
      </x:c>
      <x:c r="N271" s="4" t="str">
        <x:v>pass</x:v>
      </x:c>
      <x:c r="O271" s="4" t="str">
        <x:v>A</x:v>
      </x:c>
      <x:c r="P271" s="4" t="str">
        <x:v>是</x:v>
      </x:c>
      <x:c r="Q271" s="19" t="n">
        <x:v>753.2</x:v>
      </x:c>
      <x:c r="R271" s="16" t="n">
        <x:v>2025</x:v>
      </x:c>
      <x:c r="S271" s="4" t="str">
        <x:v>【示意】profit attributable to parent；獨立來源1；來源A級</x:v>
      </x:c>
      <x:c r="T271" s="4" t="str">
        <x:v>示意</x:v>
      </x:c>
      <x:c r="U271" s="16" t="n">
        <x:v>1</x:v>
      </x:c>
      <x:c r="V271" s="4" t="str">
        <x:v>低</x:v>
      </x:c>
      <x:c r="W271" s="4" t="str">
        <x:v>泰文財務摘要2568=2025：銷售9,053.7、租賃服務803.5、營運9,857.2、總收入10,001.2、母公司淨利753.2百萬THB；毛利47.4%、淨利7.5%。</x:v>
      </x:c>
      <x:c r="X271" s="4" t="str">
        <x:v>依協議僅一個獨立來源，整合信心低；來源A級不自動等於高信心。</x:v>
      </x:c>
      <x:c r="Y271" s="37" t="d">
        <x:v>2026-10-09T00:00:00.000Z</x:v>
      </x:c>
      <x:c r="Z271" s="4" t="str">
        <x:v>turn233view6</x:v>
      </x:c>
    </x:row>
    <x:row r="272" ht="38" customHeight="1">
      <x:c r="A272" s="4" t="str">
        <x:v>M0271</x:v>
      </x:c>
      <x:c r="B272" s="4" t="str">
        <x:v>TH</x:v>
      </x:c>
      <x:c r="C272" s="4" t="str">
        <x:v>Index Living Mall毛利率</x:v>
      </x:c>
      <x:c r="D272" s="19" t="n">
        <x:v>47.4</x:v>
      </x:c>
      <x:c r="E272" s="4" t="str">
        <x:v>%</x:v>
      </x:c>
      <x:c r="F272" s="16" t="n">
        <x:v>2025</x:v>
      </x:c>
      <x:c r="G272" s="4" t="str">
        <x:v>合併毛利率；不能與住宅承攬毛利等同</x:v>
      </x:c>
      <x:c r="H272" s="4" t="str">
        <x:v>TH02</x:v>
      </x:c>
      <x:c r="I272" s="4" t="str">
        <x:v>https://investor.indexlivingmall.com/th/financial-info/financial-highlights</x:v>
      </x:c>
      <x:c r="J272" s="4" t="str">
        <x:v>是</x:v>
      </x:c>
      <x:c r="K272" s="4" t="str">
        <x:v>是</x:v>
      </x:c>
      <x:c r="L272" s="4" t="str">
        <x:v>是</x:v>
      </x:c>
      <x:c r="M272" s="4" t="str">
        <x:v>是</x:v>
      </x:c>
      <x:c r="N272" s="4" t="str">
        <x:v>pass</x:v>
      </x:c>
      <x:c r="O272" s="4" t="str">
        <x:v>A</x:v>
      </x:c>
      <x:c r="P272" s="4" t="str">
        <x:v>是</x:v>
      </x:c>
      <x:c r="Q272" s="19" t="n">
        <x:v>47.4</x:v>
      </x:c>
      <x:c r="R272" s="16" t="n">
        <x:v>2025</x:v>
      </x:c>
      <x:c r="S272" s="4" t="str">
        <x:v>【示意】合併毛利率；不能與住宅承攬毛利等同；獨立來源1；來源A級</x:v>
      </x:c>
      <x:c r="T272" s="4" t="str">
        <x:v>示意</x:v>
      </x:c>
      <x:c r="U272" s="16" t="n">
        <x:v>1</x:v>
      </x:c>
      <x:c r="V272" s="4" t="str">
        <x:v>低</x:v>
      </x:c>
      <x:c r="W272" s="4" t="str">
        <x:v>泰文財務摘要2568=2025：銷售9,053.7、租賃服務803.5、營運9,857.2、總收入10,001.2、母公司淨利753.2百萬THB；毛利47.4%、淨利7.5%。</x:v>
      </x:c>
      <x:c r="X272" s="4" t="str">
        <x:v>依協議僅一個獨立來源，整合信心低；來源A級不自動等於高信心。</x:v>
      </x:c>
      <x:c r="Y272" s="37" t="d">
        <x:v>2026-10-09T00:00:00.000Z</x:v>
      </x:c>
      <x:c r="Z272" s="4" t="str">
        <x:v>turn233view6</x:v>
      </x:c>
    </x:row>
    <x:row r="273" ht="38" customHeight="1">
      <x:c r="A273" s="4" t="str">
        <x:v>M0272</x:v>
      </x:c>
      <x:c r="B273" s="4" t="str">
        <x:v>TH</x:v>
      </x:c>
      <x:c r="C273" s="4" t="str">
        <x:v>Index Living Mall淨利率</x:v>
      </x:c>
      <x:c r="D273" s="19" t="n">
        <x:v>7.5</x:v>
      </x:c>
      <x:c r="E273" s="4" t="str">
        <x:v>%</x:v>
      </x:c>
      <x:c r="F273" s="16" t="n">
        <x:v>2025</x:v>
      </x:c>
      <x:c r="G273" s="4" t="str">
        <x:v>財務摘要公布比率</x:v>
      </x:c>
      <x:c r="H273" s="4" t="str">
        <x:v>TH02</x:v>
      </x:c>
      <x:c r="I273" s="4" t="str">
        <x:v>https://investor.indexlivingmall.com/th/financial-info/financial-highlights</x:v>
      </x:c>
      <x:c r="J273" s="4" t="str">
        <x:v>是</x:v>
      </x:c>
      <x:c r="K273" s="4" t="str">
        <x:v>是</x:v>
      </x:c>
      <x:c r="L273" s="4" t="str">
        <x:v>是</x:v>
      </x:c>
      <x:c r="M273" s="4" t="str">
        <x:v>是</x:v>
      </x:c>
      <x:c r="N273" s="4" t="str">
        <x:v>pass</x:v>
      </x:c>
      <x:c r="O273" s="4" t="str">
        <x:v>A</x:v>
      </x:c>
      <x:c r="P273" s="4" t="str">
        <x:v>是</x:v>
      </x:c>
      <x:c r="Q273" s="19" t="n">
        <x:v>7.5</x:v>
      </x:c>
      <x:c r="R273" s="16" t="n">
        <x:v>2025</x:v>
      </x:c>
      <x:c r="S273" s="4" t="str">
        <x:v>【示意】財務摘要公布比率；獨立來源1；來源A級</x:v>
      </x:c>
      <x:c r="T273" s="4" t="str">
        <x:v>示意</x:v>
      </x:c>
      <x:c r="U273" s="16" t="n">
        <x:v>1</x:v>
      </x:c>
      <x:c r="V273" s="4" t="str">
        <x:v>低</x:v>
      </x:c>
      <x:c r="W273" s="4" t="str">
        <x:v>泰文財務摘要2568=2025：銷售9,053.7、租賃服務803.5、營運9,857.2、總收入10,001.2、母公司淨利753.2百萬THB；毛利47.4%、淨利7.5%。</x:v>
      </x:c>
      <x:c r="X273" s="4" t="str">
        <x:v>依協議僅一個獨立來源，整合信心低；來源A級不自動等於高信心。</x:v>
      </x:c>
      <x:c r="Y273" s="37" t="d">
        <x:v>2026-10-09T00:00:00.000Z</x:v>
      </x:c>
      <x:c r="Z273" s="4" t="str">
        <x:v>turn233view6</x:v>
      </x:c>
    </x:row>
    <x:row r="274" ht="38" customHeight="1">
      <x:c r="A274" s="4" t="str">
        <x:v>M0273</x:v>
      </x:c>
      <x:c r="B274" s="4" t="str">
        <x:v>TH</x:v>
      </x:c>
      <x:c r="C274" s="4" t="str">
        <x:v>住宅移轉量</x:v>
      </x:c>
      <x:c r="D274" s="17" t="n">
        <x:v>347799</x:v>
      </x:c>
      <x:c r="E274" s="4" t="str">
        <x:v>戶</x:v>
      </x:c>
      <x:c r="F274" s="16" t="n">
        <x:v>2024</x:v>
      </x:c>
      <x:c r="G274" s="4" t="str">
        <x:v>REIC全國；2025報告更新趨勢為主</x:v>
      </x:c>
      <x:c r="H274" s="4" t="str">
        <x:v>TH03</x:v>
      </x:c>
      <x:c r="I274" s="4" t="str">
        <x:v>https://www.reic.or.th/Activities/PressRelease/252</x:v>
      </x:c>
      <x:c r="J274" s="4" t="str">
        <x:v>是</x:v>
      </x:c>
      <x:c r="K274" s="4" t="str">
        <x:v>是</x:v>
      </x:c>
      <x:c r="L274" s="4" t="str">
        <x:v>是</x:v>
      </x:c>
      <x:c r="M274" s="4" t="str">
        <x:v>是</x:v>
      </x:c>
      <x:c r="N274" s="4" t="str">
        <x:v>pass</x:v>
      </x:c>
      <x:c r="O274" s="4" t="str">
        <x:v>A</x:v>
      </x:c>
      <x:c r="P274" s="4" t="str">
        <x:v>是</x:v>
      </x:c>
      <x:c r="Q274" s="17" t="n">
        <x:v>347799</x:v>
      </x:c>
      <x:c r="R274" s="16" t="n">
        <x:v>2024</x:v>
      </x:c>
      <x:c r="S274" s="4" t="str">
        <x:v>【示意】REIC全國；2025報告更新趨勢為主；獨立來源1；來源A級</x:v>
      </x:c>
      <x:c r="T274" s="4" t="str">
        <x:v>示意</x:v>
      </x:c>
      <x:c r="U274" s="16" t="n">
        <x:v>1</x:v>
      </x:c>
      <x:c r="V274" s="4" t="str">
        <x:v>低</x:v>
      </x:c>
      <x:c r="W274" s="4" t="str">
        <x:v>REIC2024原文（佛曆2567）全年住宅移轉347,799戶；2025報告也重述，仍同機構同系列非雙源。</x:v>
      </x:c>
      <x:c r="X274" s="4" t="str">
        <x:v>依協議僅一個獨立來源，整合信心低；來源A級不自動等於高信心。</x:v>
      </x:c>
      <x:c r="Y274" s="37" t="d">
        <x:v>2026-10-09T00:00:00.000Z</x:v>
      </x:c>
      <x:c r="Z274" s="4" t="str">
        <x:v>turn233view8</x:v>
      </x:c>
    </x:row>
    <x:row r="275" ht="38" customHeight="1">
      <x:c r="A275" s="4" t="str">
        <x:v>M0274</x:v>
      </x:c>
      <x:c r="B275" s="4" t="str">
        <x:v>TH</x:v>
      </x:c>
      <x:c r="C275" s="4" t="str">
        <x:v>住宅移轉量</x:v>
      </x:c>
      <x:c r="D275" s="17" t="n">
        <x:v>316214</x:v>
      </x:c>
      <x:c r="E275" s="4" t="str">
        <x:v>戶</x:v>
      </x:c>
      <x:c r="F275" s="16" t="n">
        <x:v>2025</x:v>
      </x:c>
      <x:c r="G275" s="4" t="str">
        <x:v>REIC全國住宅ownership transfer，新屋+中古</x:v>
      </x:c>
      <x:c r="H275" s="4" t="str">
        <x:v>TH04</x:v>
      </x:c>
      <x:c r="I275" s="4" t="str">
        <x:v>https://ns2.reic.or.th/Upload/REIC-PressRelease-260225_52843_1772017693_79203.pdf</x:v>
      </x:c>
      <x:c r="J275" s="4" t="str">
        <x:v>是</x:v>
      </x:c>
      <x:c r="K275" s="4" t="str">
        <x:v>是</x:v>
      </x:c>
      <x:c r="L275" s="4" t="str">
        <x:v>是</x:v>
      </x:c>
      <x:c r="M275" s="4" t="str">
        <x:v>是</x:v>
      </x:c>
      <x:c r="N275" s="4" t="str">
        <x:v>pass</x:v>
      </x:c>
      <x:c r="O275" s="4" t="str">
        <x:v>A</x:v>
      </x:c>
      <x:c r="P275" s="4" t="str">
        <x:v>是</x:v>
      </x:c>
      <x:c r="Q275" s="17" t="n">
        <x:v>316214</x:v>
      </x:c>
      <x:c r="R275" s="16" t="n">
        <x:v>2025</x:v>
      </x:c>
      <x:c r="S275" s="4" t="str">
        <x:v>【示意】REIC全國住宅ownership transfer，新屋+中古；獨立來源1；來源A級</x:v>
      </x:c>
      <x:c r="T275" s="4" t="str">
        <x:v>示意</x:v>
      </x:c>
      <x:c r="U275" s="16" t="n">
        <x:v>1</x:v>
      </x:c>
      <x:c r="V275" s="4" t="str">
        <x:v>低</x:v>
      </x:c>
      <x:c r="W275" s="4" t="str">
        <x:v>PDF第1–2頁：2025全國316,214戶、-9.1%、864,913百萬THB；新屋112,565、中古203,649、占比四捨五入64%；外國公寓14,899戶、60,921百萬THB。</x:v>
      </x:c>
      <x:c r="X275" s="4" t="str">
        <x:v>依協議僅一個獨立來源，整合信心低；來源A級不自動等於高信心。</x:v>
      </x:c>
      <x:c r="Y275" s="37" t="d">
        <x:v>2026-10-09T00:00:00.000Z</x:v>
      </x:c>
      <x:c r="Z275" s="4" t="str">
        <x:v>turn227view3</x:v>
      </x:c>
    </x:row>
    <x:row r="276" ht="38" customHeight="1">
      <x:c r="A276" s="4" t="str">
        <x:v>M0275</x:v>
      </x:c>
      <x:c r="B276" s="4" t="str">
        <x:v>TH</x:v>
      </x:c>
      <x:c r="C276" s="4" t="str">
        <x:v>住宅移轉量年增率</x:v>
      </x:c>
      <x:c r="D276" s="19" t="n">
        <x:v>-9.1</x:v>
      </x:c>
      <x:c r="E276" s="4" t="str">
        <x:v>%</x:v>
      </x:c>
      <x:c r="F276" s="16" t="n">
        <x:v>2025</x:v>
      </x:c>
      <x:c r="G276" s="4" t="str">
        <x:v>2025相對2024</x:v>
      </x:c>
      <x:c r="H276" s="4" t="str">
        <x:v>TH04</x:v>
      </x:c>
      <x:c r="I276" s="4" t="str">
        <x:v>https://ns2.reic.or.th/Upload/REIC-PressRelease-260225_52843_1772017693_79203.pdf</x:v>
      </x:c>
      <x:c r="J276" s="4" t="str">
        <x:v>是</x:v>
      </x:c>
      <x:c r="K276" s="4" t="str">
        <x:v>是</x:v>
      </x:c>
      <x:c r="L276" s="4" t="str">
        <x:v>是</x:v>
      </x:c>
      <x:c r="M276" s="4" t="str">
        <x:v>是</x:v>
      </x:c>
      <x:c r="N276" s="4" t="str">
        <x:v>pass</x:v>
      </x:c>
      <x:c r="O276" s="4" t="str">
        <x:v>A</x:v>
      </x:c>
      <x:c r="P276" s="4" t="str">
        <x:v>是</x:v>
      </x:c>
      <x:c r="Q276" s="19" t="n">
        <x:v>-9.1</x:v>
      </x:c>
      <x:c r="R276" s="16" t="n">
        <x:v>2025</x:v>
      </x:c>
      <x:c r="S276" s="4" t="str">
        <x:v>【示意】2025相對2024；獨立來源1；來源A級</x:v>
      </x:c>
      <x:c r="T276" s="4" t="str">
        <x:v>示意</x:v>
      </x:c>
      <x:c r="U276" s="16" t="n">
        <x:v>1</x:v>
      </x:c>
      <x:c r="V276" s="4" t="str">
        <x:v>低</x:v>
      </x:c>
      <x:c r="W276" s="4" t="str">
        <x:v>PDF第1–2頁：2025全國316,214戶、-9.1%、864,913百萬THB；新屋112,565、中古203,649、占比四捨五入64%；外國公寓14,899戶、60,921百萬THB。</x:v>
      </x:c>
      <x:c r="X276" s="4" t="str">
        <x:v>依協議僅一個獨立來源，整合信心低；來源A級不自動等於高信心。</x:v>
      </x:c>
      <x:c r="Y276" s="37" t="d">
        <x:v>2026-10-09T00:00:00.000Z</x:v>
      </x:c>
      <x:c r="Z276" s="4" t="str">
        <x:v>turn227view3</x:v>
      </x:c>
    </x:row>
    <x:row r="277" ht="38" customHeight="1">
      <x:c r="A277" s="4" t="str">
        <x:v>M0276</x:v>
      </x:c>
      <x:c r="B277" s="4" t="str">
        <x:v>TH</x:v>
      </x:c>
      <x:c r="C277" s="4" t="str">
        <x:v>住宅移轉金額</x:v>
      </x:c>
      <x:c r="D277" s="17" t="n">
        <x:v>864913</x:v>
      </x:c>
      <x:c r="E277" s="4" t="str">
        <x:v>百萬THB</x:v>
      </x:c>
      <x:c r="F277" s="16" t="n">
        <x:v>2025</x:v>
      </x:c>
      <x:c r="G277" s="4" t="str">
        <x:v>不動產交易價款，不是裝修支出</x:v>
      </x:c>
      <x:c r="H277" s="4" t="str">
        <x:v>TH04</x:v>
      </x:c>
      <x:c r="I277" s="4" t="str">
        <x:v>https://ns2.reic.or.th/Upload/REIC-PressRelease-260225_52843_1772017693_79203.pdf</x:v>
      </x:c>
      <x:c r="J277" s="4" t="str">
        <x:v>是</x:v>
      </x:c>
      <x:c r="K277" s="4" t="str">
        <x:v>是</x:v>
      </x:c>
      <x:c r="L277" s="4" t="str">
        <x:v>是</x:v>
      </x:c>
      <x:c r="M277" s="4" t="str">
        <x:v>是</x:v>
      </x:c>
      <x:c r="N277" s="4" t="str">
        <x:v>pass</x:v>
      </x:c>
      <x:c r="O277" s="4" t="str">
        <x:v>A</x:v>
      </x:c>
      <x:c r="P277" s="4" t="str">
        <x:v>是</x:v>
      </x:c>
      <x:c r="Q277" s="17" t="n">
        <x:v>864913</x:v>
      </x:c>
      <x:c r="R277" s="16" t="n">
        <x:v>2025</x:v>
      </x:c>
      <x:c r="S277" s="4" t="str">
        <x:v>【示意】不動產交易價款，不是裝修支出；獨立來源1；來源A級</x:v>
      </x:c>
      <x:c r="T277" s="4" t="str">
        <x:v>示意</x:v>
      </x:c>
      <x:c r="U277" s="16" t="n">
        <x:v>1</x:v>
      </x:c>
      <x:c r="V277" s="4" t="str">
        <x:v>低</x:v>
      </x:c>
      <x:c r="W277" s="4" t="str">
        <x:v>PDF第1–2頁：2025全國316,214戶、-9.1%、864,913百萬THB；新屋112,565、中古203,649、占比四捨五入64%；外國公寓14,899戶、60,921百萬THB。</x:v>
      </x:c>
      <x:c r="X277" s="4" t="str">
        <x:v>依協議僅一個獨立來源，整合信心低；來源A級不自動等於高信心。</x:v>
      </x:c>
      <x:c r="Y277" s="37" t="d">
        <x:v>2026-10-09T00:00:00.000Z</x:v>
      </x:c>
      <x:c r="Z277" s="4" t="str">
        <x:v>turn227view3</x:v>
      </x:c>
    </x:row>
    <x:row r="278" ht="38" customHeight="1">
      <x:c r="A278" s="4" t="str">
        <x:v>M0277</x:v>
      </x:c>
      <x:c r="B278" s="4" t="str">
        <x:v>TH</x:v>
      </x:c>
      <x:c r="C278" s="4" t="str">
        <x:v>第一手住宅移轉量</x:v>
      </x:c>
      <x:c r="D278" s="17" t="n">
        <x:v>112565</x:v>
      </x:c>
      <x:c r="E278" s="4" t="str">
        <x:v>戶</x:v>
      </x:c>
      <x:c r="F278" s="16" t="n">
        <x:v>2025</x:v>
      </x:c>
      <x:c r="G278" s="4" t="str">
        <x:v>REIC new home</x:v>
      </x:c>
      <x:c r="H278" s="4" t="str">
        <x:v>TH04</x:v>
      </x:c>
      <x:c r="I278" s="4" t="str">
        <x:v>https://ns2.reic.or.th/Upload/REIC-PressRelease-260225_52843_1772017693_79203.pdf</x:v>
      </x:c>
      <x:c r="J278" s="4" t="str">
        <x:v>是</x:v>
      </x:c>
      <x:c r="K278" s="4" t="str">
        <x:v>是</x:v>
      </x:c>
      <x:c r="L278" s="4" t="str">
        <x:v>是</x:v>
      </x:c>
      <x:c r="M278" s="4" t="str">
        <x:v>是</x:v>
      </x:c>
      <x:c r="N278" s="4" t="str">
        <x:v>pass</x:v>
      </x:c>
      <x:c r="O278" s="4" t="str">
        <x:v>A</x:v>
      </x:c>
      <x:c r="P278" s="4" t="str">
        <x:v>是</x:v>
      </x:c>
      <x:c r="Q278" s="17" t="n">
        <x:v>112565</x:v>
      </x:c>
      <x:c r="R278" s="16" t="n">
        <x:v>2025</x:v>
      </x:c>
      <x:c r="S278" s="4" t="str">
        <x:v>【示意】REIC new home；獨立來源1；來源A級</x:v>
      </x:c>
      <x:c r="T278" s="4" t="str">
        <x:v>示意</x:v>
      </x:c>
      <x:c r="U278" s="16" t="n">
        <x:v>1</x:v>
      </x:c>
      <x:c r="V278" s="4" t="str">
        <x:v>低</x:v>
      </x:c>
      <x:c r="W278" s="4" t="str">
        <x:v>PDF第1–2頁：2025全國316,214戶、-9.1%、864,913百萬THB；新屋112,565、中古203,649、占比四捨五入64%；外國公寓14,899戶、60,921百萬THB。</x:v>
      </x:c>
      <x:c r="X278" s="4" t="str">
        <x:v>依協議僅一個獨立來源，整合信心低；來源A級不自動等於高信心。</x:v>
      </x:c>
      <x:c r="Y278" s="37" t="d">
        <x:v>2026-10-09T00:00:00.000Z</x:v>
      </x:c>
      <x:c r="Z278" s="4" t="str">
        <x:v>turn227view3</x:v>
      </x:c>
    </x:row>
    <x:row r="279" ht="38" customHeight="1">
      <x:c r="A279" s="4" t="str">
        <x:v>M0278</x:v>
      </x:c>
      <x:c r="B279" s="4" t="str">
        <x:v>TH</x:v>
      </x:c>
      <x:c r="C279" s="4" t="str">
        <x:v>中古住宅移轉量</x:v>
      </x:c>
      <x:c r="D279" s="17" t="n">
        <x:v>203649</x:v>
      </x:c>
      <x:c r="E279" s="4" t="str">
        <x:v>戶</x:v>
      </x:c>
      <x:c r="F279" s="16" t="n">
        <x:v>2025</x:v>
      </x:c>
      <x:c r="G279" s="4" t="str">
        <x:v>REIC second-hand home</x:v>
      </x:c>
      <x:c r="H279" s="4" t="str">
        <x:v>TH04</x:v>
      </x:c>
      <x:c r="I279" s="4" t="str">
        <x:v>https://ns2.reic.or.th/Upload/REIC-PressRelease-260225_52843_1772017693_79203.pdf</x:v>
      </x:c>
      <x:c r="J279" s="4" t="str">
        <x:v>是</x:v>
      </x:c>
      <x:c r="K279" s="4" t="str">
        <x:v>是</x:v>
      </x:c>
      <x:c r="L279" s="4" t="str">
        <x:v>是</x:v>
      </x:c>
      <x:c r="M279" s="4" t="str">
        <x:v>是</x:v>
      </x:c>
      <x:c r="N279" s="4" t="str">
        <x:v>pass</x:v>
      </x:c>
      <x:c r="O279" s="4" t="str">
        <x:v>A</x:v>
      </x:c>
      <x:c r="P279" s="4" t="str">
        <x:v>是</x:v>
      </x:c>
      <x:c r="Q279" s="17" t="n">
        <x:v>203649</x:v>
      </x:c>
      <x:c r="R279" s="16" t="n">
        <x:v>2025</x:v>
      </x:c>
      <x:c r="S279" s="4" t="str">
        <x:v>【示意】REIC second-hand home；獨立來源1；來源A級</x:v>
      </x:c>
      <x:c r="T279" s="4" t="str">
        <x:v>示意</x:v>
      </x:c>
      <x:c r="U279" s="16" t="n">
        <x:v>1</x:v>
      </x:c>
      <x:c r="V279" s="4" t="str">
        <x:v>低</x:v>
      </x:c>
      <x:c r="W279" s="4" t="str">
        <x:v>PDF第1–2頁：2025全國316,214戶、-9.1%、864,913百萬THB；新屋112,565、中古203,649、占比四捨五入64%；外國公寓14,899戶、60,921百萬THB。</x:v>
      </x:c>
      <x:c r="X279" s="4" t="str">
        <x:v>依協議僅一個獨立來源，整合信心低；來源A級不自動等於高信心。</x:v>
      </x:c>
      <x:c r="Y279" s="37" t="d">
        <x:v>2026-10-09T00:00:00.000Z</x:v>
      </x:c>
      <x:c r="Z279" s="4" t="str">
        <x:v>turn227view3</x:v>
      </x:c>
    </x:row>
    <x:row r="280" ht="38" customHeight="1">
      <x:c r="A280" s="4" t="str">
        <x:v>M0279</x:v>
      </x:c>
      <x:c r="B280" s="4" t="str">
        <x:v>TH</x:v>
      </x:c>
      <x:c r="C280" s="4" t="str">
        <x:v>中古住宅移轉占比</x:v>
      </x:c>
      <x:c r="D280" s="17" t="n">
        <x:v>64</x:v>
      </x:c>
      <x:c r="E280" s="4" t="str">
        <x:v>%</x:v>
      </x:c>
      <x:c r="F280" s="16" t="n">
        <x:v>2025</x:v>
      </x:c>
      <x:c r="G280" s="4" t="str">
        <x:v>REIC報告四捨五入；203649/316214約64.40%</x:v>
      </x:c>
      <x:c r="H280" s="4" t="str">
        <x:v>TH04</x:v>
      </x:c>
      <x:c r="I280" s="4" t="str">
        <x:v>https://ns2.reic.or.th/Upload/REIC-PressRelease-260225_52843_1772017693_79203.pdf</x:v>
      </x:c>
      <x:c r="J280" s="4" t="str">
        <x:v>是</x:v>
      </x:c>
      <x:c r="K280" s="4" t="str">
        <x:v>是</x:v>
      </x:c>
      <x:c r="L280" s="4" t="str">
        <x:v>是</x:v>
      </x:c>
      <x:c r="M280" s="4" t="str">
        <x:v>是</x:v>
      </x:c>
      <x:c r="N280" s="4" t="str">
        <x:v>pass</x:v>
      </x:c>
      <x:c r="O280" s="4" t="str">
        <x:v>A</x:v>
      </x:c>
      <x:c r="P280" s="4" t="str">
        <x:v>是</x:v>
      </x:c>
      <x:c r="Q280" s="17" t="n">
        <x:v>64</x:v>
      </x:c>
      <x:c r="R280" s="16" t="n">
        <x:v>2025</x:v>
      </x:c>
      <x:c r="S280" s="4" t="str">
        <x:v>【示意】REIC報告四捨五入；203649/316214約64.40%；獨立來源1；來源A級</x:v>
      </x:c>
      <x:c r="T280" s="4" t="str">
        <x:v>示意</x:v>
      </x:c>
      <x:c r="U280" s="16" t="n">
        <x:v>1</x:v>
      </x:c>
      <x:c r="V280" s="4" t="str">
        <x:v>低</x:v>
      </x:c>
      <x:c r="W280" s="4" t="str">
        <x:v>PDF第1–2頁：2025全國316,214戶、-9.1%、864,913百萬THB；新屋112,565、中古203,649、占比四捨五入64%；外國公寓14,899戶、60,921百萬THB。</x:v>
      </x:c>
      <x:c r="X280" s="4" t="str">
        <x:v>依協議僅一個獨立來源，整合信心低；來源A級不自動等於高信心。</x:v>
      </x:c>
      <x:c r="Y280" s="37" t="d">
        <x:v>2026-10-09T00:00:00.000Z</x:v>
      </x:c>
      <x:c r="Z280" s="4" t="str">
        <x:v>turn227view3</x:v>
      </x:c>
    </x:row>
    <x:row r="281" ht="38" customHeight="1">
      <x:c r="A281" s="4" t="str">
        <x:v>M0280</x:v>
      </x:c>
      <x:c r="B281" s="4" t="str">
        <x:v>TH</x:v>
      </x:c>
      <x:c r="C281" s="4" t="str">
        <x:v>外國買方公寓移轉量</x:v>
      </x:c>
      <x:c r="D281" s="17" t="n">
        <x:v>14899</x:v>
      </x:c>
      <x:c r="E281" s="4" t="str">
        <x:v>戶</x:v>
      </x:c>
      <x:c r="F281" s="16" t="n">
        <x:v>2025</x:v>
      </x:c>
      <x:c r="G281" s="4" t="str">
        <x:v>僅外國買方condominium，不含所有住宅</x:v>
      </x:c>
      <x:c r="H281" s="4" t="str">
        <x:v>TH04</x:v>
      </x:c>
      <x:c r="I281" s="4" t="str">
        <x:v>https://ns2.reic.or.th/Upload/REIC-PressRelease-260225_52843_1772017693_79203.pdf</x:v>
      </x:c>
      <x:c r="J281" s="4" t="str">
        <x:v>是</x:v>
      </x:c>
      <x:c r="K281" s="4" t="str">
        <x:v>是</x:v>
      </x:c>
      <x:c r="L281" s="4" t="str">
        <x:v>是</x:v>
      </x:c>
      <x:c r="M281" s="4" t="str">
        <x:v>是</x:v>
      </x:c>
      <x:c r="N281" s="4" t="str">
        <x:v>pass</x:v>
      </x:c>
      <x:c r="O281" s="4" t="str">
        <x:v>A</x:v>
      </x:c>
      <x:c r="P281" s="4" t="str">
        <x:v>是</x:v>
      </x:c>
      <x:c r="Q281" s="17" t="n">
        <x:v>14899</x:v>
      </x:c>
      <x:c r="R281" s="16" t="n">
        <x:v>2025</x:v>
      </x:c>
      <x:c r="S281" s="4" t="str">
        <x:v>【示意】僅外國買方condominium，不含所有住宅；獨立來源1；來源A級</x:v>
      </x:c>
      <x:c r="T281" s="4" t="str">
        <x:v>示意</x:v>
      </x:c>
      <x:c r="U281" s="16" t="n">
        <x:v>1</x:v>
      </x:c>
      <x:c r="V281" s="4" t="str">
        <x:v>低</x:v>
      </x:c>
      <x:c r="W281" s="4" t="str">
        <x:v>PDF第1–2頁：2025全國316,214戶、-9.1%、864,913百萬THB；新屋112,565、中古203,649、占比四捨五入64%；外國公寓14,899戶、60,921百萬THB。</x:v>
      </x:c>
      <x:c r="X281" s="4" t="str">
        <x:v>依協議僅一個獨立來源，整合信心低；來源A級不自動等於高信心。</x:v>
      </x:c>
      <x:c r="Y281" s="37" t="d">
        <x:v>2026-10-09T00:00:00.000Z</x:v>
      </x:c>
      <x:c r="Z281" s="4" t="str">
        <x:v>turn227view3</x:v>
      </x:c>
    </x:row>
    <x:row r="282" ht="38" customHeight="1">
      <x:c r="A282" s="4" t="str">
        <x:v>M0281</x:v>
      </x:c>
      <x:c r="B282" s="4" t="str">
        <x:v>TH</x:v>
      </x:c>
      <x:c r="C282" s="4" t="str">
        <x:v>外國買方公寓移轉金額</x:v>
      </x:c>
      <x:c r="D282" s="17" t="n">
        <x:v>60921</x:v>
      </x:c>
      <x:c r="E282" s="4" t="str">
        <x:v>百萬THB</x:v>
      </x:c>
      <x:c r="F282" s="16" t="n">
        <x:v>2025</x:v>
      </x:c>
      <x:c r="G282" s="4" t="str">
        <x:v>外國買方condominium交易金額</x:v>
      </x:c>
      <x:c r="H282" s="4" t="str">
        <x:v>TH04</x:v>
      </x:c>
      <x:c r="I282" s="4" t="str">
        <x:v>https://ns2.reic.or.th/Upload/REIC-PressRelease-260225_52843_1772017693_79203.pdf</x:v>
      </x:c>
      <x:c r="J282" s="4" t="str">
        <x:v>是</x:v>
      </x:c>
      <x:c r="K282" s="4" t="str">
        <x:v>是</x:v>
      </x:c>
      <x:c r="L282" s="4" t="str">
        <x:v>是</x:v>
      </x:c>
      <x:c r="M282" s="4" t="str">
        <x:v>是</x:v>
      </x:c>
      <x:c r="N282" s="4" t="str">
        <x:v>pass</x:v>
      </x:c>
      <x:c r="O282" s="4" t="str">
        <x:v>A</x:v>
      </x:c>
      <x:c r="P282" s="4" t="str">
        <x:v>是</x:v>
      </x:c>
      <x:c r="Q282" s="17" t="n">
        <x:v>60921</x:v>
      </x:c>
      <x:c r="R282" s="16" t="n">
        <x:v>2025</x:v>
      </x:c>
      <x:c r="S282" s="4" t="str">
        <x:v>【示意】外國買方condominium交易金額；獨立來源1；來源A級</x:v>
      </x:c>
      <x:c r="T282" s="4" t="str">
        <x:v>示意</x:v>
      </x:c>
      <x:c r="U282" s="16" t="n">
        <x:v>1</x:v>
      </x:c>
      <x:c r="V282" s="4" t="str">
        <x:v>低</x:v>
      </x:c>
      <x:c r="W282" s="4" t="str">
        <x:v>PDF第1–2頁：2025全國316,214戶、-9.1%、864,913百萬THB；新屋112,565、中古203,649、占比四捨五入64%；外國公寓14,899戶、60,921百萬THB。</x:v>
      </x:c>
      <x:c r="X282" s="4" t="str">
        <x:v>依協議僅一個獨立來源，整合信心低；來源A級不自動等於高信心。</x:v>
      </x:c>
      <x:c r="Y282" s="37" t="d">
        <x:v>2026-10-09T00:00:00.000Z</x:v>
      </x:c>
      <x:c r="Z282" s="4" t="str">
        <x:v>turn227view3</x:v>
      </x:c>
    </x:row>
    <x:row r="283" ht="38" customHeight="1">
      <x:c r="A283" s="4" t="str">
        <x:v>M0282</x:v>
      </x:c>
      <x:c r="B283" s="4" t="str">
        <x:v>TH</x:v>
      </x:c>
      <x:c r="C283" s="4" t="str">
        <x:v>建築及相關顧問活動營收</x:v>
      </x:c>
      <x:c r="D283" s="17" t="n">
        <x:v>33400</x:v>
      </x:c>
      <x:c r="E283" s="4" t="str">
        <x:v>百萬THB</x:v>
      </x:c>
      <x:c r="F283" s="16" t="n">
        <x:v>2025</x:v>
      </x:c>
      <x:c r="G283" s="4" t="str">
        <x:v>DTN引DBD；Architectural and related consultancy，含建築非純室內設計</x:v>
      </x:c>
      <x:c r="H283" s="4" t="str">
        <x:v>TH07</x:v>
      </x:c>
      <x:c r="I283" s="4" t="str">
        <x:v>https://www.dtn.go.th/th/file/get/file/1.20260925e1a479df9a0c4538f665e3ee334f9acc163253.pdf</x:v>
      </x:c>
      <x:c r="J283" s="4" t="str">
        <x:v>是</x:v>
      </x:c>
      <x:c r="K283" s="4" t="str">
        <x:v>是</x:v>
      </x:c>
      <x:c r="L283" s="4" t="str">
        <x:v>是</x:v>
      </x:c>
      <x:c r="M283" s="4" t="str">
        <x:v>是</x:v>
      </x:c>
      <x:c r="N283" s="4" t="str">
        <x:v>pass</x:v>
      </x:c>
      <x:c r="O283" s="4" t="str">
        <x:v>A</x:v>
      </x:c>
      <x:c r="P283" s="4" t="str">
        <x:v>是</x:v>
      </x:c>
      <x:c r="Q283" s="17" t="n">
        <x:v>33400</x:v>
      </x:c>
      <x:c r="R283" s="16" t="n">
        <x:v>2025</x:v>
      </x:c>
      <x:c r="S283" s="4" t="str">
        <x:v>【示意】DTN引DBD；Architectural and related consultancy，含建築非純室內設計；獨立來源1；來源A級</x:v>
      </x:c>
      <x:c r="T283" s="4" t="str">
        <x:v>示意</x:v>
      </x:c>
      <x:c r="U283" s="16" t="n">
        <x:v>1</x:v>
      </x:c>
      <x:c r="V283" s="4" t="str">
        <x:v>低</x:v>
      </x:c>
      <x:c r="W283" s="4" t="str">
        <x:v>DTN 2026-09文件PDF第1頁引DBD：2025廣義建築及相關顧問收入33,400百萬THB；2026-08法人4,081。不是純室內設計。</x:v>
      </x:c>
      <x:c r="X283" s="4" t="str">
        <x:v>依協議僅一個獨立來源，整合信心低；來源A級不自動等於高信心。</x:v>
      </x:c>
      <x:c r="Y283" s="37" t="d">
        <x:v>2026-10-09T00:00:00.000Z</x:v>
      </x:c>
      <x:c r="Z283" s="4" t="str">
        <x:v>turn253view0</x:v>
      </x:c>
    </x:row>
    <x:row r="284" ht="38" customHeight="1">
      <x:c r="A284" s="4" t="str">
        <x:v>M0283</x:v>
      </x:c>
      <x:c r="B284" s="4" t="str">
        <x:v>TH</x:v>
      </x:c>
      <x:c r="C284" s="4" t="str">
        <x:v>建築及相關顧問活動法人數</x:v>
      </x:c>
      <x:c r="D284" s="17" t="n">
        <x:v>4081</x:v>
      </x:c>
      <x:c r="E284" s="4" t="str">
        <x:v>家</x:v>
      </x:c>
      <x:c r="F284" s="16" t="str">
        <x:v>2026-08</x:v>
      </x:c>
      <x:c r="G284" s="4" t="str">
        <x:v>DTN引DBD active法人；非純室內設計公司數</x:v>
      </x:c>
      <x:c r="H284" s="4" t="str">
        <x:v>TH07</x:v>
      </x:c>
      <x:c r="I284" s="4" t="str">
        <x:v>https://www.dtn.go.th/th/file/get/file/1.20260925e1a479df9a0c4538f665e3ee334f9acc163253.pdf</x:v>
      </x:c>
      <x:c r="J284" s="4" t="str">
        <x:v>是</x:v>
      </x:c>
      <x:c r="K284" s="4" t="str">
        <x:v>是</x:v>
      </x:c>
      <x:c r="L284" s="4" t="str">
        <x:v>是</x:v>
      </x:c>
      <x:c r="M284" s="4" t="str">
        <x:v>是</x:v>
      </x:c>
      <x:c r="N284" s="4" t="str">
        <x:v>pass</x:v>
      </x:c>
      <x:c r="O284" s="4" t="str">
        <x:v>A</x:v>
      </x:c>
      <x:c r="P284" s="4" t="str">
        <x:v>是</x:v>
      </x:c>
      <x:c r="Q284" s="17" t="n">
        <x:v>4081</x:v>
      </x:c>
      <x:c r="R284" s="16" t="str">
        <x:v>2026-08</x:v>
      </x:c>
      <x:c r="S284" s="4" t="str">
        <x:v>【示意】DTN引DBD active法人；非純室內設計公司數；獨立來源1；來源A級</x:v>
      </x:c>
      <x:c r="T284" s="4" t="str">
        <x:v>示意</x:v>
      </x:c>
      <x:c r="U284" s="16" t="n">
        <x:v>1</x:v>
      </x:c>
      <x:c r="V284" s="4" t="str">
        <x:v>低</x:v>
      </x:c>
      <x:c r="W284" s="4" t="str">
        <x:v>DTN 2026-09文件PDF第1頁引DBD：2025廣義建築及相關顧問收入33,400百萬THB；2026-08法人4,081。不是純室內設計。</x:v>
      </x:c>
      <x:c r="X284" s="4" t="str">
        <x:v>依協議僅一個獨立來源，整合信心低；來源A級不自動等於高信心。</x:v>
      </x:c>
      <x:c r="Y284" s="37" t="d">
        <x:v>2026-10-09T00:00:00.000Z</x:v>
      </x:c>
      <x:c r="Z284" s="4" t="str">
        <x:v>turn253view0</x:v>
      </x:c>
    </x:row>
    <x:row r="285" ht="38" customHeight="1">
      <x:c r="A285" s="4" t="str">
        <x:v>M0284</x:v>
      </x:c>
      <x:c r="B285" s="4" t="str">
        <x:v>TH</x:v>
      </x:c>
      <x:c r="C285" s="4" t="str">
        <x:v>住宅增改建投訴</x:v>
      </x:c>
      <x:c r="D285" s="17" t="n">
        <x:v>111</x:v>
      </x:c>
      <x:c r="E285" s="4" t="str">
        <x:v>件</x:v>
      </x:c>
      <x:c r="F285" s="16" t="str">
        <x:v>2025截至6月27日公告</x:v>
      </x:c>
      <x:c r="G285" s="4" t="str">
        <x:v>公告所述年度截至發布資料，不是全年裝修總投訴</x:v>
      </x:c>
      <x:c r="H285" s="4" t="str">
        <x:v>TH08</x:v>
      </x:c>
      <x:c r="I285" s="4" t="str">
        <x:v>https://www.ocpb.go.th/news_view_en.php?nid=16497</x:v>
      </x:c>
      <x:c r="J285" s="4" t="str">
        <x:v>是</x:v>
      </x:c>
      <x:c r="K285" s="4" t="str">
        <x:v>是</x:v>
      </x:c>
      <x:c r="L285" s="4" t="str">
        <x:v>是</x:v>
      </x:c>
      <x:c r="M285" s="4" t="str">
        <x:v>是</x:v>
      </x:c>
      <x:c r="N285" s="4" t="str">
        <x:v>pass</x:v>
      </x:c>
      <x:c r="O285" s="4" t="str">
        <x:v>A</x:v>
      </x:c>
      <x:c r="P285" s="4" t="str">
        <x:v>是</x:v>
      </x:c>
      <x:c r="Q285" s="17" t="n">
        <x:v>111</x:v>
      </x:c>
      <x:c r="R285" s="16" t="str">
        <x:v>2025截至6月27日公告</x:v>
      </x:c>
      <x:c r="S285" s="4" t="str">
        <x:v>【示意】公告所述年度截至發布資料，不是全年裝修總投訴；獨立來源1；來源A級</x:v>
      </x:c>
      <x:c r="T285" s="4" t="str">
        <x:v>示意</x:v>
      </x:c>
      <x:c r="U285" s="16" t="n">
        <x:v>1</x:v>
      </x:c>
      <x:c r="V285" s="4" t="str">
        <x:v>低</x:v>
      </x:c>
      <x:c r="W285" s="4" t="str">
        <x:v>OCPB 2025-06-27原文：年度截至公告所述新建186件、住宅增改建111件；沒有全年投訴率分母。</x:v>
      </x:c>
      <x:c r="X285" s="4" t="str">
        <x:v>依協議僅一個獨立來源，整合信心低；來源A級不自動等於高信心。</x:v>
      </x:c>
      <x:c r="Y285" s="37" t="d">
        <x:v>2026-10-09T00:00:00.000Z</x:v>
      </x:c>
      <x:c r="Z285" s="4" t="str">
        <x:v>turn233view9</x:v>
      </x:c>
    </x:row>
    <x:row r="286" ht="38" customHeight="1">
      <x:c r="A286" s="4" t="str">
        <x:v>M0285</x:v>
      </x:c>
      <x:c r="B286" s="4" t="str">
        <x:v>TH</x:v>
      </x:c>
      <x:c r="C286" s="4" t="str">
        <x:v>住宅新建承攬投訴</x:v>
      </x:c>
      <x:c r="D286" s="17" t="n">
        <x:v>186</x:v>
      </x:c>
      <x:c r="E286" s="4" t="str">
        <x:v>件</x:v>
      </x:c>
      <x:c r="F286" s="16" t="str">
        <x:v>2025截至6月27日公告</x:v>
      </x:c>
      <x:c r="G286" s="4" t="str">
        <x:v>新建投訴，不能併入純室內裝修</x:v>
      </x:c>
      <x:c r="H286" s="4" t="str">
        <x:v>TH08</x:v>
      </x:c>
      <x:c r="I286" s="4" t="str">
        <x:v>https://www.ocpb.go.th/news_view_en.php?nid=16497</x:v>
      </x:c>
      <x:c r="J286" s="4" t="str">
        <x:v>是</x:v>
      </x:c>
      <x:c r="K286" s="4" t="str">
        <x:v>是</x:v>
      </x:c>
      <x:c r="L286" s="4" t="str">
        <x:v>是</x:v>
      </x:c>
      <x:c r="M286" s="4" t="str">
        <x:v>是</x:v>
      </x:c>
      <x:c r="N286" s="4" t="str">
        <x:v>pass</x:v>
      </x:c>
      <x:c r="O286" s="4" t="str">
        <x:v>A</x:v>
      </x:c>
      <x:c r="P286" s="4" t="str">
        <x:v>是</x:v>
      </x:c>
      <x:c r="Q286" s="17" t="n">
        <x:v>186</x:v>
      </x:c>
      <x:c r="R286" s="16" t="str">
        <x:v>2025截至6月27日公告</x:v>
      </x:c>
      <x:c r="S286" s="4" t="str">
        <x:v>【示意】新建投訴，不能併入純室內裝修；獨立來源1；來源A級</x:v>
      </x:c>
      <x:c r="T286" s="4" t="str">
        <x:v>示意</x:v>
      </x:c>
      <x:c r="U286" s="16" t="n">
        <x:v>1</x:v>
      </x:c>
      <x:c r="V286" s="4" t="str">
        <x:v>低</x:v>
      </x:c>
      <x:c r="W286" s="4" t="str">
        <x:v>OCPB 2025-06-27原文：年度截至公告所述新建186件、住宅增改建111件；沒有全年投訴率分母。</x:v>
      </x:c>
      <x:c r="X286" s="4" t="str">
        <x:v>依協議僅一個獨立來源，整合信心低；來源A級不自動等於高信心。</x:v>
      </x:c>
      <x:c r="Y286" s="37" t="d">
        <x:v>2026-10-09T00:00:00.000Z</x:v>
      </x:c>
      <x:c r="Z286" s="4" t="str">
        <x:v>turn233view9</x:v>
      </x:c>
    </x:row>
    <x:row r="287" ht="38" customHeight="1">
      <x:c r="A287" s="4" t="str">
        <x:v>M0286</x:v>
      </x:c>
      <x:c r="B287" s="4" t="str">
        <x:v>TH</x:v>
      </x:c>
      <x:c r="C287" s="4" t="str">
        <x:v>住宅增改建遲延約定每日最低罰款比例</x:v>
      </x:c>
      <x:c r="D287" s="18" t="n">
        <x:v>0.01</x:v>
      </x:c>
      <x:c r="E287" s="4" t="str">
        <x:v>%</x:v>
      </x:c>
      <x:c r="F287" s="16" t="n">
        <x:v>2023</x:v>
      </x:c>
      <x:c r="G287" s="4" t="str">
        <x:v>適用公告受管制住宅增改建收據；按承攬價每日，不適用所有商業工程</x:v>
      </x:c>
      <x:c r="H287" s="4" t="str">
        <x:v>TH09</x:v>
      </x:c>
      <x:c r="I287" s="4" t="str">
        <x:v>https://ratchakitcha.soc.go.th/documents/140D033S0000000001800.pdf</x:v>
      </x:c>
      <x:c r="J287" s="4" t="str">
        <x:v>是</x:v>
      </x:c>
      <x:c r="K287" s="4" t="str">
        <x:v>是</x:v>
      </x:c>
      <x:c r="L287" s="4" t="str">
        <x:v>是</x:v>
      </x:c>
      <x:c r="M287" s="4" t="str">
        <x:v>是</x:v>
      </x:c>
      <x:c r="N287" s="4" t="str">
        <x:v>pass</x:v>
      </x:c>
      <x:c r="O287" s="4" t="str">
        <x:v>A</x:v>
      </x:c>
      <x:c r="P287" s="4" t="str">
        <x:v>是</x:v>
      </x:c>
      <x:c r="Q287" s="18" t="n">
        <x:v>0.01</x:v>
      </x:c>
      <x:c r="R287" s="16" t="n">
        <x:v>2023</x:v>
      </x:c>
      <x:c r="S287" s="4" t="str">
        <x:v>【示意】適用公告受管制住宅增改建收據；按承攬價每日，不適用所有商業工程；獨立來源1；來源A級</x:v>
      </x:c>
      <x:c r="T287" s="4" t="str">
        <x:v>示意</x:v>
      </x:c>
      <x:c r="U287" s="16" t="n">
        <x:v>1</x:v>
      </x:c>
      <x:c r="V287" s="4" t="str">
        <x:v>低</x:v>
      </x:c>
      <x:c r="W287" s="4" t="str">
        <x:v>Royal Gazette 2023公告PDF第2頁第3(2.2)款：每日最低承攬價百分之0.01；第1頁定義限自用居住，不含銷售、出租等取得對價用途。</x:v>
      </x:c>
      <x:c r="X287" s="4" t="str">
        <x:v>依協議僅一個獨立來源，整合信心低；來源A級不自動等於高信心。</x:v>
      </x:c>
      <x:c r="Y287" s="37" t="d">
        <x:v>2026-10-09T00:00:00.000Z</x:v>
      </x:c>
      <x:c r="Z287" s="4" t="str">
        <x:v>turn246view2</x:v>
      </x:c>
    </x:row>
    <x:row r="288" ht="38" customHeight="1">
      <x:c r="A288" s="4" t="str">
        <x:v>M0287</x:v>
      </x:c>
      <x:c r="B288" s="4" t="str">
        <x:v>TH</x:v>
      </x:c>
      <x:c r="C288" s="4" t="str">
        <x:v>建材價格指數年增率</x:v>
      </x:c>
      <x:c r="D288" s="17" t="n">
        <x:v>0</x:v>
      </x:c>
      <x:c r="E288" s="4" t="str">
        <x:v>%</x:v>
      </x:c>
      <x:c r="F288" s="16" t="str">
        <x:v>2025-12</x:v>
      </x:c>
      <x:c r="G288" s="4" t="str">
        <x:v>整體建築材料CPI型指數，非全部內裝成本</x:v>
      </x:c>
      <x:c r="H288" s="4" t="str">
        <x:v>TH10</x:v>
      </x:c>
      <x:c r="I288" s="4" t="str">
        <x:v>https://www.tpso.go.th/news/2601-0000000015</x:v>
      </x:c>
      <x:c r="J288" s="4" t="str">
        <x:v>是</x:v>
      </x:c>
      <x:c r="K288" s="4" t="str">
        <x:v>是</x:v>
      </x:c>
      <x:c r="L288" s="4" t="str">
        <x:v>是</x:v>
      </x:c>
      <x:c r="M288" s="4" t="str">
        <x:v>是</x:v>
      </x:c>
      <x:c r="N288" s="4" t="str">
        <x:v>pass</x:v>
      </x:c>
      <x:c r="O288" s="4" t="str">
        <x:v>A</x:v>
      </x:c>
      <x:c r="P288" s="4" t="str">
        <x:v>是</x:v>
      </x:c>
      <x:c r="Q288" s="17" t="n">
        <x:v>0</x:v>
      </x:c>
      <x:c r="R288" s="16" t="str">
        <x:v>2025-12</x:v>
      </x:c>
      <x:c r="S288" s="4" t="str">
        <x:v>【示意】整體建築材料CPI型指數，非全部內裝成本；獨立來源1；來源A級</x:v>
      </x:c>
      <x:c r="T288" s="4" t="str">
        <x:v>示意</x:v>
      </x:c>
      <x:c r="U288" s="16" t="n">
        <x:v>1</x:v>
      </x:c>
      <x:c r="V288" s="4" t="str">
        <x:v>低</x:v>
      </x:c>
      <x:c r="W288" s="4" t="str">
        <x:v>頁面第26行圖片替代文字含全文：2025-12建材年增不變、水泥+5.5%、鋼材-2.0%、衛浴-3.9%。不是全內裝成本或四年累積。</x:v>
      </x:c>
      <x:c r="X288" s="4" t="str">
        <x:v>依協議僅一個獨立來源，整合信心低；來源A級不自動等於高信心。</x:v>
      </x:c>
      <x:c r="Y288" s="37" t="d">
        <x:v>2026-10-09T00:00:00.000Z</x:v>
      </x:c>
      <x:c r="Z288" s="4" t="str">
        <x:v>turn246view0</x:v>
      </x:c>
    </x:row>
    <x:row r="289" ht="38" customHeight="1">
      <x:c r="A289" s="4" t="str">
        <x:v>M0288</x:v>
      </x:c>
      <x:c r="B289" s="4" t="str">
        <x:v>TH</x:v>
      </x:c>
      <x:c r="C289" s="4" t="str">
        <x:v>水泥價格指數年增率</x:v>
      </x:c>
      <x:c r="D289" s="19" t="n">
        <x:v>5.5</x:v>
      </x:c>
      <x:c r="E289" s="4" t="str">
        <x:v>%</x:v>
      </x:c>
      <x:c r="F289" s="16" t="str">
        <x:v>2025-12</x:v>
      </x:c>
      <x:c r="G289" s="4" t="str">
        <x:v>2025年12月對2024年12月</x:v>
      </x:c>
      <x:c r="H289" s="4" t="str">
        <x:v>TH10</x:v>
      </x:c>
      <x:c r="I289" s="4" t="str">
        <x:v>https://www.tpso.go.th/news/2601-0000000015</x:v>
      </x:c>
      <x:c r="J289" s="4" t="str">
        <x:v>是</x:v>
      </x:c>
      <x:c r="K289" s="4" t="str">
        <x:v>是</x:v>
      </x:c>
      <x:c r="L289" s="4" t="str">
        <x:v>是</x:v>
      </x:c>
      <x:c r="M289" s="4" t="str">
        <x:v>是</x:v>
      </x:c>
      <x:c r="N289" s="4" t="str">
        <x:v>pass</x:v>
      </x:c>
      <x:c r="O289" s="4" t="str">
        <x:v>A</x:v>
      </x:c>
      <x:c r="P289" s="4" t="str">
        <x:v>是</x:v>
      </x:c>
      <x:c r="Q289" s="19" t="n">
        <x:v>5.5</x:v>
      </x:c>
      <x:c r="R289" s="16" t="str">
        <x:v>2025-12</x:v>
      </x:c>
      <x:c r="S289" s="4" t="str">
        <x:v>【示意】2025年12月對2024年12月；獨立來源1；來源A級</x:v>
      </x:c>
      <x:c r="T289" s="4" t="str">
        <x:v>示意</x:v>
      </x:c>
      <x:c r="U289" s="16" t="n">
        <x:v>1</x:v>
      </x:c>
      <x:c r="V289" s="4" t="str">
        <x:v>低</x:v>
      </x:c>
      <x:c r="W289" s="4" t="str">
        <x:v>頁面第26行圖片替代文字含全文：2025-12建材年增不變、水泥+5.5%、鋼材-2.0%、衛浴-3.9%。不是全內裝成本或四年累積。</x:v>
      </x:c>
      <x:c r="X289" s="4" t="str">
        <x:v>依協議僅一個獨立來源，整合信心低；來源A級不自動等於高信心。</x:v>
      </x:c>
      <x:c r="Y289" s="37" t="d">
        <x:v>2026-10-09T00:00:00.000Z</x:v>
      </x:c>
      <x:c r="Z289" s="4" t="str">
        <x:v>turn246view0</x:v>
      </x:c>
    </x:row>
    <x:row r="290" ht="38" customHeight="1">
      <x:c r="A290" s="4" t="str">
        <x:v>M0289</x:v>
      </x:c>
      <x:c r="B290" s="4" t="str">
        <x:v>TH</x:v>
      </x:c>
      <x:c r="C290" s="4" t="str">
        <x:v>鋼鐵價格指數年增率</x:v>
      </x:c>
      <x:c r="D290" s="17" t="n">
        <x:v>-2</x:v>
      </x:c>
      <x:c r="E290" s="4" t="str">
        <x:v>%</x:v>
      </x:c>
      <x:c r="F290" s="16" t="str">
        <x:v>2025-12</x:v>
      </x:c>
      <x:c r="G290" s="4" t="str">
        <x:v>2025年12月對2024年12月</x:v>
      </x:c>
      <x:c r="H290" s="4" t="str">
        <x:v>TH10</x:v>
      </x:c>
      <x:c r="I290" s="4" t="str">
        <x:v>https://www.tpso.go.th/news/2601-0000000015</x:v>
      </x:c>
      <x:c r="J290" s="4" t="str">
        <x:v>是</x:v>
      </x:c>
      <x:c r="K290" s="4" t="str">
        <x:v>是</x:v>
      </x:c>
      <x:c r="L290" s="4" t="str">
        <x:v>是</x:v>
      </x:c>
      <x:c r="M290" s="4" t="str">
        <x:v>是</x:v>
      </x:c>
      <x:c r="N290" s="4" t="str">
        <x:v>pass</x:v>
      </x:c>
      <x:c r="O290" s="4" t="str">
        <x:v>A</x:v>
      </x:c>
      <x:c r="P290" s="4" t="str">
        <x:v>是</x:v>
      </x:c>
      <x:c r="Q290" s="17" t="n">
        <x:v>-2</x:v>
      </x:c>
      <x:c r="R290" s="16" t="str">
        <x:v>2025-12</x:v>
      </x:c>
      <x:c r="S290" s="4" t="str">
        <x:v>【示意】2025年12月對2024年12月；獨立來源1；來源A級</x:v>
      </x:c>
      <x:c r="T290" s="4" t="str">
        <x:v>示意</x:v>
      </x:c>
      <x:c r="U290" s="16" t="n">
        <x:v>1</x:v>
      </x:c>
      <x:c r="V290" s="4" t="str">
        <x:v>低</x:v>
      </x:c>
      <x:c r="W290" s="4" t="str">
        <x:v>頁面第26行圖片替代文字含全文：2025-12建材年增不變、水泥+5.5%、鋼材-2.0%、衛浴-3.9%。不是全內裝成本或四年累積。</x:v>
      </x:c>
      <x:c r="X290" s="4" t="str">
        <x:v>依協議僅一個獨立來源，整合信心低；來源A級不自動等於高信心。</x:v>
      </x:c>
      <x:c r="Y290" s="37" t="d">
        <x:v>2026-10-09T00:00:00.000Z</x:v>
      </x:c>
      <x:c r="Z290" s="4" t="str">
        <x:v>turn246view0</x:v>
      </x:c>
    </x:row>
    <x:row r="291" ht="38" customHeight="1">
      <x:c r="A291" s="4" t="str">
        <x:v>M0290</x:v>
      </x:c>
      <x:c r="B291" s="4" t="str">
        <x:v>TH</x:v>
      </x:c>
      <x:c r="C291" s="4" t="str">
        <x:v>衛浴價格指數年增率</x:v>
      </x:c>
      <x:c r="D291" s="19" t="n">
        <x:v>-3.9</x:v>
      </x:c>
      <x:c r="E291" s="4" t="str">
        <x:v>%</x:v>
      </x:c>
      <x:c r="F291" s="16" t="str">
        <x:v>2025-12</x:v>
      </x:c>
      <x:c r="G291" s="4" t="str">
        <x:v>2025年12月對2024年12月</x:v>
      </x:c>
      <x:c r="H291" s="4" t="str">
        <x:v>TH10</x:v>
      </x:c>
      <x:c r="I291" s="4" t="str">
        <x:v>https://www.tpso.go.th/news/2601-0000000015</x:v>
      </x:c>
      <x:c r="J291" s="4" t="str">
        <x:v>是</x:v>
      </x:c>
      <x:c r="K291" s="4" t="str">
        <x:v>是</x:v>
      </x:c>
      <x:c r="L291" s="4" t="str">
        <x:v>是</x:v>
      </x:c>
      <x:c r="M291" s="4" t="str">
        <x:v>是</x:v>
      </x:c>
      <x:c r="N291" s="4" t="str">
        <x:v>pass</x:v>
      </x:c>
      <x:c r="O291" s="4" t="str">
        <x:v>A</x:v>
      </x:c>
      <x:c r="P291" s="4" t="str">
        <x:v>是</x:v>
      </x:c>
      <x:c r="Q291" s="19" t="n">
        <x:v>-3.9</x:v>
      </x:c>
      <x:c r="R291" s="16" t="str">
        <x:v>2025-12</x:v>
      </x:c>
      <x:c r="S291" s="4" t="str">
        <x:v>【示意】2025年12月對2024年12月；獨立來源1；來源A級</x:v>
      </x:c>
      <x:c r="T291" s="4" t="str">
        <x:v>示意</x:v>
      </x:c>
      <x:c r="U291" s="16" t="n">
        <x:v>1</x:v>
      </x:c>
      <x:c r="V291" s="4" t="str">
        <x:v>低</x:v>
      </x:c>
      <x:c r="W291" s="4" t="str">
        <x:v>頁面第26行圖片替代文字含全文：2025-12建材年增不變、水泥+5.5%、鋼材-2.0%、衛浴-3.9%。不是全內裝成本或四年累積。</x:v>
      </x:c>
      <x:c r="X291" s="4" t="str">
        <x:v>依協議僅一個獨立來源，整合信心低；來源A級不自動等於高信心。</x:v>
      </x:c>
      <x:c r="Y291" s="37" t="d">
        <x:v>2026-10-09T00:00:00.000Z</x:v>
      </x:c>
      <x:c r="Z291" s="4" t="str">
        <x:v>turn246view0</x:v>
      </x:c>
    </x:row>
    <x:row r="292" ht="38" customHeight="1">
      <x:c r="A292" s="4" t="str">
        <x:v>M0291</x:v>
      </x:c>
      <x:c r="B292" s="4" t="str">
        <x:v>TH</x:v>
      </x:c>
      <x:c r="C292" s="4" t="str">
        <x:v>HomePro浴室勘查牌價</x:v>
      </x:c>
      <x:c r="D292" s="17" t="n">
        <x:v>1000</x:v>
      </x:c>
      <x:c r="E292" s="4" t="str">
        <x:v>THB/次</x:v>
      </x:c>
      <x:c r="F292" s="16" t="str">
        <x:v>2026查閱</x:v>
      </x:c>
      <x:c r="G292" s="4" t="str">
        <x:v>只勘查，促銷499；不是浴室施工總价</x:v>
      </x:c>
      <x:c r="H292" s="4" t="str">
        <x:v>TH12</x:v>
      </x:c>
      <x:c r="I292" s="4" t="str">
        <x:v>https://shop4you.homepro.co.th/S032/web/302/7000933</x:v>
      </x:c>
      <x:c r="J292" s="4" t="str">
        <x:v>是</x:v>
      </x:c>
      <x:c r="K292" s="4" t="str">
        <x:v>是</x:v>
      </x:c>
      <x:c r="L292" s="4" t="str">
        <x:v>是</x:v>
      </x:c>
      <x:c r="M292" s="4" t="str">
        <x:v>是</x:v>
      </x:c>
      <x:c r="N292" s="4" t="str">
        <x:v>pass</x:v>
      </x:c>
      <x:c r="O292" s="4" t="str">
        <x:v>C</x:v>
      </x:c>
      <x:c r="P292" s="4" t="str">
        <x:v>是</x:v>
      </x:c>
      <x:c r="Q292" s="17" t="n">
        <x:v>1000</x:v>
      </x:c>
      <x:c r="R292" s="16" t="str">
        <x:v>2026查閱</x:v>
      </x:c>
      <x:c r="S292" s="4" t="str">
        <x:v>【示意】只勘查，促銷499；不是浴室施工總价；獨立來源1；來源C級</x:v>
      </x:c>
      <x:c r="T292" s="4" t="str">
        <x:v>示意</x:v>
      </x:c>
      <x:c r="U292" s="16" t="n">
        <x:v>1</x:v>
      </x:c>
      <x:c r="V292" s="4" t="str">
        <x:v>低</x:v>
      </x:c>
      <x:c r="W292" s="4" t="str">
        <x:v>SKU7000933第8行牌價1,000、促銷499 THB/次；第15行浴室工程一年保固；商品為勘查、不是完整裝修總價。</x:v>
      </x:c>
      <x:c r="X292" s="4" t="str">
        <x:v>依協議僅一個獨立來源，整合信心低；來源A級不自動等於高信心。</x:v>
      </x:c>
      <x:c r="Y292" s="37" t="d">
        <x:v>2026-10-09T00:00:00.000Z</x:v>
      </x:c>
      <x:c r="Z292" s="4" t="str">
        <x:v>turn242view2</x:v>
      </x:c>
    </x:row>
    <x:row r="293" ht="38" customHeight="1">
      <x:c r="A293" s="4" t="str">
        <x:v>M0292</x:v>
      </x:c>
      <x:c r="B293" s="4" t="str">
        <x:v>TH</x:v>
      </x:c>
      <x:c r="C293" s="4" t="str">
        <x:v>HomePro浴室勘查促銷價</x:v>
      </x:c>
      <x:c r="D293" s="17" t="n">
        <x:v>499</x:v>
      </x:c>
      <x:c r="E293" s="4" t="str">
        <x:v>THB/次</x:v>
      </x:c>
      <x:c r="F293" s="16" t="str">
        <x:v>2026查閱</x:v>
      </x:c>
      <x:c r="G293" s="4" t="str">
        <x:v>動態商家價格，可隨活動調整</x:v>
      </x:c>
      <x:c r="H293" s="4" t="str">
        <x:v>TH12</x:v>
      </x:c>
      <x:c r="I293" s="4" t="str">
        <x:v>https://shop4you.homepro.co.th/S032/web/302/7000933</x:v>
      </x:c>
      <x:c r="J293" s="4" t="str">
        <x:v>是</x:v>
      </x:c>
      <x:c r="K293" s="4" t="str">
        <x:v>是</x:v>
      </x:c>
      <x:c r="L293" s="4" t="str">
        <x:v>是</x:v>
      </x:c>
      <x:c r="M293" s="4" t="str">
        <x:v>是</x:v>
      </x:c>
      <x:c r="N293" s="4" t="str">
        <x:v>pass</x:v>
      </x:c>
      <x:c r="O293" s="4" t="str">
        <x:v>C</x:v>
      </x:c>
      <x:c r="P293" s="4" t="str">
        <x:v>是</x:v>
      </x:c>
      <x:c r="Q293" s="17" t="n">
        <x:v>499</x:v>
      </x:c>
      <x:c r="R293" s="16" t="str">
        <x:v>2026查閱</x:v>
      </x:c>
      <x:c r="S293" s="4" t="str">
        <x:v>【示意】動態商家價格，可隨活動調整；獨立來源1；來源C級</x:v>
      </x:c>
      <x:c r="T293" s="4" t="str">
        <x:v>示意</x:v>
      </x:c>
      <x:c r="U293" s="16" t="n">
        <x:v>1</x:v>
      </x:c>
      <x:c r="V293" s="4" t="str">
        <x:v>低</x:v>
      </x:c>
      <x:c r="W293" s="4" t="str">
        <x:v>SKU7000933第8行牌價1,000、促銷499 THB/次；第15行浴室工程一年保固；商品為勘查、不是完整裝修總價。</x:v>
      </x:c>
      <x:c r="X293" s="4" t="str">
        <x:v>依協議僅一個獨立來源，整合信心低；來源A級不自動等於高信心。</x:v>
      </x:c>
      <x:c r="Y293" s="37" t="d">
        <x:v>2026-10-09T00:00:00.000Z</x:v>
      </x:c>
      <x:c r="Z293" s="4" t="str">
        <x:v>turn242view2</x:v>
      </x:c>
    </x:row>
    <x:row r="294" ht="38" customHeight="1">
      <x:c r="A294" s="4" t="str">
        <x:v>M0293</x:v>
      </x:c>
      <x:c r="B294" s="4" t="str">
        <x:v>TH</x:v>
      </x:c>
      <x:c r="C294" s="4" t="str">
        <x:v>HomePro浴室服務保固</x:v>
      </x:c>
      <x:c r="D294" s="17" t="n">
        <x:v>1</x:v>
      </x:c>
      <x:c r="E294" s="4" t="str">
        <x:v>年</x:v>
      </x:c>
      <x:c r="F294" s="16" t="str">
        <x:v>2026查閱</x:v>
      </x:c>
      <x:c r="G294" s="4" t="str">
        <x:v>該商品方案，非泰國一律法定保固</x:v>
      </x:c>
      <x:c r="H294" s="4" t="str">
        <x:v>TH12</x:v>
      </x:c>
      <x:c r="I294" s="4" t="str">
        <x:v>https://shop4you.homepro.co.th/S032/web/302/7000933</x:v>
      </x:c>
      <x:c r="J294" s="4" t="str">
        <x:v>是</x:v>
      </x:c>
      <x:c r="K294" s="4" t="str">
        <x:v>是</x:v>
      </x:c>
      <x:c r="L294" s="4" t="str">
        <x:v>是</x:v>
      </x:c>
      <x:c r="M294" s="4" t="str">
        <x:v>是</x:v>
      </x:c>
      <x:c r="N294" s="4" t="str">
        <x:v>pass</x:v>
      </x:c>
      <x:c r="O294" s="4" t="str">
        <x:v>C</x:v>
      </x:c>
      <x:c r="P294" s="4" t="str">
        <x:v>是</x:v>
      </x:c>
      <x:c r="Q294" s="17" t="n">
        <x:v>1</x:v>
      </x:c>
      <x:c r="R294" s="16" t="str">
        <x:v>2026查閱</x:v>
      </x:c>
      <x:c r="S294" s="4" t="str">
        <x:v>【示意】該商品方案，非泰國一律法定保固；獨立來源1；來源C級</x:v>
      </x:c>
      <x:c r="T294" s="4" t="str">
        <x:v>示意</x:v>
      </x:c>
      <x:c r="U294" s="16" t="n">
        <x:v>1</x:v>
      </x:c>
      <x:c r="V294" s="4" t="str">
        <x:v>低</x:v>
      </x:c>
      <x:c r="W294" s="4" t="str">
        <x:v>SKU7000933第8行牌價1,000、促銷499 THB/次；第15行浴室工程一年保固；商品為勘查、不是完整裝修總價。</x:v>
      </x:c>
      <x:c r="X294" s="4" t="str">
        <x:v>依協議僅一個獨立來源，整合信心低；來源A級不自動等於高信心。</x:v>
      </x:c>
      <x:c r="Y294" s="37" t="d">
        <x:v>2026-10-09T00:00:00.000Z</x:v>
      </x:c>
      <x:c r="Z294" s="4" t="str">
        <x:v>turn242view2</x:v>
      </x:c>
    </x:row>
    <x:row r="295" ht="38" customHeight="1">
      <x:c r="A295" s="4" t="str">
        <x:v>M0294</x:v>
      </x:c>
      <x:c r="B295" s="4" t="str">
        <x:v>TH</x:v>
      </x:c>
      <x:c r="C295" s="4" t="str">
        <x:v>SCG HOME SPC安裝最低面積</x:v>
      </x:c>
      <x:c r="D295" s="17" t="n">
        <x:v>30</x:v>
      </x:c>
      <x:c r="E295" s="4" t="str">
        <x:v>m²</x:v>
      </x:c>
      <x:c r="F295" s="16" t="str">
        <x:v>2026查閱</x:v>
      </x:c>
      <x:c r="G295" s="4" t="str">
        <x:v>個別方案；未達者依不足面積加價，不能解讀為全屋單價</x:v>
      </x:c>
      <x:c r="H295" s="4" t="str">
        <x:v>TH13</x:v>
      </x:c>
      <x:c r="I295" s="4" t="str">
        <x:v>https://www.scghome.com/homesolution/flooring/indoor-flooring-spc-laminate/spc-flooring-unix</x:v>
      </x:c>
      <x:c r="J295" s="4" t="str">
        <x:v>是</x:v>
      </x:c>
      <x:c r="K295" s="4" t="str">
        <x:v>是</x:v>
      </x:c>
      <x:c r="L295" s="4" t="str">
        <x:v>是</x:v>
      </x:c>
      <x:c r="M295" s="4" t="str">
        <x:v>是</x:v>
      </x:c>
      <x:c r="N295" s="4" t="str">
        <x:v>pass</x:v>
      </x:c>
      <x:c r="O295" s="4" t="str">
        <x:v>C</x:v>
      </x:c>
      <x:c r="P295" s="4" t="str">
        <x:v>是</x:v>
      </x:c>
      <x:c r="Q295" s="17" t="n">
        <x:v>30</x:v>
      </x:c>
      <x:c r="R295" s="16" t="str">
        <x:v>2026查閱</x:v>
      </x:c>
      <x:c r="S295" s="4" t="str">
        <x:v>【示意】個別方案；未達者依不足面積加價，不能解讀為全屋單價；獨立來源1；來源C級</x:v>
      </x:c>
      <x:c r="T295" s="4" t="str">
        <x:v>示意</x:v>
      </x:c>
      <x:c r="U295" s="16" t="n">
        <x:v>1</x:v>
      </x:c>
      <x:c r="V295" s="4" t="str">
        <x:v>低</x:v>
      </x:c>
      <x:c r="W295" s="4" t="str">
        <x:v>條款第58–66行：最低30m²、不足面積每m²加200 THB、工地未備妥額外回訪每次2,000 THB；排除找平及垃圾等。</x:v>
      </x:c>
      <x:c r="X295" s="4" t="str">
        <x:v>依協議僅一個獨立來源，整合信心低；來源A級不自動等於高信心。</x:v>
      </x:c>
      <x:c r="Y295" s="37" t="d">
        <x:v>2026-10-09T00:00:00.000Z</x:v>
      </x:c>
      <x:c r="Z295" s="4" t="str">
        <x:v>turn246view1</x:v>
      </x:c>
    </x:row>
    <x:row r="296" ht="38" customHeight="1">
      <x:c r="A296" s="4" t="str">
        <x:v>M0295</x:v>
      </x:c>
      <x:c r="B296" s="4" t="str">
        <x:v>TH</x:v>
      </x:c>
      <x:c r="C296" s="4" t="str">
        <x:v>SCG HOME SPC小案不足面積附加價</x:v>
      </x:c>
      <x:c r="D296" s="17" t="n">
        <x:v>200</x:v>
      </x:c>
      <x:c r="E296" s="4" t="str">
        <x:v>THB/m²</x:v>
      </x:c>
      <x:c r="F296" s="16" t="str">
        <x:v>2026查閱</x:v>
      </x:c>
      <x:c r="G296" s="4" t="str">
        <x:v>不足最低面積的差額計價；不含基礎材料安裝價</x:v>
      </x:c>
      <x:c r="H296" s="4" t="str">
        <x:v>TH13</x:v>
      </x:c>
      <x:c r="I296" s="4" t="str">
        <x:v>https://www.scghome.com/homesolution/flooring/indoor-flooring-spc-laminate/spc-flooring-unix</x:v>
      </x:c>
      <x:c r="J296" s="4" t="str">
        <x:v>是</x:v>
      </x:c>
      <x:c r="K296" s="4" t="str">
        <x:v>是</x:v>
      </x:c>
      <x:c r="L296" s="4" t="str">
        <x:v>是</x:v>
      </x:c>
      <x:c r="M296" s="4" t="str">
        <x:v>是</x:v>
      </x:c>
      <x:c r="N296" s="4" t="str">
        <x:v>pass</x:v>
      </x:c>
      <x:c r="O296" s="4" t="str">
        <x:v>C</x:v>
      </x:c>
      <x:c r="P296" s="4" t="str">
        <x:v>是</x:v>
      </x:c>
      <x:c r="Q296" s="17" t="n">
        <x:v>200</x:v>
      </x:c>
      <x:c r="R296" s="16" t="str">
        <x:v>2026查閱</x:v>
      </x:c>
      <x:c r="S296" s="4" t="str">
        <x:v>【示意】不足最低面積的差額計價；不含基礎材料安裝價；獨立來源1；來源C級</x:v>
      </x:c>
      <x:c r="T296" s="4" t="str">
        <x:v>示意</x:v>
      </x:c>
      <x:c r="U296" s="16" t="n">
        <x:v>1</x:v>
      </x:c>
      <x:c r="V296" s="4" t="str">
        <x:v>低</x:v>
      </x:c>
      <x:c r="W296" s="4" t="str">
        <x:v>條款第58–66行：最低30m²、不足面積每m²加200 THB、工地未備妥額外回訪每次2,000 THB；排除找平及垃圾等。</x:v>
      </x:c>
      <x:c r="X296" s="4" t="str">
        <x:v>依協議僅一個獨立來源，整合信心低；來源A級不自動等於高信心。</x:v>
      </x:c>
      <x:c r="Y296" s="37" t="d">
        <x:v>2026-10-09T00:00:00.000Z</x:v>
      </x:c>
      <x:c r="Z296" s="4" t="str">
        <x:v>turn246view1</x:v>
      </x:c>
    </x:row>
    <x:row r="297" ht="38" customHeight="1">
      <x:c r="A297" s="4" t="str">
        <x:v>M0296</x:v>
      </x:c>
      <x:c r="B297" s="4" t="str">
        <x:v>TH</x:v>
      </x:c>
      <x:c r="C297" s="4" t="str">
        <x:v>SCG HOME未備妥工地額外回訪費</x:v>
      </x:c>
      <x:c r="D297" s="17" t="n">
        <x:v>2000</x:v>
      </x:c>
      <x:c r="E297" s="4" t="str">
        <x:v>THB/次</x:v>
      </x:c>
      <x:c r="F297" s="16" t="str">
        <x:v>2026查閱</x:v>
      </x:c>
      <x:c r="G297" s="4" t="str">
        <x:v>個別方案，不含找平、垃圾等</x:v>
      </x:c>
      <x:c r="H297" s="4" t="str">
        <x:v>TH13</x:v>
      </x:c>
      <x:c r="I297" s="4" t="str">
        <x:v>https://www.scghome.com/homesolution/flooring/indoor-flooring-spc-laminate/spc-flooring-unix</x:v>
      </x:c>
      <x:c r="J297" s="4" t="str">
        <x:v>是</x:v>
      </x:c>
      <x:c r="K297" s="4" t="str">
        <x:v>是</x:v>
      </x:c>
      <x:c r="L297" s="4" t="str">
        <x:v>是</x:v>
      </x:c>
      <x:c r="M297" s="4" t="str">
        <x:v>是</x:v>
      </x:c>
      <x:c r="N297" s="4" t="str">
        <x:v>pass</x:v>
      </x:c>
      <x:c r="O297" s="4" t="str">
        <x:v>C</x:v>
      </x:c>
      <x:c r="P297" s="4" t="str">
        <x:v>是</x:v>
      </x:c>
      <x:c r="Q297" s="17" t="n">
        <x:v>2000</x:v>
      </x:c>
      <x:c r="R297" s="16" t="str">
        <x:v>2026查閱</x:v>
      </x:c>
      <x:c r="S297" s="4" t="str">
        <x:v>【示意】個別方案，不含找平、垃圾等；獨立來源1；來源C級</x:v>
      </x:c>
      <x:c r="T297" s="4" t="str">
        <x:v>示意</x:v>
      </x:c>
      <x:c r="U297" s="16" t="n">
        <x:v>1</x:v>
      </x:c>
      <x:c r="V297" s="4" t="str">
        <x:v>低</x:v>
      </x:c>
      <x:c r="W297" s="4" t="str">
        <x:v>條款第58–66行：最低30m²、不足面積每m²加200 THB、工地未備妥額外回訪每次2,000 THB；排除找平及垃圾等。</x:v>
      </x:c>
      <x:c r="X297" s="4" t="str">
        <x:v>依協議僅一個獨立來源，整合信心低；來源A級不自動等於高信心。</x:v>
      </x:c>
      <x:c r="Y297" s="37" t="d">
        <x:v>2026-10-09T00:00:00.000Z</x:v>
      </x:c>
      <x:c r="Z297" s="4" t="str">
        <x:v>turn246view1</x:v>
      </x:c>
    </x:row>
    <x:row r="298" ht="52" customHeight="1">
      <x:c r="A298" s="4" t="str">
        <x:v>M0297</x:v>
      </x:c>
      <x:c r="B298" s="4" t="str">
        <x:v>TH</x:v>
      </x:c>
      <x:c r="C298" s="4" t="str">
        <x:v>Home improvement零售市場估计</x:v>
      </x:c>
      <x:c r="D298" s="19" t="n">
        <x:v>182.6</x:v>
      </x:c>
      <x:c r="E298" s="4" t="str">
        <x:v>十億THB</x:v>
      </x:c>
      <x:c r="F298" s="16" t="n">
        <x:v>2024</x:v>
      </x:c>
      <x:c r="G298" s="4" t="str">
        <x:v>MRDIY投資人公告所引產業口徑，含家用品等；非純翻修工程</x:v>
      </x:c>
      <x:c r="H298" s="4" t="str">
        <x:v>TH14</x:v>
      </x:c>
      <x:c r="I298" s="4" t="str">
        <x:v>https://investor.mrdiy.co.th/en/updates/ir-press-release/145/mr-diy-holding-thailand-raises-up-to-thb56-billion-usd173-million-largest-ipo-by-market-capitalisation-on-set-in-the-last-3-years</x:v>
      </x:c>
      <x:c r="J298" s="4" t="str">
        <x:v>是</x:v>
      </x:c>
      <x:c r="K298" s="4" t="str">
        <x:v>是</x:v>
      </x:c>
      <x:c r="L298" s="4" t="str">
        <x:v>是</x:v>
      </x:c>
      <x:c r="M298" s="4" t="str">
        <x:v>是</x:v>
      </x:c>
      <x:c r="N298" s="4" t="str">
        <x:v>pass</x:v>
      </x:c>
      <x:c r="O298" s="4" t="str">
        <x:v>C</x:v>
      </x:c>
      <x:c r="P298" s="4" t="str">
        <x:v>是</x:v>
      </x:c>
      <x:c r="Q298" s="19" t="n">
        <x:v>182.6</x:v>
      </x:c>
      <x:c r="R298" s="16" t="n">
        <x:v>2024</x:v>
      </x:c>
      <x:c r="S298" s="4" t="str">
        <x:v>【示意】MRDIY投資人公告所引產業口徑，含家用品等；非純翻修工程；獨立來源1；來源C級</x:v>
      </x:c>
      <x:c r="T298" s="4" t="str">
        <x:v>示意</x:v>
      </x:c>
      <x:c r="U298" s="16" t="n">
        <x:v>1</x:v>
      </x:c>
      <x:c r="V298" s="4" t="str">
        <x:v>低</x:v>
      </x:c>
      <x:c r="W298" s="4" t="str">
        <x:v>2025-10-15公司IPO新聞稿第149–150行：市場2024 THB182.6bn、2029預測237.8bn；公司2024收入16.2bn、淨利1.7bn。屬發行人公告約數。</x:v>
      </x:c>
      <x:c r="X298" s="4" t="str">
        <x:v>依協議僅一個獨立來源，整合信心低；來源A級不自動等於高信心。</x:v>
      </x:c>
      <x:c r="Y298" s="37" t="d">
        <x:v>2026-10-09T00:00:00.000Z</x:v>
      </x:c>
      <x:c r="Z298" s="4" t="str">
        <x:v>turn238view0</x:v>
      </x:c>
    </x:row>
    <x:row r="299" ht="52" customHeight="1">
      <x:c r="A299" s="4" t="str">
        <x:v>M0298</x:v>
      </x:c>
      <x:c r="B299" s="4" t="str">
        <x:v>TH</x:v>
      </x:c>
      <x:c r="C299" s="4" t="str">
        <x:v>Home improvement零售市場預測</x:v>
      </x:c>
      <x:c r="D299" s="19" t="n">
        <x:v>237.8</x:v>
      </x:c>
      <x:c r="E299" s="4" t="str">
        <x:v>十億THB</x:v>
      </x:c>
      <x:c r="F299" s="16" t="n">
        <x:v>2029</x:v>
      </x:c>
      <x:c r="G299" s="4" t="str">
        <x:v>公告預測，非實際，非2030外推</x:v>
      </x:c>
      <x:c r="H299" s="4" t="str">
        <x:v>TH14</x:v>
      </x:c>
      <x:c r="I299" s="4" t="str">
        <x:v>https://investor.mrdiy.co.th/en/updates/ir-press-release/145/mr-diy-holding-thailand-raises-up-to-thb56-billion-usd173-million-largest-ipo-by-market-capitalisation-on-set-in-the-last-3-years</x:v>
      </x:c>
      <x:c r="J299" s="4" t="str">
        <x:v>是</x:v>
      </x:c>
      <x:c r="K299" s="4" t="str">
        <x:v>是</x:v>
      </x:c>
      <x:c r="L299" s="4" t="str">
        <x:v>是</x:v>
      </x:c>
      <x:c r="M299" s="4" t="str">
        <x:v>是</x:v>
      </x:c>
      <x:c r="N299" s="4" t="str">
        <x:v>pass</x:v>
      </x:c>
      <x:c r="O299" s="4" t="str">
        <x:v>C</x:v>
      </x:c>
      <x:c r="P299" s="4" t="str">
        <x:v>是</x:v>
      </x:c>
      <x:c r="Q299" s="19" t="n">
        <x:v>237.8</x:v>
      </x:c>
      <x:c r="R299" s="16" t="n">
        <x:v>2029</x:v>
      </x:c>
      <x:c r="S299" s="4" t="str">
        <x:v>【預測／示意】公告預測，非實際，非2030外推；獨立來源1；來源C級</x:v>
      </x:c>
      <x:c r="T299" s="4" t="str">
        <x:v>預測／示意</x:v>
      </x:c>
      <x:c r="U299" s="16" t="n">
        <x:v>1</x:v>
      </x:c>
      <x:c r="V299" s="4" t="str">
        <x:v>低</x:v>
      </x:c>
      <x:c r="W299" s="4" t="str">
        <x:v>2025-10-15公司IPO新聞稿第149–150行：市場2024 THB182.6bn、2029預測237.8bn；公司2024收入16.2bn、淨利1.7bn。屬發行人公告約數。</x:v>
      </x:c>
      <x:c r="X299" s="4" t="str">
        <x:v>依協議僅一個獨立來源，整合信心低；來源A級不自動等於高信心。</x:v>
      </x:c>
      <x:c r="Y299" s="37" t="d">
        <x:v>2026-10-09T00:00:00.000Z</x:v>
      </x:c>
      <x:c r="Z299" s="4" t="str">
        <x:v>turn238view0</x:v>
      </x:c>
    </x:row>
    <x:row r="300" ht="52" customHeight="1">
      <x:c r="A300" s="4" t="str">
        <x:v>M0299</x:v>
      </x:c>
      <x:c r="B300" s="4" t="str">
        <x:v>TH</x:v>
      </x:c>
      <x:c r="C300" s="4" t="str">
        <x:v>MRDIY Thailand營收</x:v>
      </x:c>
      <x:c r="D300" s="19" t="n">
        <x:v>16.2</x:v>
      </x:c>
      <x:c r="E300" s="4" t="str">
        <x:v>十億THB</x:v>
      </x:c>
      <x:c r="F300" s="16" t="n">
        <x:v>2024</x:v>
      </x:c>
      <x:c r="G300" s="4" t="str">
        <x:v>Issuer公告約數；零售，不是裝修</x:v>
      </x:c>
      <x:c r="H300" s="4" t="str">
        <x:v>TH14</x:v>
      </x:c>
      <x:c r="I300" s="4" t="str">
        <x:v>https://investor.mrdiy.co.th/en/updates/ir-press-release/145/mr-diy-holding-thailand-raises-up-to-thb56-billion-usd173-million-largest-ipo-by-market-capitalisation-on-set-in-the-last-3-years</x:v>
      </x:c>
      <x:c r="J300" s="4" t="str">
        <x:v>是</x:v>
      </x:c>
      <x:c r="K300" s="4" t="str">
        <x:v>是</x:v>
      </x:c>
      <x:c r="L300" s="4" t="str">
        <x:v>是</x:v>
      </x:c>
      <x:c r="M300" s="4" t="str">
        <x:v>是</x:v>
      </x:c>
      <x:c r="N300" s="4" t="str">
        <x:v>pass</x:v>
      </x:c>
      <x:c r="O300" s="4" t="str">
        <x:v>C</x:v>
      </x:c>
      <x:c r="P300" s="4" t="str">
        <x:v>是</x:v>
      </x:c>
      <x:c r="Q300" s="19" t="n">
        <x:v>16.2</x:v>
      </x:c>
      <x:c r="R300" s="16" t="n">
        <x:v>2024</x:v>
      </x:c>
      <x:c r="S300" s="4" t="str">
        <x:v>【示意】Issuer公告約數；零售，不是裝修；獨立來源1；來源C級</x:v>
      </x:c>
      <x:c r="T300" s="4" t="str">
        <x:v>示意</x:v>
      </x:c>
      <x:c r="U300" s="16" t="n">
        <x:v>1</x:v>
      </x:c>
      <x:c r="V300" s="4" t="str">
        <x:v>低</x:v>
      </x:c>
      <x:c r="W300" s="4" t="str">
        <x:v>2025-10-15公司IPO新聞稿第149–150行：市場2024 THB182.6bn、2029預測237.8bn；公司2024收入16.2bn、淨利1.7bn。屬發行人公告約數。</x:v>
      </x:c>
      <x:c r="X300" s="4" t="str">
        <x:v>依協議僅一個獨立來源，整合信心低；來源A級不自動等於高信心。</x:v>
      </x:c>
      <x:c r="Y300" s="37" t="d">
        <x:v>2026-10-09T00:00:00.000Z</x:v>
      </x:c>
      <x:c r="Z300" s="4" t="str">
        <x:v>turn238view0</x:v>
      </x:c>
    </x:row>
    <x:row r="301" ht="52" customHeight="1">
      <x:c r="A301" s="4" t="str">
        <x:v>M0300</x:v>
      </x:c>
      <x:c r="B301" s="4" t="str">
        <x:v>TH</x:v>
      </x:c>
      <x:c r="C301" s="4" t="str">
        <x:v>MRDIY Thailand淨利</x:v>
      </x:c>
      <x:c r="D301" s="19" t="n">
        <x:v>1.7</x:v>
      </x:c>
      <x:c r="E301" s="4" t="str">
        <x:v>十億THB</x:v>
      </x:c>
      <x:c r="F301" s="16" t="n">
        <x:v>2024</x:v>
      </x:c>
      <x:c r="G301" s="4" t="str">
        <x:v>Issuer公告約數</x:v>
      </x:c>
      <x:c r="H301" s="4" t="str">
        <x:v>TH14</x:v>
      </x:c>
      <x:c r="I301" s="4" t="str">
        <x:v>https://investor.mrdiy.co.th/en/updates/ir-press-release/145/mr-diy-holding-thailand-raises-up-to-thb56-billion-usd173-million-largest-ipo-by-market-capitalisation-on-set-in-the-last-3-years</x:v>
      </x:c>
      <x:c r="J301" s="4" t="str">
        <x:v>是</x:v>
      </x:c>
      <x:c r="K301" s="4" t="str">
        <x:v>是</x:v>
      </x:c>
      <x:c r="L301" s="4" t="str">
        <x:v>是</x:v>
      </x:c>
      <x:c r="M301" s="4" t="str">
        <x:v>是</x:v>
      </x:c>
      <x:c r="N301" s="4" t="str">
        <x:v>pass</x:v>
      </x:c>
      <x:c r="O301" s="4" t="str">
        <x:v>C</x:v>
      </x:c>
      <x:c r="P301" s="4" t="str">
        <x:v>是</x:v>
      </x:c>
      <x:c r="Q301" s="19" t="n">
        <x:v>1.7</x:v>
      </x:c>
      <x:c r="R301" s="16" t="n">
        <x:v>2024</x:v>
      </x:c>
      <x:c r="S301" s="4" t="str">
        <x:v>【示意】Issuer公告約數；獨立來源1；來源C級</x:v>
      </x:c>
      <x:c r="T301" s="4" t="str">
        <x:v>示意</x:v>
      </x:c>
      <x:c r="U301" s="16" t="n">
        <x:v>1</x:v>
      </x:c>
      <x:c r="V301" s="4" t="str">
        <x:v>低</x:v>
      </x:c>
      <x:c r="W301" s="4" t="str">
        <x:v>2025-10-15公司IPO新聞稿第149–150行：市場2024 THB182.6bn、2029預測237.8bn；公司2024收入16.2bn、淨利1.7bn。屬發行人公告約數。</x:v>
      </x:c>
      <x:c r="X301" s="4" t="str">
        <x:v>依協議僅一個獨立來源，整合信心低；來源A級不自動等於高信心。</x:v>
      </x:c>
      <x:c r="Y301" s="37" t="d">
        <x:v>2026-10-09T00:00:00.000Z</x:v>
      </x:c>
      <x:c r="Z301" s="4" t="str">
        <x:v>turn238view0</x:v>
      </x:c>
    </x:row>
    <x:row r="302" ht="38" customHeight="1">
      <x:c r="A302" s="4" t="str">
        <x:v>M0301</x:v>
      </x:c>
      <x:c r="B302" s="4" t="str">
        <x:v>TH</x:v>
      </x:c>
      <x:c r="C302" s="4" t="str">
        <x:v>Home decor商品市場估计</x:v>
      </x:c>
      <x:c r="D302" s="19" t="n">
        <x:v>5086.7</x:v>
      </x:c>
      <x:c r="E302" s="4" t="str">
        <x:v>百萬USD</x:v>
      </x:c>
      <x:c r="F302" s="16" t="n">
        <x:v>2025</x:v>
      </x:c>
      <x:c r="G302" s="4" t="str">
        <x:v>家具、家紡、地板、壁飾、照明等；不等於住宅施工</x:v>
      </x:c>
      <x:c r="H302" s="4" t="str">
        <x:v>TH20</x:v>
      </x:c>
      <x:c r="I302" s="4" t="str">
        <x:v>https://www.imarcgroup.com/thailand-home-decor-market</x:v>
      </x:c>
      <x:c r="J302" s="4" t="str">
        <x:v>是</x:v>
      </x:c>
      <x:c r="K302" s="4" t="str">
        <x:v>是</x:v>
      </x:c>
      <x:c r="L302" s="4" t="str">
        <x:v>是</x:v>
      </x:c>
      <x:c r="M302" s="4" t="str">
        <x:v>是</x:v>
      </x:c>
      <x:c r="N302" s="4" t="str">
        <x:v>pass</x:v>
      </x:c>
      <x:c r="O302" s="4" t="str">
        <x:v>C</x:v>
      </x:c>
      <x:c r="P302" s="4" t="str">
        <x:v>是</x:v>
      </x:c>
      <x:c r="Q302" s="19" t="n">
        <x:v>5086.7</x:v>
      </x:c>
      <x:c r="R302" s="16" t="n">
        <x:v>2025</x:v>
      </x:c>
      <x:c r="S302" s="4" t="str">
        <x:v>【示意】家具、家紡、地板、壁飾、照明等；不等於住宅施工；獨立來源1；來源C級</x:v>
      </x:c>
      <x:c r="T302" s="4" t="str">
        <x:v>示意</x:v>
      </x:c>
      <x:c r="U302" s="16" t="n">
        <x:v>1</x:v>
      </x:c>
      <x:c r="V302" s="4" t="str">
        <x:v>低</x:v>
      </x:c>
      <x:c r="W302" s="4" t="str">
        <x:v>IMARC表2025 USD5,086.7m；2034預測USD7,033.9m，產品類型含家具、家紡、地板及其他家飾，非施工。</x:v>
      </x:c>
      <x:c r="X302" s="4" t="str">
        <x:v>依協議僅一個獨立來源，整合信心低；來源A級不自動等於高信心。</x:v>
      </x:c>
      <x:c r="Y302" s="37" t="d">
        <x:v>2026-10-09T00:00:00.000Z</x:v>
      </x:c>
      <x:c r="Z302" s="4" t="str">
        <x:v>turn242view4</x:v>
      </x:c>
    </x:row>
    <x:row r="303" ht="38" customHeight="1">
      <x:c r="A303" s="4" t="str">
        <x:v>M0302</x:v>
      </x:c>
      <x:c r="B303" s="4" t="str">
        <x:v>TH</x:v>
      </x:c>
      <x:c r="C303" s="4" t="str">
        <x:v>Home decor商品市場預測</x:v>
      </x:c>
      <x:c r="D303" s="19" t="n">
        <x:v>7033.9</x:v>
      </x:c>
      <x:c r="E303" s="4" t="str">
        <x:v>百萬USD</x:v>
      </x:c>
      <x:c r="F303" s="16" t="n">
        <x:v>2034</x:v>
      </x:c>
      <x:c r="G303" s="4" t="str">
        <x:v>IMARC2026–34預測；不冒充2030值</x:v>
      </x:c>
      <x:c r="H303" s="4" t="str">
        <x:v>TH20</x:v>
      </x:c>
      <x:c r="I303" s="4" t="str">
        <x:v>https://www.imarcgroup.com/thailand-home-decor-market</x:v>
      </x:c>
      <x:c r="J303" s="4" t="str">
        <x:v>是</x:v>
      </x:c>
      <x:c r="K303" s="4" t="str">
        <x:v>是</x:v>
      </x:c>
      <x:c r="L303" s="4" t="str">
        <x:v>是</x:v>
      </x:c>
      <x:c r="M303" s="4" t="str">
        <x:v>是</x:v>
      </x:c>
      <x:c r="N303" s="4" t="str">
        <x:v>pass</x:v>
      </x:c>
      <x:c r="O303" s="4" t="str">
        <x:v>C</x:v>
      </x:c>
      <x:c r="P303" s="4" t="str">
        <x:v>是</x:v>
      </x:c>
      <x:c r="Q303" s="19" t="n">
        <x:v>7033.9</x:v>
      </x:c>
      <x:c r="R303" s="16" t="n">
        <x:v>2034</x:v>
      </x:c>
      <x:c r="S303" s="4" t="str">
        <x:v>【預測／示意】IMARC2026–34預測；不冒充2030值；獨立來源1；來源C級</x:v>
      </x:c>
      <x:c r="T303" s="4" t="str">
        <x:v>預測／示意</x:v>
      </x:c>
      <x:c r="U303" s="16" t="n">
        <x:v>1</x:v>
      </x:c>
      <x:c r="V303" s="4" t="str">
        <x:v>低</x:v>
      </x:c>
      <x:c r="W303" s="4" t="str">
        <x:v>IMARC表2025 USD5,086.7m；2034預測USD7,033.9m，產品類型含家具、家紡、地板及其他家飾，非施工。</x:v>
      </x:c>
      <x:c r="X303" s="4" t="str">
        <x:v>依協議僅一個獨立來源，整合信心低；來源A級不自動等於高信心。</x:v>
      </x:c>
      <x:c r="Y303" s="37" t="d">
        <x:v>2026-10-09T00:00:00.000Z</x:v>
      </x:c>
      <x:c r="Z303" s="4" t="str">
        <x:v>turn242view4</x:v>
      </x:c>
    </x:row>
    <x:row r="304" ht="66" customHeight="1">
      <x:c r="A304" s="4" t="str">
        <x:v>M0303</x:v>
      </x:c>
      <x:c r="B304" s="4" t="str">
        <x:v>TH</x:v>
      </x:c>
      <x:c r="C304" s="4" t="str">
        <x:v>最低日薪下限</x:v>
      </x:c>
      <x:c r="D304" s="17" t="n">
        <x:v>337</x:v>
      </x:c>
      <x:c r="E304" s="4" t="str">
        <x:v>THB/日</x:v>
      </x:c>
      <x:c r="F304" s="16" t="str">
        <x:v>2025-07-01起</x:v>
      </x:c>
      <x:c r="G304" s="4" t="str">
        <x:v>依區域／行業；非熟練師傅市場行情</x:v>
      </x:c>
      <x:c r="H304" s="4" t="str">
        <x:v>TH24</x:v>
      </x:c>
      <x:c r="I304" s="4" t="str">
        <x:v>https://www.mol.go.th/wp-content/uploads/sites/2/2025/07/%E0%B8%9B%E0%B8%A3%E0%B8%81%E0%B8%B2%E0%B8%A8-%E0%B8%84%E0%B8%88.%E0%B8%82%E0%B8%B1%E0%B9%89%E0%B8%99%E0%B8%95%E0%B9%88%E0%B8%B3-%E0%B8%8914-%E0%B8%A3%E0%B8%A7%E0%B8%A1.pdf</x:v>
      </x:c>
      <x:c r="J304" s="4" t="str">
        <x:v>否</x:v>
      </x:c>
      <x:c r="K304" s="4" t="str">
        <x:v>未確認</x:v>
      </x:c>
      <x:c r="L304" s="4" t="str">
        <x:v>未確認</x:v>
      </x:c>
      <x:c r="M304" s="4" t="str">
        <x:v>未確認</x:v>
      </x:c>
      <x:c r="N304" s="4" t="str">
        <x:v>fail</x:v>
      </x:c>
      <x:c r="O304" s="4" t="str">
        <x:v>D</x:v>
      </x:c>
      <x:c r="P304" s="4" t="str">
        <x:v>否</x:v>
      </x:c>
      <x:c r="Q304" s="14" t="str"/>
      <x:c r="R304" s="16" t="str"/>
      <x:c r="S304" s="4" t="str"/>
      <x:c r="T304" s="4" t="str">
        <x:v>不採用</x:v>
      </x:c>
      <x:c r="U304" s="16" t="n">
        <x:v>1</x:v>
      </x:c>
      <x:c r="V304" s="4" t="str">
        <x:v>低</x:v>
      </x:c>
      <x:c r="W304" s="4" t="str">
        <x:v>原PDF本輪工具開啟失敗；直接下載僅957 bytes HTML防護頁。不得以既有opened:true通過。另增TH25主管機關HTML核對。</x:v>
      </x:c>
      <x:c r="X304" s="4" t="str">
        <x:v>原列保留稽核，不收入可採用指標；改見替代來源MY24／TH25對應列（同源，非三角驗證）。</x:v>
      </x:c>
      <x:c r="Y304" s="37" t="d">
        <x:v>2026-10-09T00:00:00.000Z</x:v>
      </x:c>
      <x:c r="Z304" s="4" t="str">
        <x:v>turn238view10</x:v>
      </x:c>
    </x:row>
    <x:row r="305" ht="66" customHeight="1">
      <x:c r="A305" s="4" t="str">
        <x:v>M0304</x:v>
      </x:c>
      <x:c r="B305" s="4" t="str">
        <x:v>TH</x:v>
      </x:c>
      <x:c r="C305" s="4" t="str">
        <x:v>曼谷最低日薪</x:v>
      </x:c>
      <x:c r="D305" s="17" t="n">
        <x:v>400</x:v>
      </x:c>
      <x:c r="E305" s="4" t="str">
        <x:v>THB/日</x:v>
      </x:c>
      <x:c r="F305" s="16" t="str">
        <x:v>2025-07-01起</x:v>
      </x:c>
      <x:c r="G305" s="4" t="str">
        <x:v>法定門檻，不是木工／水電報價</x:v>
      </x:c>
      <x:c r="H305" s="4" t="str">
        <x:v>TH24</x:v>
      </x:c>
      <x:c r="I305" s="4" t="str">
        <x:v>https://www.mol.go.th/wp-content/uploads/sites/2/2025/07/%E0%B8%9B%E0%B8%A3%E0%B8%81%E0%B8%B2%E0%B8%A8-%E0%B8%84%E0%B8%88.%E0%B8%82%E0%B8%B1%E0%B9%89%E0%B8%99%E0%B8%95%E0%B9%88%E0%B8%B3-%E0%B8%8914-%E0%B8%A3%E0%B8%A7%E0%B8%A1.pdf</x:v>
      </x:c>
      <x:c r="J305" s="4" t="str">
        <x:v>否</x:v>
      </x:c>
      <x:c r="K305" s="4" t="str">
        <x:v>未確認</x:v>
      </x:c>
      <x:c r="L305" s="4" t="str">
        <x:v>未確認</x:v>
      </x:c>
      <x:c r="M305" s="4" t="str">
        <x:v>未確認</x:v>
      </x:c>
      <x:c r="N305" s="4" t="str">
        <x:v>fail</x:v>
      </x:c>
      <x:c r="O305" s="4" t="str">
        <x:v>D</x:v>
      </x:c>
      <x:c r="P305" s="4" t="str">
        <x:v>否</x:v>
      </x:c>
      <x:c r="Q305" s="14" t="str"/>
      <x:c r="R305" s="16" t="str"/>
      <x:c r="S305" s="4" t="str"/>
      <x:c r="T305" s="4" t="str">
        <x:v>不採用</x:v>
      </x:c>
      <x:c r="U305" s="16" t="n">
        <x:v>1</x:v>
      </x:c>
      <x:c r="V305" s="4" t="str">
        <x:v>低</x:v>
      </x:c>
      <x:c r="W305" s="4" t="str">
        <x:v>原PDF本輪工具開啟失敗；直接下載僅957 bytes HTML防護頁。不得以既有opened:true通過。另增TH25主管機關HTML核對。</x:v>
      </x:c>
      <x:c r="X305" s="4" t="str">
        <x:v>原列保留稽核，不收入可採用指標；改見替代來源MY24／TH25對應列（同源，非三角驗證）。</x:v>
      </x:c>
      <x:c r="Y305" s="37" t="d">
        <x:v>2026-10-09T00:00:00.000Z</x:v>
      </x:c>
      <x:c r="Z305" s="4" t="str">
        <x:v>turn238view10</x:v>
      </x:c>
    </x:row>
    <x:row r="306" ht="38" customHeight="1">
      <x:c r="A306" s="4" t="str">
        <x:v>M0305</x:v>
      </x:c>
      <x:c r="B306" s="4" t="str">
        <x:v>TH</x:v>
      </x:c>
      <x:c r="C306" s="4" t="str">
        <x:v>曼谷商辦裝修成本</x:v>
      </x:c>
      <x:c r="D306" s="20" t="n">
        <x:v>979.5158479205846</x:v>
      </x:c>
      <x:c r="E306" s="4" t="str">
        <x:v>USD/m²</x:v>
      </x:c>
      <x:c r="F306" s="16" t="n">
        <x:v>2026</x:v>
      </x:c>
      <x:c r="G306" s="4" t="str">
        <x:v>C&amp;W 2026商辦fit-out，價格基準2025年12月；USD/ft²÷0.09290304，非住宅報價，報告自身匯率</x:v>
      </x:c>
      <x:c r="H306" s="4" t="str">
        <x:v>X02</x:v>
      </x:c>
      <x:c r="I306" s="4" t="str">
        <x:v>https://digital.cushmanwakefield.com/fitoutcostguide-03-2026-apac-regional-en-content-pds-office/30-31/</x:v>
      </x:c>
      <x:c r="J306" s="4" t="str">
        <x:v>是</x:v>
      </x:c>
      <x:c r="K306" s="4" t="str">
        <x:v>是</x:v>
      </x:c>
      <x:c r="L306" s="4" t="str">
        <x:v>是</x:v>
      </x:c>
      <x:c r="M306" s="4" t="str">
        <x:v>是</x:v>
      </x:c>
      <x:c r="N306" s="4" t="str">
        <x:v>pass</x:v>
      </x:c>
      <x:c r="O306" s="4" t="str">
        <x:v>B</x:v>
      </x:c>
      <x:c r="P306" s="4" t="str">
        <x:v>是</x:v>
      </x:c>
      <x:c r="Q306" s="20" t="n">
        <x:v>979.5158479205846</x:v>
      </x:c>
      <x:c r="R306" s="16" t="n">
        <x:v>2026</x:v>
      </x:c>
      <x:c r="S306" s="4" t="str">
        <x:v>【示意】C&amp;W 2026商辦fit-out，價格基準2025年12月；USD/ft²÷0.09290304，非住宅報價，報告自身匯率；獨立來源1；來源B級</x:v>
      </x:c>
      <x:c r="T306" s="4" t="str">
        <x:v>示意</x:v>
      </x:c>
      <x:c r="U306" s="16" t="n">
        <x:v>1</x:v>
      </x:c>
      <x:c r="V306" s="4" t="str">
        <x:v>低</x:v>
      </x:c>
      <x:c r="W306" s="4" t="str">
        <x:v>成本頁逐城讀USD/ft²；配合X11方法頁確定價格2025-12，報告2026。 曼谷=91USD/ft²，除0.09290304得979.5158479205846USD/m²；原幣30854THB/m²。</x:v>
      </x:c>
      <x:c r="X306" s="4" t="str">
        <x:v>單一獨立原始機構，依協議第4條低信心示意；A/B來源等級不等於已三角驗證。</x:v>
      </x:c>
      <x:c r="Y306" s="37" t="d">
        <x:v>2026-10-09T00:00:00.000Z</x:v>
      </x:c>
      <x:c r="Z306" s="4" t="str">
        <x:v>turn202view1</x:v>
      </x:c>
    </x:row>
    <x:row r="307" ht="38" customHeight="1">
      <x:c r="A307" s="4" t="str">
        <x:v>M0306</x:v>
      </x:c>
      <x:c r="B307" s="4" t="str">
        <x:v>VN</x:v>
      </x:c>
      <x:c r="C307" s="4" t="str">
        <x:v>人均GDP</x:v>
      </x:c>
      <x:c r="D307" s="21" t="n">
        <x:v>5065.991</x:v>
      </x:c>
      <x:c r="E307" s="4" t="str">
        <x:v>USD/人</x:v>
      </x:c>
      <x:c r="F307" s="16" t="n">
        <x:v>2025</x:v>
      </x:c>
      <x:c r="G307" s="4" t="str">
        <x:v>名目、現價美元；WDI 2025歷史數列，可能修訂，非家庭可支配所得</x:v>
      </x:c>
      <x:c r="H307" s="4" t="str">
        <x:v>MVN</x:v>
      </x:c>
      <x:c r="I307" s="4" t="str">
        <x:v>https://data.worldbank.org/country/viet-nam</x:v>
      </x:c>
      <x:c r="J307" s="4" t="str">
        <x:v>是</x:v>
      </x:c>
      <x:c r="K307" s="4" t="str">
        <x:v>是</x:v>
      </x:c>
      <x:c r="L307" s="4" t="str">
        <x:v>是</x:v>
      </x:c>
      <x:c r="M307" s="4" t="str">
        <x:v>是</x:v>
      </x:c>
      <x:c r="N307" s="4" t="str">
        <x:v>pass</x:v>
      </x:c>
      <x:c r="O307" s="4" t="str">
        <x:v>A</x:v>
      </x:c>
      <x:c r="P307" s="4" t="str">
        <x:v>是</x:v>
      </x:c>
      <x:c r="Q307" s="21" t="n">
        <x:v>5065.991</x:v>
      </x:c>
      <x:c r="R307" s="16" t="n">
        <x:v>2025</x:v>
      </x:c>
      <x:c r="S307" s="4" t="str">
        <x:v>【示意】名目、現價美元；WDI 2025歷史數列，可能修訂，非家庭可支配所得；獨立來源1；來源A級</x:v>
      </x:c>
      <x:c r="T307" s="4" t="str">
        <x:v>示意</x:v>
      </x:c>
      <x:c r="U307" s="16" t="n">
        <x:v>1</x:v>
      </x:c>
      <x:c r="V307" s="4" t="str">
        <x:v>低</x:v>
      </x:c>
      <x:c r="W307" s="4" t="str">
        <x:v>WDI國家頁Latest value(2025)：人均GDP=5065.991 USD/人；人口=101598527 人；GDP=514700000000.0 USD。GDP和CN/IN人口按頁面取整，不提高精度。</x:v>
      </x:c>
      <x:c r="X307" s="4" t="str">
        <x:v>單一獨立原始機構，依協議第4條低信心示意；A/B來源等級不等於已三角驗證。</x:v>
      </x:c>
      <x:c r="Y307" s="37" t="d">
        <x:v>2026-10-09T00:00:00.000Z</x:v>
      </x:c>
      <x:c r="Z307" s="4" t="str">
        <x:v>turn244view1</x:v>
      </x:c>
    </x:row>
    <x:row r="308" ht="38" customHeight="1">
      <x:c r="A308" s="4" t="str">
        <x:v>M0307</x:v>
      </x:c>
      <x:c r="B308" s="4" t="str">
        <x:v>VN</x:v>
      </x:c>
      <x:c r="C308" s="4" t="str">
        <x:v>人口</x:v>
      </x:c>
      <x:c r="D308" s="17" t="n">
        <x:v>101598527</x:v>
      </x:c>
      <x:c r="E308" s="4" t="str">
        <x:v>人</x:v>
      </x:c>
      <x:c r="F308" s="16" t="n">
        <x:v>2025</x:v>
      </x:c>
      <x:c r="G308" s="4" t="str">
        <x:v>WDI 2025；CN、IN為頁面billion顯示的四捨五入值，其餘依顯示人數</x:v>
      </x:c>
      <x:c r="H308" s="4" t="str">
        <x:v>MVN</x:v>
      </x:c>
      <x:c r="I308" s="4" t="str">
        <x:v>https://data.worldbank.org/country/viet-nam</x:v>
      </x:c>
      <x:c r="J308" s="4" t="str">
        <x:v>是</x:v>
      </x:c>
      <x:c r="K308" s="4" t="str">
        <x:v>是</x:v>
      </x:c>
      <x:c r="L308" s="4" t="str">
        <x:v>是</x:v>
      </x:c>
      <x:c r="M308" s="4" t="str">
        <x:v>是</x:v>
      </x:c>
      <x:c r="N308" s="4" t="str">
        <x:v>pass</x:v>
      </x:c>
      <x:c r="O308" s="4" t="str">
        <x:v>A</x:v>
      </x:c>
      <x:c r="P308" s="4" t="str">
        <x:v>是</x:v>
      </x:c>
      <x:c r="Q308" s="17" t="n">
        <x:v>101598527</x:v>
      </x:c>
      <x:c r="R308" s="16" t="n">
        <x:v>2025</x:v>
      </x:c>
      <x:c r="S308" s="4" t="str">
        <x:v>【示意】WDI 2025；CN、IN為頁面billion顯示的四捨五入值，其餘依顯示人數；獨立來源1；來源A級</x:v>
      </x:c>
      <x:c r="T308" s="4" t="str">
        <x:v>示意</x:v>
      </x:c>
      <x:c r="U308" s="16" t="n">
        <x:v>1</x:v>
      </x:c>
      <x:c r="V308" s="4" t="str">
        <x:v>低</x:v>
      </x:c>
      <x:c r="W308" s="4" t="str">
        <x:v>WDI國家頁Latest value(2025)：人均GDP=5065.991 USD/人；人口=101598527 人；GDP=514700000000.0 USD。GDP和CN/IN人口按頁面取整，不提高精度。</x:v>
      </x:c>
      <x:c r="X308" s="4" t="str">
        <x:v>單一獨立原始機構，依協議第4條低信心示意；A/B來源等級不等於已三角驗證。</x:v>
      </x:c>
      <x:c r="Y308" s="37" t="d">
        <x:v>2026-10-09T00:00:00.000Z</x:v>
      </x:c>
      <x:c r="Z308" s="4" t="str">
        <x:v>turn244view1</x:v>
      </x:c>
    </x:row>
    <x:row r="309" ht="38" customHeight="1">
      <x:c r="A309" s="4" t="str">
        <x:v>M0308</x:v>
      </x:c>
      <x:c r="B309" s="4" t="str">
        <x:v>VN</x:v>
      </x:c>
      <x:c r="C309" s="4" t="str">
        <x:v>GDP</x:v>
      </x:c>
      <x:c r="D309" s="17" t="n">
        <x:v>514700000000</x:v>
      </x:c>
      <x:c r="E309" s="4" t="str">
        <x:v>USD</x:v>
      </x:c>
      <x:c r="F309" s="16" t="n">
        <x:v>2025</x:v>
      </x:c>
      <x:c r="G309" s="4" t="str">
        <x:v>WDI 2025現價；頁面billion/trillion四捨五入值</x:v>
      </x:c>
      <x:c r="H309" s="4" t="str">
        <x:v>MVN</x:v>
      </x:c>
      <x:c r="I309" s="4" t="str">
        <x:v>https://data.worldbank.org/country/viet-nam</x:v>
      </x:c>
      <x:c r="J309" s="4" t="str">
        <x:v>是</x:v>
      </x:c>
      <x:c r="K309" s="4" t="str">
        <x:v>是</x:v>
      </x:c>
      <x:c r="L309" s="4" t="str">
        <x:v>是</x:v>
      </x:c>
      <x:c r="M309" s="4" t="str">
        <x:v>是</x:v>
      </x:c>
      <x:c r="N309" s="4" t="str">
        <x:v>pass</x:v>
      </x:c>
      <x:c r="O309" s="4" t="str">
        <x:v>A</x:v>
      </x:c>
      <x:c r="P309" s="4" t="str">
        <x:v>是</x:v>
      </x:c>
      <x:c r="Q309" s="17" t="n">
        <x:v>514700000000</x:v>
      </x:c>
      <x:c r="R309" s="16" t="n">
        <x:v>2025</x:v>
      </x:c>
      <x:c r="S309" s="4" t="str">
        <x:v>【示意】WDI 2025現價；頁面billion/trillion四捨五入值；獨立來源1；來源A級</x:v>
      </x:c>
      <x:c r="T309" s="4" t="str">
        <x:v>示意</x:v>
      </x:c>
      <x:c r="U309" s="16" t="n">
        <x:v>1</x:v>
      </x:c>
      <x:c r="V309" s="4" t="str">
        <x:v>低</x:v>
      </x:c>
      <x:c r="W309" s="4" t="str">
        <x:v>WDI國家頁Latest value(2025)：人均GDP=5065.991 USD/人；人口=101598527 人；GDP=514700000000.0 USD。GDP和CN/IN人口按頁面取整，不提高精度。</x:v>
      </x:c>
      <x:c r="X309" s="4" t="str">
        <x:v>單一獨立原始機構，依協議第4條低信心示意；A/B來源等級不等於已三角驗證。</x:v>
      </x:c>
      <x:c r="Y309" s="37" t="d">
        <x:v>2026-10-09T00:00:00.000Z</x:v>
      </x:c>
      <x:c r="Z309" s="4" t="str">
        <x:v>turn244view1</x:v>
      </x:c>
    </x:row>
    <x:row r="310" ht="38" customHeight="1">
      <x:c r="A310" s="4" t="str">
        <x:v>M0309</x:v>
      </x:c>
      <x:c r="B310" s="4" t="str">
        <x:v>VN</x:v>
      </x:c>
      <x:c r="C310" s="4" t="str">
        <x:v>名目人均GDP</x:v>
      </x:c>
      <x:c r="D310" s="17" t="n">
        <x:v>4700</x:v>
      </x:c>
      <x:c r="E310" s="4" t="str">
        <x:v>USD/人</x:v>
      </x:c>
      <x:c r="F310" s="16" t="n">
        <x:v>2024</x:v>
      </x:c>
      <x:c r="G310" s="4" t="str">
        <x:v>官方年度初估，非家庭可支配所得</x:v>
      </x:c>
      <x:c r="H310" s="4" t="str">
        <x:v>VN01</x:v>
      </x:c>
      <x:c r="I310" s="4" t="str">
        <x:v>https://www.nso.gov.vn/du-lieu-va-so-lieu-thong-ke/2025/01/thong-cao-bao-chi-tinh-hinh-kinh-te-xa-hoi-quy-iv-va-nam-2024/</x:v>
      </x:c>
      <x:c r="J310" s="4" t="str">
        <x:v>是</x:v>
      </x:c>
      <x:c r="K310" s="4" t="str">
        <x:v>是</x:v>
      </x:c>
      <x:c r="L310" s="4" t="str">
        <x:v>是</x:v>
      </x:c>
      <x:c r="M310" s="4" t="str">
        <x:v>是</x:v>
      </x:c>
      <x:c r="N310" s="4" t="str">
        <x:v>pass</x:v>
      </x:c>
      <x:c r="O310" s="4" t="str">
        <x:v>A</x:v>
      </x:c>
      <x:c r="P310" s="4" t="str">
        <x:v>是</x:v>
      </x:c>
      <x:c r="Q310" s="17" t="n">
        <x:v>4700</x:v>
      </x:c>
      <x:c r="R310" s="16" t="n">
        <x:v>2024</x:v>
      </x:c>
      <x:c r="S310" s="4" t="str">
        <x:v>【示意】官方年度初估，非家庭可支配所得；獨立來源1；來源A級</x:v>
      </x:c>
      <x:c r="T310" s="4" t="str">
        <x:v>示意</x:v>
      </x:c>
      <x:c r="U310" s="16" t="n">
        <x:v>1</x:v>
      </x:c>
      <x:c r="V310" s="4" t="str">
        <x:v>低</x:v>
      </x:c>
      <x:c r="W310" s="4" t="str">
        <x:v>L83：2024 人均 114 百萬 VND，官方折 4,700 USD。</x:v>
      </x:c>
      <x:c r="X310" s="4" t="str">
        <x:v>僅一個独立來源；依整合協議標低信心／示意，即使為 A 級官方數字亦不自動升為實際。</x:v>
      </x:c>
      <x:c r="Y310" s="37" t="d">
        <x:v>2026-10-09T00:00:00.000Z</x:v>
      </x:c>
      <x:c r="Z310" s="4" t="str">
        <x:v>turn183view0</x:v>
      </x:c>
    </x:row>
    <x:row r="311" ht="38" customHeight="1">
      <x:c r="A311" s="4" t="str">
        <x:v>M0310</x:v>
      </x:c>
      <x:c r="B311" s="4" t="str">
        <x:v>VN</x:v>
      </x:c>
      <x:c r="C311" s="4" t="str">
        <x:v>名目人均GDP原幣</x:v>
      </x:c>
      <x:c r="D311" s="17" t="n">
        <x:v>114000000</x:v>
      </x:c>
      <x:c r="E311" s="4" t="str">
        <x:v>VND/人</x:v>
      </x:c>
      <x:c r="F311" s="16" t="n">
        <x:v>2024</x:v>
      </x:c>
      <x:c r="G311" s="4" t="str">
        <x:v>官方年度初估</x:v>
      </x:c>
      <x:c r="H311" s="4" t="str">
        <x:v>VN01</x:v>
      </x:c>
      <x:c r="I311" s="4" t="str">
        <x:v>https://www.nso.gov.vn/du-lieu-va-so-lieu-thong-ke/2025/01/thong-cao-bao-chi-tinh-hinh-kinh-te-xa-hoi-quy-iv-va-nam-2024/</x:v>
      </x:c>
      <x:c r="J311" s="4" t="str">
        <x:v>是</x:v>
      </x:c>
      <x:c r="K311" s="4" t="str">
        <x:v>是</x:v>
      </x:c>
      <x:c r="L311" s="4" t="str">
        <x:v>是</x:v>
      </x:c>
      <x:c r="M311" s="4" t="str">
        <x:v>是</x:v>
      </x:c>
      <x:c r="N311" s="4" t="str">
        <x:v>pass</x:v>
      </x:c>
      <x:c r="O311" s="4" t="str">
        <x:v>A</x:v>
      </x:c>
      <x:c r="P311" s="4" t="str">
        <x:v>是</x:v>
      </x:c>
      <x:c r="Q311" s="17" t="n">
        <x:v>114000000</x:v>
      </x:c>
      <x:c r="R311" s="16" t="n">
        <x:v>2024</x:v>
      </x:c>
      <x:c r="S311" s="4" t="str">
        <x:v>【示意】官方年度初估；獨立來源1；來源A級</x:v>
      </x:c>
      <x:c r="T311" s="4" t="str">
        <x:v>示意</x:v>
      </x:c>
      <x:c r="U311" s="16" t="n">
        <x:v>1</x:v>
      </x:c>
      <x:c r="V311" s="4" t="str">
        <x:v>低</x:v>
      </x:c>
      <x:c r="W311" s="4" t="str">
        <x:v>L83：2024 人均 114 百萬 VND。</x:v>
      </x:c>
      <x:c r="X311" s="4" t="str">
        <x:v>僅一個独立來源；依整合協議標低信心／示意，即使為 A 級官方數字亦不自動升為實際。</x:v>
      </x:c>
      <x:c r="Y311" s="37" t="d">
        <x:v>2026-10-09T00:00:00.000Z</x:v>
      </x:c>
      <x:c r="Z311" s="4" t="str">
        <x:v>turn183view0</x:v>
      </x:c>
    </x:row>
    <x:row r="312" ht="52" customHeight="1">
      <x:c r="A312" s="4" t="str">
        <x:v>M0311</x:v>
      </x:c>
      <x:c r="B312" s="4" t="str">
        <x:v>VN</x:v>
      </x:c>
      <x:c r="C312" s="4" t="str">
        <x:v>實質GDP成長率</x:v>
      </x:c>
      <x:c r="D312" s="18" t="n">
        <x:v>7.09</x:v>
      </x:c>
      <x:c r="E312" s="4" t="str">
        <x:v>%</x:v>
      </x:c>
      <x:c r="F312" s="16" t="n">
        <x:v>2024</x:v>
      </x:c>
      <x:c r="G312" s="4" t="str">
        <x:v>官方年度初估</x:v>
      </x:c>
      <x:c r="H312" s="4" t="str">
        <x:v>VN01</x:v>
      </x:c>
      <x:c r="I312" s="4" t="str">
        <x:v>https://www.nso.gov.vn/du-lieu-va-so-lieu-thong-ke/2025/01/thong-cao-bao-chi-tinh-hinh-kinh-te-xa-hoi-quy-iv-va-nam-2024/</x:v>
      </x:c>
      <x:c r="J312" s="4" t="str">
        <x:v>是</x:v>
      </x:c>
      <x:c r="K312" s="4" t="str">
        <x:v>是</x:v>
      </x:c>
      <x:c r="L312" s="4" t="str">
        <x:v>是</x:v>
      </x:c>
      <x:c r="M312" s="4" t="str">
        <x:v>是</x:v>
      </x:c>
      <x:c r="N312" s="4" t="str">
        <x:v>pass</x:v>
      </x:c>
      <x:c r="O312" s="4" t="str">
        <x:v>A</x:v>
      </x:c>
      <x:c r="P312" s="4" t="str">
        <x:v>是</x:v>
      </x:c>
      <x:c r="Q312" s="18" t="n">
        <x:v>7.09</x:v>
      </x:c>
      <x:c r="R312" s="16" t="n">
        <x:v>2024</x:v>
      </x:c>
      <x:c r="S312" s="4" t="str">
        <x:v>【示意】官方年度初估；獨立來源1；來源A級</x:v>
      </x:c>
      <x:c r="T312" s="4" t="str">
        <x:v>示意</x:v>
      </x:c>
      <x:c r="U312" s="16" t="n">
        <x:v>1</x:v>
      </x:c>
      <x:c r="V312" s="4" t="str">
        <x:v>低</x:v>
      </x:c>
      <x:c r="W312" s="4" t="str">
        <x:v>L73：2024 GDP 實質成長 7.09%。</x:v>
      </x:c>
      <x:c r="X312" s="4" t="str">
        <x:v>僅一個独立來源；依整合協議標低信心／示意，即使為 A 級官方數字亦不自動升為實際。 2025年公告X10註[7]已將2024歷史值修訂為7.04%；原值7.09只代表原公告初估。</x:v>
      </x:c>
      <x:c r="Y312" s="37" t="d">
        <x:v>2026-10-09T00:00:00.000Z</x:v>
      </x:c>
      <x:c r="Z312" s="4" t="str">
        <x:v>turn183view0</x:v>
      </x:c>
    </x:row>
    <x:row r="313" ht="38" customHeight="1">
      <x:c r="A313" s="4" t="str">
        <x:v>M0312</x:v>
      </x:c>
      <x:c r="B313" s="4" t="str">
        <x:v>VN</x:v>
      </x:c>
      <x:c r="C313" s="4" t="str">
        <x:v>勞工平均月收入</x:v>
      </x:c>
      <x:c r="D313" s="17" t="n">
        <x:v>7700000</x:v>
      </x:c>
      <x:c r="E313" s="4" t="str">
        <x:v>VND/月</x:v>
      </x:c>
      <x:c r="F313" s="16" t="n">
        <x:v>2024</x:v>
      </x:c>
      <x:c r="G313" s="4" t="str">
        <x:v>全產業勞工；非室內設計師</x:v>
      </x:c>
      <x:c r="H313" s="4" t="str">
        <x:v>VN01</x:v>
      </x:c>
      <x:c r="I313" s="4" t="str">
        <x:v>https://www.nso.gov.vn/du-lieu-va-so-lieu-thong-ke/2025/01/thong-cao-bao-chi-tinh-hinh-kinh-te-xa-hoi-quy-iv-va-nam-2024/</x:v>
      </x:c>
      <x:c r="J313" s="4" t="str">
        <x:v>是</x:v>
      </x:c>
      <x:c r="K313" s="4" t="str">
        <x:v>是</x:v>
      </x:c>
      <x:c r="L313" s="4" t="str">
        <x:v>是</x:v>
      </x:c>
      <x:c r="M313" s="4" t="str">
        <x:v>是</x:v>
      </x:c>
      <x:c r="N313" s="4" t="str">
        <x:v>pass</x:v>
      </x:c>
      <x:c r="O313" s="4" t="str">
        <x:v>A</x:v>
      </x:c>
      <x:c r="P313" s="4" t="str">
        <x:v>是</x:v>
      </x:c>
      <x:c r="Q313" s="17" t="n">
        <x:v>7700000</x:v>
      </x:c>
      <x:c r="R313" s="16" t="n">
        <x:v>2024</x:v>
      </x:c>
      <x:c r="S313" s="4" t="str">
        <x:v>【示意】全產業勞工；非室內設計師；獨立來源1；來源A級</x:v>
      </x:c>
      <x:c r="T313" s="4" t="str">
        <x:v>示意</x:v>
      </x:c>
      <x:c r="U313" s="16" t="n">
        <x:v>1</x:v>
      </x:c>
      <x:c r="V313" s="4" t="str">
        <x:v>低</x:v>
      </x:c>
      <x:c r="W313" s="4" t="str">
        <x:v>L224–225：2024 年全體勞工月均收入 7.7 百萬 VND；不是特定職類。</x:v>
      </x:c>
      <x:c r="X313" s="4" t="str">
        <x:v>僅一個独立來源；依整合協議標低信心／示意，即使為 A 級官方數字亦不自動升為實際。</x:v>
      </x:c>
      <x:c r="Y313" s="37" t="d">
        <x:v>2026-10-09T00:00:00.000Z</x:v>
      </x:c>
      <x:c r="Z313" s="4" t="str">
        <x:v>turn183view0</x:v>
      </x:c>
    </x:row>
    <x:row r="314" ht="38" customHeight="1">
      <x:c r="A314" s="4" t="str">
        <x:v>M0313</x:v>
      </x:c>
      <x:c r="B314" s="4" t="str">
        <x:v>VN</x:v>
      </x:c>
      <x:c r="C314" s="4" t="str">
        <x:v>都市勞工平均月收入</x:v>
      </x:c>
      <x:c r="D314" s="17" t="n">
        <x:v>9300000</x:v>
      </x:c>
      <x:c r="E314" s="4" t="str">
        <x:v>VND/月</x:v>
      </x:c>
      <x:c r="F314" s="16" t="n">
        <x:v>2024</x:v>
      </x:c>
      <x:c r="G314" s="4" t="str">
        <x:v>全產業都市勞工；非監工</x:v>
      </x:c>
      <x:c r="H314" s="4" t="str">
        <x:v>VN01</x:v>
      </x:c>
      <x:c r="I314" s="4" t="str">
        <x:v>https://www.nso.gov.vn/du-lieu-va-so-lieu-thong-ke/2025/01/thong-cao-bao-chi-tinh-hinh-kinh-te-xa-hoi-quy-iv-va-nam-2024/</x:v>
      </x:c>
      <x:c r="J314" s="4" t="str">
        <x:v>是</x:v>
      </x:c>
      <x:c r="K314" s="4" t="str">
        <x:v>是</x:v>
      </x:c>
      <x:c r="L314" s="4" t="str">
        <x:v>是</x:v>
      </x:c>
      <x:c r="M314" s="4" t="str">
        <x:v>是</x:v>
      </x:c>
      <x:c r="N314" s="4" t="str">
        <x:v>pass</x:v>
      </x:c>
      <x:c r="O314" s="4" t="str">
        <x:v>A</x:v>
      </x:c>
      <x:c r="P314" s="4" t="str">
        <x:v>是</x:v>
      </x:c>
      <x:c r="Q314" s="17" t="n">
        <x:v>9300000</x:v>
      </x:c>
      <x:c r="R314" s="16" t="n">
        <x:v>2024</x:v>
      </x:c>
      <x:c r="S314" s="4" t="str">
        <x:v>【示意】全產業都市勞工；非監工；獨立來源1；來源A級</x:v>
      </x:c>
      <x:c r="T314" s="4" t="str">
        <x:v>示意</x:v>
      </x:c>
      <x:c r="U314" s="16" t="n">
        <x:v>1</x:v>
      </x:c>
      <x:c r="V314" s="4" t="str">
        <x:v>低</x:v>
      </x:c>
      <x:c r="W314" s="4" t="str">
        <x:v>L225：2024 年都市勞工月均收入 9.3 百萬 VND。</x:v>
      </x:c>
      <x:c r="X314" s="4" t="str">
        <x:v>僅一個独立來源；依整合協議標低信心／示意，即使為 A 級官方數字亦不自動升為實際。</x:v>
      </x:c>
      <x:c r="Y314" s="37" t="d">
        <x:v>2026-10-09T00:00:00.000Z</x:v>
      </x:c>
      <x:c r="Z314" s="4" t="str">
        <x:v>turn183view0</x:v>
      </x:c>
    </x:row>
    <x:row r="315" ht="38" customHeight="1">
      <x:c r="A315" s="4" t="str">
        <x:v>M0314</x:v>
      </x:c>
      <x:c r="B315" s="4" t="str">
        <x:v>VN</x:v>
      </x:c>
      <x:c r="C315" s="4" t="str">
        <x:v>人口</x:v>
      </x:c>
      <x:c r="D315" s="17" t="n">
        <x:v>101112656</x:v>
      </x:c>
      <x:c r="E315" s="4" t="str">
        <x:v>人</x:v>
      </x:c>
      <x:c r="F315" s="16" t="str">
        <x:v>2024-04-01</x:v>
      </x:c>
      <x:c r="G315" s="4" t="str">
        <x:v>人口與住宅期中調查；非年平均人口</x:v>
      </x:c>
      <x:c r="H315" s="4" t="str">
        <x:v>VN02</x:v>
      </x:c>
      <x:c r="I315" s="4" t="str">
        <x:v>https://www.nso.gov.vn/du-lieu-va-so-lieu-thong-ke/2025/01/thong-cao-bao-chi-ket-qua-dieu-tra-dan-so-va-nha-o-giua-ky-nam-2024/</x:v>
      </x:c>
      <x:c r="J315" s="4" t="str">
        <x:v>是</x:v>
      </x:c>
      <x:c r="K315" s="4" t="str">
        <x:v>是</x:v>
      </x:c>
      <x:c r="L315" s="4" t="str">
        <x:v>是</x:v>
      </x:c>
      <x:c r="M315" s="4" t="str">
        <x:v>是</x:v>
      </x:c>
      <x:c r="N315" s="4" t="str">
        <x:v>pass</x:v>
      </x:c>
      <x:c r="O315" s="4" t="str">
        <x:v>A</x:v>
      </x:c>
      <x:c r="P315" s="4" t="str">
        <x:v>是</x:v>
      </x:c>
      <x:c r="Q315" s="17" t="n">
        <x:v>101112656</x:v>
      </x:c>
      <x:c r="R315" s="16" t="str">
        <x:v>2024-04-01</x:v>
      </x:c>
      <x:c r="S315" s="4" t="str">
        <x:v>【示意】人口與住宅期中調查；非年平均人口；獨立來源1；來源A級</x:v>
      </x:c>
      <x:c r="T315" s="4" t="str">
        <x:v>示意</x:v>
      </x:c>
      <x:c r="U315" s="16" t="n">
        <x:v>1</x:v>
      </x:c>
      <x:c r="V315" s="4" t="str">
        <x:v>低</x:v>
      </x:c>
      <x:c r="W315" s="4" t="str">
        <x:v>L66：2024-04-01 人口 101,112,656。</x:v>
      </x:c>
      <x:c r="X315" s="4" t="str">
        <x:v>僅一個独立來源；依整合協議標低信心／示意，即使為 A 級官方數字亦不自動升為實際。</x:v>
      </x:c>
      <x:c r="Y315" s="37" t="d">
        <x:v>2026-10-09T00:00:00.000Z</x:v>
      </x:c>
      <x:c r="Z315" s="4" t="str">
        <x:v>turn183view1</x:v>
      </x:c>
    </x:row>
    <x:row r="316" ht="38" customHeight="1">
      <x:c r="A316" s="4" t="str">
        <x:v>M0315</x:v>
      </x:c>
      <x:c r="B316" s="4" t="str">
        <x:v>VN</x:v>
      </x:c>
      <x:c r="C316" s="4" t="str">
        <x:v>家庭戶數</x:v>
      </x:c>
      <x:c r="D316" s="17" t="n">
        <x:v>28146939</x:v>
      </x:c>
      <x:c r="E316" s="4" t="str">
        <x:v>戶</x:v>
      </x:c>
      <x:c r="F316" s="16" t="n">
        <x:v>2024</x:v>
      </x:c>
      <x:c r="G316" s="4" t="str">
        <x:v>家庭戶數，不等於住宅存量</x:v>
      </x:c>
      <x:c r="H316" s="4" t="str">
        <x:v>VN02</x:v>
      </x:c>
      <x:c r="I316" s="4" t="str">
        <x:v>https://www.nso.gov.vn/du-lieu-va-so-lieu-thong-ke/2025/01/thong-cao-bao-chi-ket-qua-dieu-tra-dan-so-va-nha-o-giua-ky-nam-2024/</x:v>
      </x:c>
      <x:c r="J316" s="4" t="str">
        <x:v>是</x:v>
      </x:c>
      <x:c r="K316" s="4" t="str">
        <x:v>是</x:v>
      </x:c>
      <x:c r="L316" s="4" t="str">
        <x:v>是</x:v>
      </x:c>
      <x:c r="M316" s="4" t="str">
        <x:v>是</x:v>
      </x:c>
      <x:c r="N316" s="4" t="str">
        <x:v>pass</x:v>
      </x:c>
      <x:c r="O316" s="4" t="str">
        <x:v>A</x:v>
      </x:c>
      <x:c r="P316" s="4" t="str">
        <x:v>是</x:v>
      </x:c>
      <x:c r="Q316" s="17" t="n">
        <x:v>28146939</x:v>
      </x:c>
      <x:c r="R316" s="16" t="n">
        <x:v>2024</x:v>
      </x:c>
      <x:c r="S316" s="4" t="str">
        <x:v>【示意】家庭戶數，不等於住宅存量；獨立來源1；來源A級</x:v>
      </x:c>
      <x:c r="T316" s="4" t="str">
        <x:v>示意</x:v>
      </x:c>
      <x:c r="U316" s="16" t="n">
        <x:v>1</x:v>
      </x:c>
      <x:c r="V316" s="4" t="str">
        <x:v>低</x:v>
      </x:c>
      <x:c r="W316" s="4" t="str">
        <x:v>L68：2024 期中調查家庭戶 28,146,939。</x:v>
      </x:c>
      <x:c r="X316" s="4" t="str">
        <x:v>僅一個独立來源；依整合協議標低信心／示意，即使為 A 級官方數字亦不自動升為實際。</x:v>
      </x:c>
      <x:c r="Y316" s="37" t="d">
        <x:v>2026-10-09T00:00:00.000Z</x:v>
      </x:c>
      <x:c r="Z316" s="4" t="str">
        <x:v>turn183view1</x:v>
      </x:c>
    </x:row>
    <x:row r="317" ht="38" customHeight="1">
      <x:c r="A317" s="4" t="str">
        <x:v>M0316</x:v>
      </x:c>
      <x:c r="B317" s="4" t="str">
        <x:v>VN</x:v>
      </x:c>
      <x:c r="C317" s="4" t="str">
        <x:v>都市人口比率</x:v>
      </x:c>
      <x:c r="D317" s="19" t="n">
        <x:v>38.2</x:v>
      </x:c>
      <x:c r="E317" s="4" t="str">
        <x:v>%</x:v>
      </x:c>
      <x:c r="F317" s="16" t="n">
        <x:v>2024</x:v>
      </x:c>
      <x:c r="G317" s="4" t="str">
        <x:v>統計局行政區都市口徑</x:v>
      </x:c>
      <x:c r="H317" s="4" t="str">
        <x:v>VN02</x:v>
      </x:c>
      <x:c r="I317" s="4" t="str">
        <x:v>https://www.nso.gov.vn/du-lieu-va-so-lieu-thong-ke/2025/01/thong-cao-bao-chi-ket-qua-dieu-tra-dan-so-va-nha-o-giua-ky-nam-2024/</x:v>
      </x:c>
      <x:c r="J317" s="4" t="str">
        <x:v>是</x:v>
      </x:c>
      <x:c r="K317" s="4" t="str">
        <x:v>是</x:v>
      </x:c>
      <x:c r="L317" s="4" t="str">
        <x:v>是</x:v>
      </x:c>
      <x:c r="M317" s="4" t="str">
        <x:v>是</x:v>
      </x:c>
      <x:c r="N317" s="4" t="str">
        <x:v>pass</x:v>
      </x:c>
      <x:c r="O317" s="4" t="str">
        <x:v>A</x:v>
      </x:c>
      <x:c r="P317" s="4" t="str">
        <x:v>是</x:v>
      </x:c>
      <x:c r="Q317" s="19" t="n">
        <x:v>38.2</x:v>
      </x:c>
      <x:c r="R317" s="16" t="n">
        <x:v>2024</x:v>
      </x:c>
      <x:c r="S317" s="4" t="str">
        <x:v>【示意】統計局行政區都市口徑；獨立來源1；來源A級</x:v>
      </x:c>
      <x:c r="T317" s="4" t="str">
        <x:v>示意</x:v>
      </x:c>
      <x:c r="U317" s="16" t="n">
        <x:v>1</x:v>
      </x:c>
      <x:c r="V317" s="4" t="str">
        <x:v>低</x:v>
      </x:c>
      <x:c r="W317" s="4" t="str">
        <x:v>L67：2024 都市人口占 38.2%。</x:v>
      </x:c>
      <x:c r="X317" s="4" t="str">
        <x:v>僅一個独立來源；依整合協議標低信心／示意，即使為 A 級官方數字亦不自動升為實際。</x:v>
      </x:c>
      <x:c r="Y317" s="37" t="d">
        <x:v>2026-10-09T00:00:00.000Z</x:v>
      </x:c>
      <x:c r="Z317" s="4" t="str">
        <x:v>turn183view1</x:v>
      </x:c>
    </x:row>
    <x:row r="318" ht="38" customHeight="1">
      <x:c r="A318" s="4" t="str">
        <x:v>M0317</x:v>
      </x:c>
      <x:c r="B318" s="4" t="str">
        <x:v>VN</x:v>
      </x:c>
      <x:c r="C318" s="4" t="str">
        <x:v>65歲以上人口占比</x:v>
      </x:c>
      <x:c r="D318" s="19" t="n">
        <x:v>9.3</x:v>
      </x:c>
      <x:c r="E318" s="4" t="str">
        <x:v>%</x:v>
      </x:c>
      <x:c r="F318" s="16" t="n">
        <x:v>2024</x:v>
      </x:c>
      <x:c r="G318" s="4" t="str">
        <x:v>期中人口調查</x:v>
      </x:c>
      <x:c r="H318" s="4" t="str">
        <x:v>VN02</x:v>
      </x:c>
      <x:c r="I318" s="4" t="str">
        <x:v>https://www.nso.gov.vn/du-lieu-va-so-lieu-thong-ke/2025/01/thong-cao-bao-chi-ket-qua-dieu-tra-dan-so-va-nha-o-giua-ky-nam-2024/</x:v>
      </x:c>
      <x:c r="J318" s="4" t="str">
        <x:v>是</x:v>
      </x:c>
      <x:c r="K318" s="4" t="str">
        <x:v>是</x:v>
      </x:c>
      <x:c r="L318" s="4" t="str">
        <x:v>是</x:v>
      </x:c>
      <x:c r="M318" s="4" t="str">
        <x:v>是</x:v>
      </x:c>
      <x:c r="N318" s="4" t="str">
        <x:v>pass</x:v>
      </x:c>
      <x:c r="O318" s="4" t="str">
        <x:v>A</x:v>
      </x:c>
      <x:c r="P318" s="4" t="str">
        <x:v>是</x:v>
      </x:c>
      <x:c r="Q318" s="19" t="n">
        <x:v>9.3</x:v>
      </x:c>
      <x:c r="R318" s="16" t="n">
        <x:v>2024</x:v>
      </x:c>
      <x:c r="S318" s="4" t="str">
        <x:v>【示意】期中人口調查；獨立來源1；來源A級</x:v>
      </x:c>
      <x:c r="T318" s="4" t="str">
        <x:v>示意</x:v>
      </x:c>
      <x:c r="U318" s="16" t="n">
        <x:v>1</x:v>
      </x:c>
      <x:c r="V318" s="4" t="str">
        <x:v>低</x:v>
      </x:c>
      <x:c r="W318" s="4" t="str">
        <x:v>L75：2024 年 65 歲以上占 9.3%。</x:v>
      </x:c>
      <x:c r="X318" s="4" t="str">
        <x:v>僅一個独立來源；依整合協議標低信心／示意，即使為 A 級官方數字亦不自動升為實際。</x:v>
      </x:c>
      <x:c r="Y318" s="37" t="d">
        <x:v>2026-10-09T00:00:00.000Z</x:v>
      </x:c>
      <x:c r="Z318" s="4" t="str">
        <x:v>turn183view1</x:v>
      </x:c>
    </x:row>
    <x:row r="319" ht="38" customHeight="1">
      <x:c r="A319" s="4" t="str">
        <x:v>M0318</x:v>
      </x:c>
      <x:c r="B319" s="4" t="str">
        <x:v>VN</x:v>
      </x:c>
      <x:c r="C319" s="4" t="str">
        <x:v>住宅自有家庭比率</x:v>
      </x:c>
      <x:c r="D319" s="19" t="n">
        <x:v>89.7</x:v>
      </x:c>
      <x:c r="E319" s="4" t="str">
        <x:v>%</x:v>
      </x:c>
      <x:c r="F319" s="16" t="n">
        <x:v>2024</x:v>
      </x:c>
      <x:c r="G319" s="4" t="str">
        <x:v>自有居住住宅的家庭戶；非個人持有率</x:v>
      </x:c>
      <x:c r="H319" s="4" t="str">
        <x:v>VN02</x:v>
      </x:c>
      <x:c r="I319" s="4" t="str">
        <x:v>https://www.nso.gov.vn/du-lieu-va-so-lieu-thong-ke/2025/01/thong-cao-bao-chi-ket-qua-dieu-tra-dan-so-va-nha-o-giua-ky-nam-2024/</x:v>
      </x:c>
      <x:c r="J319" s="4" t="str">
        <x:v>是</x:v>
      </x:c>
      <x:c r="K319" s="4" t="str">
        <x:v>是</x:v>
      </x:c>
      <x:c r="L319" s="4" t="str">
        <x:v>是</x:v>
      </x:c>
      <x:c r="M319" s="4" t="str">
        <x:v>是</x:v>
      </x:c>
      <x:c r="N319" s="4" t="str">
        <x:v>pass</x:v>
      </x:c>
      <x:c r="O319" s="4" t="str">
        <x:v>A</x:v>
      </x:c>
      <x:c r="P319" s="4" t="str">
        <x:v>是</x:v>
      </x:c>
      <x:c r="Q319" s="19" t="n">
        <x:v>89.7</x:v>
      </x:c>
      <x:c r="R319" s="16" t="n">
        <x:v>2024</x:v>
      </x:c>
      <x:c r="S319" s="4" t="str">
        <x:v>【示意】自有居住住宅的家庭戶；非個人持有率；獨立來源1；來源A級</x:v>
      </x:c>
      <x:c r="T319" s="4" t="str">
        <x:v>示意</x:v>
      </x:c>
      <x:c r="U319" s="16" t="n">
        <x:v>1</x:v>
      </x:c>
      <x:c r="V319" s="4" t="str">
        <x:v>低</x:v>
      </x:c>
      <x:c r="W319" s="4" t="str">
        <x:v>L117：2024 居住自有住宅家庭占 89.7%。</x:v>
      </x:c>
      <x:c r="X319" s="4" t="str">
        <x:v>僅一個独立來源；依整合協議標低信心／示意，即使為 A 級官方數字亦不自動升為實際。</x:v>
      </x:c>
      <x:c r="Y319" s="37" t="d">
        <x:v>2026-10-09T00:00:00.000Z</x:v>
      </x:c>
      <x:c r="Z319" s="4" t="str">
        <x:v>turn183view1</x:v>
      </x:c>
    </x:row>
    <x:row r="320" ht="38" customHeight="1">
      <x:c r="A320" s="4" t="str">
        <x:v>M0319</x:v>
      </x:c>
      <x:c r="B320" s="4" t="str">
        <x:v>VN</x:v>
      </x:c>
      <x:c r="C320" s="4" t="str">
        <x:v>都市住宅自有家庭比率</x:v>
      </x:c>
      <x:c r="D320" s="19" t="n">
        <x:v>79.8</x:v>
      </x:c>
      <x:c r="E320" s="4" t="str">
        <x:v>%</x:v>
      </x:c>
      <x:c r="F320" s="16" t="n">
        <x:v>2024</x:v>
      </x:c>
      <x:c r="G320" s="4" t="str">
        <x:v>都市家庭戶</x:v>
      </x:c>
      <x:c r="H320" s="4" t="str">
        <x:v>VN02</x:v>
      </x:c>
      <x:c r="I320" s="4" t="str">
        <x:v>https://www.nso.gov.vn/du-lieu-va-so-lieu-thong-ke/2025/01/thong-cao-bao-chi-ket-qua-dieu-tra-dan-so-va-nha-o-giua-ky-nam-2024/</x:v>
      </x:c>
      <x:c r="J320" s="4" t="str">
        <x:v>是</x:v>
      </x:c>
      <x:c r="K320" s="4" t="str">
        <x:v>是</x:v>
      </x:c>
      <x:c r="L320" s="4" t="str">
        <x:v>是</x:v>
      </x:c>
      <x:c r="M320" s="4" t="str">
        <x:v>是</x:v>
      </x:c>
      <x:c r="N320" s="4" t="str">
        <x:v>pass</x:v>
      </x:c>
      <x:c r="O320" s="4" t="str">
        <x:v>A</x:v>
      </x:c>
      <x:c r="P320" s="4" t="str">
        <x:v>是</x:v>
      </x:c>
      <x:c r="Q320" s="19" t="n">
        <x:v>79.8</x:v>
      </x:c>
      <x:c r="R320" s="16" t="n">
        <x:v>2024</x:v>
      </x:c>
      <x:c r="S320" s="4" t="str">
        <x:v>【示意】都市家庭戶；獨立來源1；來源A級</x:v>
      </x:c>
      <x:c r="T320" s="4" t="str">
        <x:v>示意</x:v>
      </x:c>
      <x:c r="U320" s="16" t="n">
        <x:v>1</x:v>
      </x:c>
      <x:c r="V320" s="4" t="str">
        <x:v>低</x:v>
      </x:c>
      <x:c r="W320" s="4" t="str">
        <x:v>L117：2024 都市占 79.8%；農村 96.2%。</x:v>
      </x:c>
      <x:c r="X320" s="4" t="str">
        <x:v>僅一個独立來源；依整合協議標低信心／示意，即使為 A 級官方數字亦不自動升為實際。</x:v>
      </x:c>
      <x:c r="Y320" s="37" t="d">
        <x:v>2026-10-09T00:00:00.000Z</x:v>
      </x:c>
      <x:c r="Z320" s="4" t="str">
        <x:v>turn183view1</x:v>
      </x:c>
    </x:row>
    <x:row r="321" ht="38" customHeight="1">
      <x:c r="A321" s="4" t="str">
        <x:v>M0320</x:v>
      </x:c>
      <x:c r="B321" s="4" t="str">
        <x:v>VN</x:v>
      </x:c>
      <x:c r="C321" s="4" t="str">
        <x:v>每人居住面積</x:v>
      </x:c>
      <x:c r="D321" s="19" t="n">
        <x:v>26.6</x:v>
      </x:c>
      <x:c r="E321" s="4" t="str">
        <x:v>m²/人</x:v>
      </x:c>
      <x:c r="F321" s="16" t="n">
        <x:v>2024</x:v>
      </x:c>
      <x:c r="G321" s="4" t="str">
        <x:v>住宅調查</x:v>
      </x:c>
      <x:c r="H321" s="4" t="str">
        <x:v>VN02</x:v>
      </x:c>
      <x:c r="I321" s="4" t="str">
        <x:v>https://www.nso.gov.vn/du-lieu-va-so-lieu-thong-ke/2025/01/thong-cao-bao-chi-ket-qua-dieu-tra-dan-so-va-nha-o-giua-ky-nam-2024/</x:v>
      </x:c>
      <x:c r="J321" s="4" t="str">
        <x:v>是</x:v>
      </x:c>
      <x:c r="K321" s="4" t="str">
        <x:v>是</x:v>
      </x:c>
      <x:c r="L321" s="4" t="str">
        <x:v>是</x:v>
      </x:c>
      <x:c r="M321" s="4" t="str">
        <x:v>是</x:v>
      </x:c>
      <x:c r="N321" s="4" t="str">
        <x:v>pass</x:v>
      </x:c>
      <x:c r="O321" s="4" t="str">
        <x:v>A</x:v>
      </x:c>
      <x:c r="P321" s="4" t="str">
        <x:v>是</x:v>
      </x:c>
      <x:c r="Q321" s="19" t="n">
        <x:v>26.6</x:v>
      </x:c>
      <x:c r="R321" s="16" t="n">
        <x:v>2024</x:v>
      </x:c>
      <x:c r="S321" s="4" t="str">
        <x:v>【示意】住宅調查；獨立來源1；來源A級</x:v>
      </x:c>
      <x:c r="T321" s="4" t="str">
        <x:v>示意</x:v>
      </x:c>
      <x:c r="U321" s="16" t="n">
        <x:v>1</x:v>
      </x:c>
      <x:c r="V321" s="4" t="str">
        <x:v>低</x:v>
      </x:c>
      <x:c r="W321" s="4" t="str">
        <x:v>L119：2024 年每人 26.6 m²。</x:v>
      </x:c>
      <x:c r="X321" s="4" t="str">
        <x:v>僅一個独立來源；依整合協議標低信心／示意，即使為 A 級官方數字亦不自動升為實際。</x:v>
      </x:c>
      <x:c r="Y321" s="37" t="d">
        <x:v>2026-10-09T00:00:00.000Z</x:v>
      </x:c>
      <x:c r="Z321" s="4" t="str">
        <x:v>turn183view1</x:v>
      </x:c>
    </x:row>
    <x:row r="322" ht="38" customHeight="1">
      <x:c r="A322" s="4" t="str">
        <x:v>M0321</x:v>
      </x:c>
      <x:c r="B322" s="4" t="str">
        <x:v>VN</x:v>
      </x:c>
      <x:c r="C322" s="4" t="str">
        <x:v>2000年起興建住宅居住家庭占比</x:v>
      </x:c>
      <x:c r="D322" s="19" t="n">
        <x:v>81.5</x:v>
      </x:c>
      <x:c r="E322" s="4" t="str">
        <x:v>%</x:v>
      </x:c>
      <x:c r="F322" s="16" t="n">
        <x:v>2024</x:v>
      </x:c>
      <x:c r="G322" s="4" t="str">
        <x:v>家庭分布，不是房屋棟數</x:v>
      </x:c>
      <x:c r="H322" s="4" t="str">
        <x:v>VN02</x:v>
      </x:c>
      <x:c r="I322" s="4" t="str">
        <x:v>https://www.nso.gov.vn/du-lieu-va-so-lieu-thong-ke/2025/01/thong-cao-bao-chi-ket-qua-dieu-tra-dan-so-va-nha-o-giua-ky-nam-2024/</x:v>
      </x:c>
      <x:c r="J322" s="4" t="str">
        <x:v>是</x:v>
      </x:c>
      <x:c r="K322" s="4" t="str">
        <x:v>是</x:v>
      </x:c>
      <x:c r="L322" s="4" t="str">
        <x:v>是</x:v>
      </x:c>
      <x:c r="M322" s="4" t="str">
        <x:v>是</x:v>
      </x:c>
      <x:c r="N322" s="4" t="str">
        <x:v>pass</x:v>
      </x:c>
      <x:c r="O322" s="4" t="str">
        <x:v>A</x:v>
      </x:c>
      <x:c r="P322" s="4" t="str">
        <x:v>是</x:v>
      </x:c>
      <x:c r="Q322" s="19" t="n">
        <x:v>81.5</x:v>
      </x:c>
      <x:c r="R322" s="16" t="n">
        <x:v>2024</x:v>
      </x:c>
      <x:c r="S322" s="4" t="str">
        <x:v>【示意】家庭分布，不是房屋棟數；獨立來源1；來源A級</x:v>
      </x:c>
      <x:c r="T322" s="4" t="str">
        <x:v>示意</x:v>
      </x:c>
      <x:c r="U322" s="16" t="n">
        <x:v>1</x:v>
      </x:c>
      <x:c r="V322" s="4" t="str">
        <x:v>低</x:v>
      </x:c>
      <x:c r="W322" s="4" t="str">
        <x:v>L121：2000 年起興建且使用住宅之居住家庭占 81.5%。</x:v>
      </x:c>
      <x:c r="X322" s="4" t="str">
        <x:v>僅一個独立來源；依整合協議標低信心／示意，即使為 A 級官方數字亦不自動升為實際。</x:v>
      </x:c>
      <x:c r="Y322" s="37" t="d">
        <x:v>2026-10-09T00:00:00.000Z</x:v>
      </x:c>
      <x:c r="Z322" s="4" t="str">
        <x:v>turn183view1</x:v>
      </x:c>
    </x:row>
    <x:row r="323" ht="38" customHeight="1">
      <x:c r="A323" s="4" t="str">
        <x:v>M0322</x:v>
      </x:c>
      <x:c r="B323" s="4" t="str">
        <x:v>VN</x:v>
      </x:c>
      <x:c r="C323" s="4" t="str">
        <x:v>屋齡25至49年居住家庭占比</x:v>
      </x:c>
      <x:c r="D323" s="19" t="n">
        <x:v>14.2</x:v>
      </x:c>
      <x:c r="E323" s="4" t="str">
        <x:v>%</x:v>
      </x:c>
      <x:c r="F323" s="16" t="n">
        <x:v>2024</x:v>
      </x:c>
      <x:c r="G323" s="4" t="str">
        <x:v>不能轉換為30年以上比例</x:v>
      </x:c>
      <x:c r="H323" s="4" t="str">
        <x:v>VN02</x:v>
      </x:c>
      <x:c r="I323" s="4" t="str">
        <x:v>https://www.nso.gov.vn/du-lieu-va-so-lieu-thong-ke/2025/01/thong-cao-bao-chi-ket-qua-dieu-tra-dan-so-va-nha-o-giua-ky-nam-2024/</x:v>
      </x:c>
      <x:c r="J323" s="4" t="str">
        <x:v>是</x:v>
      </x:c>
      <x:c r="K323" s="4" t="str">
        <x:v>是</x:v>
      </x:c>
      <x:c r="L323" s="4" t="str">
        <x:v>是</x:v>
      </x:c>
      <x:c r="M323" s="4" t="str">
        <x:v>是</x:v>
      </x:c>
      <x:c r="N323" s="4" t="str">
        <x:v>pass</x:v>
      </x:c>
      <x:c r="O323" s="4" t="str">
        <x:v>A</x:v>
      </x:c>
      <x:c r="P323" s="4" t="str">
        <x:v>是</x:v>
      </x:c>
      <x:c r="Q323" s="19" t="n">
        <x:v>14.2</x:v>
      </x:c>
      <x:c r="R323" s="16" t="n">
        <x:v>2024</x:v>
      </x:c>
      <x:c r="S323" s="4" t="str">
        <x:v>【示意】不能轉換為30年以上比例；獨立來源1；來源A級</x:v>
      </x:c>
      <x:c r="T323" s="4" t="str">
        <x:v>示意</x:v>
      </x:c>
      <x:c r="U323" s="16" t="n">
        <x:v>1</x:v>
      </x:c>
      <x:c r="V323" s="4" t="str">
        <x:v>低</x:v>
      </x:c>
      <x:c r="W323" s="4" t="str">
        <x:v>L121：居住於 25–49 年房屋家庭占 14.2%。</x:v>
      </x:c>
      <x:c r="X323" s="4" t="str">
        <x:v>僅一個独立來源；依整合協議標低信心／示意，即使為 A 級官方數字亦不自動升為實際。</x:v>
      </x:c>
      <x:c r="Y323" s="37" t="d">
        <x:v>2026-10-09T00:00:00.000Z</x:v>
      </x:c>
      <x:c r="Z323" s="4" t="str">
        <x:v>turn183view1</x:v>
      </x:c>
    </x:row>
    <x:row r="324" ht="38" customHeight="1">
      <x:c r="A324" s="4" t="str">
        <x:v>M0323</x:v>
      </x:c>
      <x:c r="B324" s="4" t="str">
        <x:v>VN</x:v>
      </x:c>
      <x:c r="C324" s="4" t="str">
        <x:v>屋齡超過49年居住家庭占比</x:v>
      </x:c>
      <x:c r="D324" s="19" t="n">
        <x:v>1.9</x:v>
      </x:c>
      <x:c r="E324" s="4" t="str">
        <x:v>%</x:v>
      </x:c>
      <x:c r="F324" s="16" t="n">
        <x:v>2024</x:v>
      </x:c>
      <x:c r="G324" s="4" t="str">
        <x:v>家庭分布</x:v>
      </x:c>
      <x:c r="H324" s="4" t="str">
        <x:v>VN02</x:v>
      </x:c>
      <x:c r="I324" s="4" t="str">
        <x:v>https://www.nso.gov.vn/du-lieu-va-so-lieu-thong-ke/2025/01/thong-cao-bao-chi-ket-qua-dieu-tra-dan-so-va-nha-o-giua-ky-nam-2024/</x:v>
      </x:c>
      <x:c r="J324" s="4" t="str">
        <x:v>是</x:v>
      </x:c>
      <x:c r="K324" s="4" t="str">
        <x:v>是</x:v>
      </x:c>
      <x:c r="L324" s="4" t="str">
        <x:v>是</x:v>
      </x:c>
      <x:c r="M324" s="4" t="str">
        <x:v>是</x:v>
      </x:c>
      <x:c r="N324" s="4" t="str">
        <x:v>pass</x:v>
      </x:c>
      <x:c r="O324" s="4" t="str">
        <x:v>A</x:v>
      </x:c>
      <x:c r="P324" s="4" t="str">
        <x:v>是</x:v>
      </x:c>
      <x:c r="Q324" s="19" t="n">
        <x:v>1.9</x:v>
      </x:c>
      <x:c r="R324" s="16" t="n">
        <x:v>2024</x:v>
      </x:c>
      <x:c r="S324" s="4" t="str">
        <x:v>【示意】家庭分布；獨立來源1；來源A級</x:v>
      </x:c>
      <x:c r="T324" s="4" t="str">
        <x:v>示意</x:v>
      </x:c>
      <x:c r="U324" s="16" t="n">
        <x:v>1</x:v>
      </x:c>
      <x:c r="V324" s="4" t="str">
        <x:v>低</x:v>
      </x:c>
      <x:c r="W324" s="4" t="str">
        <x:v>L121：居住於超過 49 年房屋家庭占 1.9%。</x:v>
      </x:c>
      <x:c r="X324" s="4" t="str">
        <x:v>僅一個独立來源；依整合協議標低信心／示意，即使為 A 級官方數字亦不自動升為實際。</x:v>
      </x:c>
      <x:c r="Y324" s="37" t="d">
        <x:v>2026-10-09T00:00:00.000Z</x:v>
      </x:c>
      <x:c r="Z324" s="4" t="str">
        <x:v>turn183view1</x:v>
      </x:c>
    </x:row>
    <x:row r="325" ht="38" customHeight="1">
      <x:c r="A325" s="4" t="str">
        <x:v>M0324</x:v>
      </x:c>
      <x:c r="B325" s="4" t="str">
        <x:v>VN</x:v>
      </x:c>
      <x:c r="C325" s="4" t="str">
        <x:v>60歲以上人口預測</x:v>
      </x:c>
      <x:c r="D325" s="17" t="n">
        <x:v>18000000</x:v>
      </x:c>
      <x:c r="E325" s="4" t="str">
        <x:v>人</x:v>
      </x:c>
      <x:c r="F325" s="16" t="n">
        <x:v>2030</x:v>
      </x:c>
      <x:c r="G325" s="4" t="str">
        <x:v>官方預測約數；不是65歲以上</x:v>
      </x:c>
      <x:c r="H325" s="4" t="str">
        <x:v>VN02</x:v>
      </x:c>
      <x:c r="I325" s="4" t="str">
        <x:v>https://www.nso.gov.vn/du-lieu-va-so-lieu-thong-ke/2025/01/thong-cao-bao-chi-ket-qua-dieu-tra-dan-so-va-nha-o-giua-ky-nam-2024/</x:v>
      </x:c>
      <x:c r="J325" s="4" t="str">
        <x:v>是</x:v>
      </x:c>
      <x:c r="K325" s="4" t="str">
        <x:v>是</x:v>
      </x:c>
      <x:c r="L325" s="4" t="str">
        <x:v>是</x:v>
      </x:c>
      <x:c r="M325" s="4" t="str">
        <x:v>是</x:v>
      </x:c>
      <x:c r="N325" s="4" t="str">
        <x:v>pass</x:v>
      </x:c>
      <x:c r="O325" s="4" t="str">
        <x:v>A</x:v>
      </x:c>
      <x:c r="P325" s="4" t="str">
        <x:v>是</x:v>
      </x:c>
      <x:c r="Q325" s="17" t="n">
        <x:v>18000000</x:v>
      </x:c>
      <x:c r="R325" s="16" t="n">
        <x:v>2030</x:v>
      </x:c>
      <x:c r="S325" s="4" t="str">
        <x:v>【預測／示意】官方預測約數；不是65歲以上；獨立來源1；來源A級</x:v>
      </x:c>
      <x:c r="T325" s="4" t="str">
        <x:v>預測／示意</x:v>
      </x:c>
      <x:c r="U325" s="16" t="n">
        <x:v>1</x:v>
      </x:c>
      <x:c r="V325" s="4" t="str">
        <x:v>低</x:v>
      </x:c>
      <x:c r="W325" s="4" t="str">
        <x:v>L76：2030 年 60 歲以上預測約 18 百萬；不能當 65 歲以上。</x:v>
      </x:c>
      <x:c r="X325" s="4" t="str">
        <x:v>僅一個独立來源；依整合協議標低信心／示意，即使為 A 級官方數字亦不自動升為實際。</x:v>
      </x:c>
      <x:c r="Y325" s="37" t="d">
        <x:v>2026-10-09T00:00:00.000Z</x:v>
      </x:c>
      <x:c r="Z325" s="4" t="str">
        <x:v>turn183view1</x:v>
      </x:c>
    </x:row>
    <x:row r="326" ht="38" customHeight="1">
      <x:c r="A326" s="4" t="str">
        <x:v>M0325</x:v>
      </x:c>
      <x:c r="B326" s="4" t="str">
        <x:v>VN</x:v>
      </x:c>
      <x:c r="C326" s="4" t="str">
        <x:v>單一業者基本設計費</x:v>
      </x:c>
      <x:c r="D326" s="17" t="n">
        <x:v>220000</x:v>
      </x:c>
      <x:c r="E326" s="4" t="str">
        <x:v>VND/m²</x:v>
      </x:c>
      <x:c r="F326" s="16" t="n">
        <x:v>2026</x:v>
      </x:c>
      <x:c r="G326" s="4" t="str">
        <x:v>2026年8月Doctor Nội Thất未稅設計報價，非施工、非全國均價</x:v>
      </x:c>
      <x:c r="H326" s="4" t="str">
        <x:v>VN05</x:v>
      </x:c>
      <x:c r="I326" s="4" t="str">
        <x:v>https://doctornoithat.com/bao-gia-thiet-ke-noi-that/</x:v>
      </x:c>
      <x:c r="J326" s="4" t="str">
        <x:v>是</x:v>
      </x:c>
      <x:c r="K326" s="4" t="str">
        <x:v>是</x:v>
      </x:c>
      <x:c r="L326" s="4" t="str">
        <x:v>是</x:v>
      </x:c>
      <x:c r="M326" s="4" t="str">
        <x:v>是</x:v>
      </x:c>
      <x:c r="N326" s="4" t="str">
        <x:v>pass</x:v>
      </x:c>
      <x:c r="O326" s="4" t="str">
        <x:v>C</x:v>
      </x:c>
      <x:c r="P326" s="4" t="str">
        <x:v>是</x:v>
      </x:c>
      <x:c r="Q326" s="17" t="n">
        <x:v>220000</x:v>
      </x:c>
      <x:c r="R326" s="16" t="n">
        <x:v>2026</x:v>
      </x:c>
      <x:c r="S326" s="4" t="str">
        <x:v>【示意】2026年8月Doctor Nội Thất未稅設計報價，非施工、非全國均價；獨立來源1；來源C級</x:v>
      </x:c>
      <x:c r="T326" s="4" t="str">
        <x:v>示意</x:v>
      </x:c>
      <x:c r="U326" s="16" t="n">
        <x:v>1</x:v>
      </x:c>
      <x:c r="V326" s="4" t="str">
        <x:v>低</x:v>
      </x:c>
      <x:c r="W326" s="4" t="str">
        <x:v>L27–48：2026 年 8 月基本方案 220,000 VND/m²；未含 VAT。</x:v>
      </x:c>
      <x:c r="X326" s="4" t="str">
        <x:v>僅一個独立來源；依整合協議標低信心／示意，即使為 A 級官方數字亦不自動升為實際。</x:v>
      </x:c>
      <x:c r="Y326" s="37" t="d">
        <x:v>2026-10-09T00:00:00.000Z</x:v>
      </x:c>
      <x:c r="Z326" s="4" t="str">
        <x:v>turn183view4</x:v>
      </x:c>
    </x:row>
    <x:row r="327" ht="38" customHeight="1">
      <x:c r="A327" s="4" t="str">
        <x:v>M0326</x:v>
      </x:c>
      <x:c r="B327" s="4" t="str">
        <x:v>VN</x:v>
      </x:c>
      <x:c r="C327" s="4" t="str">
        <x:v>單一業者進階設計費</x:v>
      </x:c>
      <x:c r="D327" s="17" t="n">
        <x:v>290000</x:v>
      </x:c>
      <x:c r="E327" s="4" t="str">
        <x:v>VND/m²</x:v>
      </x:c>
      <x:c r="F327" s="16" t="n">
        <x:v>2026</x:v>
      </x:c>
      <x:c r="G327" s="4" t="str">
        <x:v>促銷價；未稅；非全國中位數</x:v>
      </x:c>
      <x:c r="H327" s="4" t="str">
        <x:v>VN05</x:v>
      </x:c>
      <x:c r="I327" s="4" t="str">
        <x:v>https://doctornoithat.com/bao-gia-thiet-ke-noi-that/</x:v>
      </x:c>
      <x:c r="J327" s="4" t="str">
        <x:v>是</x:v>
      </x:c>
      <x:c r="K327" s="4" t="str">
        <x:v>是</x:v>
      </x:c>
      <x:c r="L327" s="4" t="str">
        <x:v>是</x:v>
      </x:c>
      <x:c r="M327" s="4" t="str">
        <x:v>是</x:v>
      </x:c>
      <x:c r="N327" s="4" t="str">
        <x:v>pass</x:v>
      </x:c>
      <x:c r="O327" s="4" t="str">
        <x:v>C</x:v>
      </x:c>
      <x:c r="P327" s="4" t="str">
        <x:v>是</x:v>
      </x:c>
      <x:c r="Q327" s="17" t="n">
        <x:v>290000</x:v>
      </x:c>
      <x:c r="R327" s="16" t="n">
        <x:v>2026</x:v>
      </x:c>
      <x:c r="S327" s="4" t="str">
        <x:v>【示意】促銷價；未稅；非全國中位數；獨立來源1；來源C級</x:v>
      </x:c>
      <x:c r="T327" s="4" t="str">
        <x:v>示意</x:v>
      </x:c>
      <x:c r="U327" s="16" t="n">
        <x:v>1</x:v>
      </x:c>
      <x:c r="V327" s="4" t="str">
        <x:v>低</x:v>
      </x:c>
      <x:c r="W327" s="4" t="str">
        <x:v>L27–48：2026 年 8 月進階促銷 290,000 VND/m²，原價 350,000；未稅。</x:v>
      </x:c>
      <x:c r="X327" s="4" t="str">
        <x:v>僅一個独立來源；依整合協議標低信心／示意，即使為 A 級官方數字亦不自動升為實際。</x:v>
      </x:c>
      <x:c r="Y327" s="37" t="d">
        <x:v>2026-10-09T00:00:00.000Z</x:v>
      </x:c>
      <x:c r="Z327" s="4" t="str">
        <x:v>turn183view4</x:v>
      </x:c>
    </x:row>
    <x:row r="328" ht="38" customHeight="1">
      <x:c r="A328" s="4" t="str">
        <x:v>M0327</x:v>
      </x:c>
      <x:c r="B328" s="4" t="str">
        <x:v>VN</x:v>
      </x:c>
      <x:c r="C328" s="4" t="str">
        <x:v>單一業者高階設計費</x:v>
      </x:c>
      <x:c r="D328" s="17" t="n">
        <x:v>400000</x:v>
      </x:c>
      <x:c r="E328" s="4" t="str">
        <x:v>VND/m²</x:v>
      </x:c>
      <x:c r="F328" s="16" t="n">
        <x:v>2026</x:v>
      </x:c>
      <x:c r="G328" s="4" t="str">
        <x:v>未稅單一業者設計費</x:v>
      </x:c>
      <x:c r="H328" s="4" t="str">
        <x:v>VN05</x:v>
      </x:c>
      <x:c r="I328" s="4" t="str">
        <x:v>https://doctornoithat.com/bao-gia-thiet-ke-noi-that/</x:v>
      </x:c>
      <x:c r="J328" s="4" t="str">
        <x:v>是</x:v>
      </x:c>
      <x:c r="K328" s="4" t="str">
        <x:v>是</x:v>
      </x:c>
      <x:c r="L328" s="4" t="str">
        <x:v>是</x:v>
      </x:c>
      <x:c r="M328" s="4" t="str">
        <x:v>是</x:v>
      </x:c>
      <x:c r="N328" s="4" t="str">
        <x:v>pass</x:v>
      </x:c>
      <x:c r="O328" s="4" t="str">
        <x:v>C</x:v>
      </x:c>
      <x:c r="P328" s="4" t="str">
        <x:v>是</x:v>
      </x:c>
      <x:c r="Q328" s="17" t="n">
        <x:v>400000</x:v>
      </x:c>
      <x:c r="R328" s="16" t="n">
        <x:v>2026</x:v>
      </x:c>
      <x:c r="S328" s="4" t="str">
        <x:v>【示意】未稅單一業者設計費；獨立來源1；來源C級</x:v>
      </x:c>
      <x:c r="T328" s="4" t="str">
        <x:v>示意</x:v>
      </x:c>
      <x:c r="U328" s="16" t="n">
        <x:v>1</x:v>
      </x:c>
      <x:c r="V328" s="4" t="str">
        <x:v>低</x:v>
      </x:c>
      <x:c r="W328" s="4" t="str">
        <x:v>L27–48：2026 年 8 月高階方案 400,000 VND/m²；未稅。</x:v>
      </x:c>
      <x:c r="X328" s="4" t="str">
        <x:v>僅一個独立來源；依整合協議標低信心／示意，即使為 A 級官方數字亦不自動升為實際。</x:v>
      </x:c>
      <x:c r="Y328" s="37" t="d">
        <x:v>2026-10-09T00:00:00.000Z</x:v>
      </x:c>
      <x:c r="Z328" s="4" t="str">
        <x:v>turn183view4</x:v>
      </x:c>
    </x:row>
    <x:row r="329" ht="38" customHeight="1">
      <x:c r="A329" s="4" t="str">
        <x:v>M0328</x:v>
      </x:c>
      <x:c r="B329" s="4" t="str">
        <x:v>VN</x:v>
      </x:c>
      <x:c r="C329" s="4" t="str">
        <x:v>單一業者特別設計費</x:v>
      </x:c>
      <x:c r="D329" s="17" t="n">
        <x:v>1100000</x:v>
      </x:c>
      <x:c r="E329" s="4" t="str">
        <x:v>VND/m²</x:v>
      </x:c>
      <x:c r="F329" s="16" t="n">
        <x:v>2026</x:v>
      </x:c>
      <x:c r="G329" s="4" t="str">
        <x:v>未稅；不代表市場頂級上限</x:v>
      </x:c>
      <x:c r="H329" s="4" t="str">
        <x:v>VN05</x:v>
      </x:c>
      <x:c r="I329" s="4" t="str">
        <x:v>https://doctornoithat.com/bao-gia-thiet-ke-noi-that/</x:v>
      </x:c>
      <x:c r="J329" s="4" t="str">
        <x:v>是</x:v>
      </x:c>
      <x:c r="K329" s="4" t="str">
        <x:v>是</x:v>
      </x:c>
      <x:c r="L329" s="4" t="str">
        <x:v>是</x:v>
      </x:c>
      <x:c r="M329" s="4" t="str">
        <x:v>是</x:v>
      </x:c>
      <x:c r="N329" s="4" t="str">
        <x:v>pass</x:v>
      </x:c>
      <x:c r="O329" s="4" t="str">
        <x:v>C</x:v>
      </x:c>
      <x:c r="P329" s="4" t="str">
        <x:v>是</x:v>
      </x:c>
      <x:c r="Q329" s="17" t="n">
        <x:v>1100000</x:v>
      </x:c>
      <x:c r="R329" s="16" t="n">
        <x:v>2026</x:v>
      </x:c>
      <x:c r="S329" s="4" t="str">
        <x:v>【示意】未稅；不代表市場頂級上限；獨立來源1；來源C級</x:v>
      </x:c>
      <x:c r="T329" s="4" t="str">
        <x:v>示意</x:v>
      </x:c>
      <x:c r="U329" s="16" t="n">
        <x:v>1</x:v>
      </x:c>
      <x:c r="V329" s="4" t="str">
        <x:v>低</x:v>
      </x:c>
      <x:c r="W329" s="4" t="str">
        <x:v>L27–48：2026 年 8 月特別方案 1,100,000 VND/m²；未稅。</x:v>
      </x:c>
      <x:c r="X329" s="4" t="str">
        <x:v>僅一個独立來源；依整合協議標低信心／示意，即使為 A 級官方數字亦不自動升為實際。</x:v>
      </x:c>
      <x:c r="Y329" s="37" t="d">
        <x:v>2026-10-09T00:00:00.000Z</x:v>
      </x:c>
      <x:c r="Z329" s="4" t="str">
        <x:v>turn183view4</x:v>
      </x:c>
    </x:row>
    <x:row r="330" ht="38" customHeight="1">
      <x:c r="A330" s="4" t="str">
        <x:v>M0329</x:v>
      </x:c>
      <x:c r="B330" s="4" t="str">
        <x:v>VN</x:v>
      </x:c>
      <x:c r="C330" s="4" t="str">
        <x:v>An Cuong合併營收</x:v>
      </x:c>
      <x:c r="D330" s="19" t="n">
        <x:v>4608.7</x:v>
      </x:c>
      <x:c r="E330" s="4" t="str">
        <x:v>十億VND</x:v>
      </x:c>
      <x:c r="F330" s="16" t="n">
        <x:v>2025</x:v>
      </x:c>
      <x:c r="G330" s="4" t="str">
        <x:v>材料與木作企業總合併營收，非純設計收入</x:v>
      </x:c>
      <x:c r="H330" s="4" t="str">
        <x:v>VN07</x:v>
      </x:c>
      <x:c r="I330" s="4" t="str">
        <x:v>https://ancuong.com/pictures/files/pdf/acg-2026/ACG%202026%200805%20-%20Nghi%20quyet%20DHDCD%20thuong%20nien%202026%20%5BVN-EN%5D.pdf</x:v>
      </x:c>
      <x:c r="J330" s="4" t="str">
        <x:v>是</x:v>
      </x:c>
      <x:c r="K330" s="4" t="str">
        <x:v>是</x:v>
      </x:c>
      <x:c r="L330" s="4" t="str">
        <x:v>是</x:v>
      </x:c>
      <x:c r="M330" s="4" t="str">
        <x:v>是</x:v>
      </x:c>
      <x:c r="N330" s="4" t="str">
        <x:v>pass</x:v>
      </x:c>
      <x:c r="O330" s="4" t="str">
        <x:v>A</x:v>
      </x:c>
      <x:c r="P330" s="4" t="str">
        <x:v>是</x:v>
      </x:c>
      <x:c r="Q330" s="19" t="n">
        <x:v>4608.7</x:v>
      </x:c>
      <x:c r="R330" s="16" t="n">
        <x:v>2025</x:v>
      </x:c>
      <x:c r="S330" s="4" t="str">
        <x:v>【示意】材料與木作企業總合併營收，非純設計收入；獨立來源1；來源A級</x:v>
      </x:c>
      <x:c r="T330" s="4" t="str">
        <x:v>示意</x:v>
      </x:c>
      <x:c r="U330" s="16" t="n">
        <x:v>1</x:v>
      </x:c>
      <x:c r="V330" s="4" t="str">
        <x:v>低</x:v>
      </x:c>
      <x:c r="W330" s="4" t="str">
        <x:v>PDF 第 5 頁（P4），FY2025 合併淨營收 4,608.7，單位十億 VND。</x:v>
      </x:c>
      <x:c r="X330" s="4" t="str">
        <x:v>僅一個独立來源；依整合協議標低信心／示意，即使為 A 級官方數字亦不自動升為實際。</x:v>
      </x:c>
      <x:c r="Y330" s="37" t="d">
        <x:v>2026-10-09T00:00:00.000Z</x:v>
      </x:c>
      <x:c r="Z330" s="4" t="str">
        <x:v>turn183view6</x:v>
      </x:c>
    </x:row>
    <x:row r="331" ht="38" customHeight="1">
      <x:c r="A331" s="4" t="str">
        <x:v>M0330</x:v>
      </x:c>
      <x:c r="B331" s="4" t="str">
        <x:v>VN</x:v>
      </x:c>
      <x:c r="C331" s="4" t="str">
        <x:v>An Cuong合併稅後淨利</x:v>
      </x:c>
      <x:c r="D331" s="19" t="n">
        <x:v>503.7</x:v>
      </x:c>
      <x:c r="E331" s="4" t="str">
        <x:v>十億VND</x:v>
      </x:c>
      <x:c r="F331" s="16" t="n">
        <x:v>2025</x:v>
      </x:c>
      <x:c r="G331" s="4" t="str">
        <x:v>企業合併稅後淨利</x:v>
      </x:c>
      <x:c r="H331" s="4" t="str">
        <x:v>VN07</x:v>
      </x:c>
      <x:c r="I331" s="4" t="str">
        <x:v>https://ancuong.com/pictures/files/pdf/acg-2026/ACG%202026%200805%20-%20Nghi%20quyet%20DHDCD%20thuong%20nien%202026%20%5BVN-EN%5D.pdf</x:v>
      </x:c>
      <x:c r="J331" s="4" t="str">
        <x:v>是</x:v>
      </x:c>
      <x:c r="K331" s="4" t="str">
        <x:v>是</x:v>
      </x:c>
      <x:c r="L331" s="4" t="str">
        <x:v>是</x:v>
      </x:c>
      <x:c r="M331" s="4" t="str">
        <x:v>是</x:v>
      </x:c>
      <x:c r="N331" s="4" t="str">
        <x:v>pass</x:v>
      </x:c>
      <x:c r="O331" s="4" t="str">
        <x:v>A</x:v>
      </x:c>
      <x:c r="P331" s="4" t="str">
        <x:v>是</x:v>
      </x:c>
      <x:c r="Q331" s="19" t="n">
        <x:v>503.7</x:v>
      </x:c>
      <x:c r="R331" s="16" t="n">
        <x:v>2025</x:v>
      </x:c>
      <x:c r="S331" s="4" t="str">
        <x:v>【示意】企業合併稅後淨利；獨立來源1；來源A級</x:v>
      </x:c>
      <x:c r="T331" s="4" t="str">
        <x:v>示意</x:v>
      </x:c>
      <x:c r="U331" s="16" t="n">
        <x:v>1</x:v>
      </x:c>
      <x:c r="V331" s="4" t="str">
        <x:v>低</x:v>
      </x:c>
      <x:c r="W331" s="4" t="str">
        <x:v>PDF 第 5 頁（P4），FY2025 合併稅後淨利 503.7，單位十億 VND。</x:v>
      </x:c>
      <x:c r="X331" s="4" t="str">
        <x:v>僅一個独立來源；依整合協議標低信心／示意，即使為 A 級官方數字亦不自動升為實際。</x:v>
      </x:c>
      <x:c r="Y331" s="37" t="d">
        <x:v>2026-10-09T00:00:00.000Z</x:v>
      </x:c>
      <x:c r="Z331" s="4" t="str">
        <x:v>turn183view6</x:v>
      </x:c>
    </x:row>
    <x:row r="332" ht="38" customHeight="1">
      <x:c r="A332" s="4" t="str">
        <x:v>M0331</x:v>
      </x:c>
      <x:c r="B332" s="4" t="str">
        <x:v>VN</x:v>
      </x:c>
      <x:c r="C332" s="4" t="str">
        <x:v>Home improvement市場估算（爭議值）</x:v>
      </x:c>
      <x:c r="D332" s="18" t="n">
        <x:v>3.77</x:v>
      </x:c>
      <x:c r="E332" s="4" t="str">
        <x:v>十億USD</x:v>
      </x:c>
      <x:c r="F332" s="16" t="n">
        <x:v>2025</x:v>
      </x:c>
      <x:c r="G332" s="4" t="str">
        <x:v>住宅材料設備工具與安裝；同頁另列3.21，不作硬排名</x:v>
      </x:c>
      <x:c r="H332" s="4" t="str">
        <x:v>VN11</x:v>
      </x:c>
      <x:c r="I332" s="4" t="str">
        <x:v>https://www.mordorintelligence.com/industry-reports/vietnam-home-improvement-market</x:v>
      </x:c>
      <x:c r="J332" s="4" t="str">
        <x:v>是</x:v>
      </x:c>
      <x:c r="K332" s="4" t="str">
        <x:v>是</x:v>
      </x:c>
      <x:c r="L332" s="4" t="str">
        <x:v>是</x:v>
      </x:c>
      <x:c r="M332" s="4" t="str">
        <x:v>是</x:v>
      </x:c>
      <x:c r="N332" s="4" t="str">
        <x:v>partial</x:v>
      </x:c>
      <x:c r="O332" s="4" t="str">
        <x:v>C</x:v>
      </x:c>
      <x:c r="P332" s="4" t="str">
        <x:v>否</x:v>
      </x:c>
      <x:c r="Q332" s="14" t="str"/>
      <x:c r="R332" s="16" t="str"/>
      <x:c r="S332" s="4" t="str"/>
      <x:c r="T332" s="4" t="str">
        <x:v>不採用</x:v>
      </x:c>
      <x:c r="U332" s="16" t="n">
        <x:v>1</x:v>
      </x:c>
      <x:c r="V332" s="4" t="str">
        <x:v>低</x:v>
      </x:c>
      <x:c r="W332" s="4" t="str">
        <x:v>頁首 L9 為 2025 USD3.77bn；方法比較 L332 同年卻 USD3.21bn；L281–283 定義含居住住宅改善材料、設備、工具及相關安裝，排除新建和非住宅。</x:v>
      </x:c>
      <x:c r="X332" s="4" t="str">
        <x:v>同一 URL 同年出現兩個基期；無法裁定何者正確。兩值只存矛盾表，不作市場估值或衍生計算。</x:v>
      </x:c>
      <x:c r="Y332" s="37" t="d">
        <x:v>2026-10-09T00:00:00.000Z</x:v>
      </x:c>
      <x:c r="Z332" s="4" t="str">
        <x:v>turn186view3</x:v>
      </x:c>
    </x:row>
    <x:row r="333" ht="38" customHeight="1">
      <x:c r="A333" s="4" t="str">
        <x:v>M0332</x:v>
      </x:c>
      <x:c r="B333" s="4" t="str">
        <x:v>VN</x:v>
      </x:c>
      <x:c r="C333" s="4" t="str">
        <x:v>Home furniture市場估算</x:v>
      </x:c>
      <x:c r="D333" s="19" t="n">
        <x:v>474.3</x:v>
      </x:c>
      <x:c r="E333" s="4" t="str">
        <x:v>百萬USD</x:v>
      </x:c>
      <x:c r="F333" s="16" t="n">
        <x:v>2025</x:v>
      </x:c>
      <x:c r="G333" s="4" t="str">
        <x:v>住宅家具市調口徑，非裝修</x:v>
      </x:c>
      <x:c r="H333" s="4" t="str">
        <x:v>VN12</x:v>
      </x:c>
      <x:c r="I333" s="4" t="str">
        <x:v>https://www.mordorintelligence.com/industry-reports/vietnam-home-furniture-market</x:v>
      </x:c>
      <x:c r="J333" s="4" t="str">
        <x:v>是</x:v>
      </x:c>
      <x:c r="K333" s="4" t="str">
        <x:v>是</x:v>
      </x:c>
      <x:c r="L333" s="4" t="str">
        <x:v>是</x:v>
      </x:c>
      <x:c r="M333" s="4" t="str">
        <x:v>是</x:v>
      </x:c>
      <x:c r="N333" s="4" t="str">
        <x:v>pass</x:v>
      </x:c>
      <x:c r="O333" s="4" t="str">
        <x:v>C</x:v>
      </x:c>
      <x:c r="P333" s="4" t="str">
        <x:v>是</x:v>
      </x:c>
      <x:c r="Q333" s="19" t="n">
        <x:v>474.3</x:v>
      </x:c>
      <x:c r="R333" s="16" t="n">
        <x:v>2025</x:v>
      </x:c>
      <x:c r="S333" s="4" t="str">
        <x:v>【示意】住宅家具市調口徑，非裝修；獨立來源1；來源C級</x:v>
      </x:c>
      <x:c r="T333" s="4" t="str">
        <x:v>示意</x:v>
      </x:c>
      <x:c r="U333" s="16" t="n">
        <x:v>1</x:v>
      </x:c>
      <x:c r="V333" s="4" t="str">
        <x:v>低</x:v>
      </x:c>
      <x:c r="W333" s="4" t="str">
        <x:v>L8：2025 USD474.30m；L255–257 定義為越南家庭使用成品家具，以終端售價計，排除非住宅、裝飾品、家電、改善材料。</x:v>
      </x:c>
      <x:c r="X333" s="4" t="str">
        <x:v>僅一個独立來源；依整合協議標低信心／示意，即使為 A 級官方數字亦不自動升為實際。</x:v>
      </x:c>
      <x:c r="Y333" s="37" t="d">
        <x:v>2026-10-09T00:00:00.000Z</x:v>
      </x:c>
      <x:c r="Z333" s="4" t="str">
        <x:v>turn186view4</x:v>
      </x:c>
    </x:row>
    <x:row r="334" ht="66" customHeight="1">
      <x:c r="A334" s="4" t="str">
        <x:v>M0333</x:v>
      </x:c>
      <x:c r="B334" s="4" t="str">
        <x:v>VN</x:v>
      </x:c>
      <x:c r="C334" s="4" t="str">
        <x:v>Furniture市場估算</x:v>
      </x:c>
      <x:c r="D334" s="18" t="n">
        <x:v>9.76</x:v>
      </x:c>
      <x:c r="E334" s="4" t="str">
        <x:v>十億USD</x:v>
      </x:c>
      <x:c r="F334" s="16" t="n">
        <x:v>2025</x:v>
      </x:c>
      <x:c r="G334" s="4" t="str">
        <x:v>含境內製造及內外銷的住宅商業家具；不可視為越南內需</x:v>
      </x:c>
      <x:c r="H334" s="4" t="str">
        <x:v>VN13</x:v>
      </x:c>
      <x:c r="I334" s="4" t="str">
        <x:v>https://www.mordorintelligence.com/industry-reports/vietnam-furniture-market</x:v>
      </x:c>
      <x:c r="J334" s="4" t="str">
        <x:v>是</x:v>
      </x:c>
      <x:c r="K334" s="4" t="str">
        <x:v>是</x:v>
      </x:c>
      <x:c r="L334" s="4" t="str">
        <x:v>是</x:v>
      </x:c>
      <x:c r="M334" s="4" t="str">
        <x:v>是</x:v>
      </x:c>
      <x:c r="N334" s="4" t="str">
        <x:v>partial</x:v>
      </x:c>
      <x:c r="O334" s="4" t="str">
        <x:v>C</x:v>
      </x:c>
      <x:c r="P334" s="4" t="str">
        <x:v>是</x:v>
      </x:c>
      <x:c r="Q334" s="14" t="str">
        <x:v>9.62–9.76</x:v>
      </x:c>
      <x:c r="R334" s="16" t="n">
        <x:v>2025</x:v>
      </x:c>
      <x:c r="S334" s="4" t="str">
        <x:v>【示意】含越南境內家具設計製造與內外銷；同頁2025年基期存在9.76與9.62版本差，仅保留區間示意，非雙源驗證；獨立來源1；來源C級；查核限制：L8：2025 USD9.76bn；L281、345 含國內家具設計製造、內外銷，非純內需；方法比較 L350 另列 USD9.62bn。；同頁9.76／9.62十億美元並列區間，不平均</x:v>
      </x:c>
      <x:c r="T334" s="4" t="str">
        <x:v>示意</x:v>
      </x:c>
      <x:c r="U334" s="16" t="n">
        <x:v>1</x:v>
      </x:c>
      <x:c r="V334" s="4" t="str">
        <x:v>低</x:v>
      </x:c>
      <x:c r="W334" s="4" t="str">
        <x:v>L8：2025 USD9.76bn；L281、345 含國內家具設計製造、內外銷，非純內需；方法比較 L350 另列 USD9.62bn。</x:v>
      </x:c>
      <x:c r="X334" s="4" t="str">
        <x:v>頁首 9.76 與方法比較 9.62 十億 USD 不一致（約 1.46%）；以 9.62–9.76 區間揭露，不用單點排名；含出口且與住宅家具不同範圍。</x:v>
      </x:c>
      <x:c r="Y334" s="37" t="d">
        <x:v>2026-10-09T00:00:00.000Z</x:v>
      </x:c>
      <x:c r="Z334" s="4" t="str">
        <x:v>turn186view5</x:v>
      </x:c>
    </x:row>
    <x:row r="335" ht="38" customHeight="1">
      <x:c r="A335" s="4" t="str">
        <x:v>M0334</x:v>
      </x:c>
      <x:c r="B335" s="4" t="str">
        <x:v>VN</x:v>
      </x:c>
      <x:c r="C335" s="4" t="str">
        <x:v>胡志明市商辦裝修成本</x:v>
      </x:c>
      <x:c r="D335" s="20" t="n">
        <x:v>656.5985354192931</x:v>
      </x:c>
      <x:c r="E335" s="4" t="str">
        <x:v>USD/m²</x:v>
      </x:c>
      <x:c r="F335" s="16" t="n">
        <x:v>2026</x:v>
      </x:c>
      <x:c r="G335" s="4" t="str">
        <x:v>C&amp;W 2026商辦fit-out，價格基準2025年12月；USD/ft²÷0.09290304，非住宅報價，報告自身匯率</x:v>
      </x:c>
      <x:c r="H335" s="4" t="str">
        <x:v>X02</x:v>
      </x:c>
      <x:c r="I335" s="4" t="str">
        <x:v>https://digital.cushmanwakefield.com/fitoutcostguide-03-2026-apac-regional-en-content-pds-office/30-31/</x:v>
      </x:c>
      <x:c r="J335" s="4" t="str">
        <x:v>是</x:v>
      </x:c>
      <x:c r="K335" s="4" t="str">
        <x:v>是</x:v>
      </x:c>
      <x:c r="L335" s="4" t="str">
        <x:v>是</x:v>
      </x:c>
      <x:c r="M335" s="4" t="str">
        <x:v>是</x:v>
      </x:c>
      <x:c r="N335" s="4" t="str">
        <x:v>pass</x:v>
      </x:c>
      <x:c r="O335" s="4" t="str">
        <x:v>B</x:v>
      </x:c>
      <x:c r="P335" s="4" t="str">
        <x:v>是</x:v>
      </x:c>
      <x:c r="Q335" s="20" t="n">
        <x:v>656.5985354192931</x:v>
      </x:c>
      <x:c r="R335" s="16" t="n">
        <x:v>2026</x:v>
      </x:c>
      <x:c r="S335" s="4" t="str">
        <x:v>【示意】C&amp;W 2026商辦fit-out，價格基準2025年12月；USD/ft²÷0.09290304，非住宅報價，報告自身匯率；獨立來源1；來源B級</x:v>
      </x:c>
      <x:c r="T335" s="4" t="str">
        <x:v>示意</x:v>
      </x:c>
      <x:c r="U335" s="16" t="n">
        <x:v>1</x:v>
      </x:c>
      <x:c r="V335" s="4" t="str">
        <x:v>低</x:v>
      </x:c>
      <x:c r="W335" s="4" t="str">
        <x:v>成本頁逐城讀USD/ft²；配合X11方法頁確定價格2025-12，報告2026。 胡志明市=61USD/ft²，除0.09290304得656.5985354192931USD/m²；原幣17287908VND/m²。</x:v>
      </x:c>
      <x:c r="X335" s="4" t="str">
        <x:v>單一獨立原始機構，依協議第4條低信心示意；A/B來源等級不等於已三角驗證。</x:v>
      </x:c>
      <x:c r="Y335" s="37" t="d">
        <x:v>2026-10-09T00:00:00.000Z</x:v>
      </x:c>
      <x:c r="Z335" s="4" t="str">
        <x:v>turn202view1</x:v>
      </x:c>
    </x:row>
    <x:row r="336" ht="38" customHeight="1">
      <x:c r="A336" s="4" t="str">
        <x:v>M0335</x:v>
      </x:c>
      <x:c r="B336" s="4" t="str">
        <x:v>ID</x:v>
      </x:c>
      <x:c r="C336" s="4" t="str">
        <x:v>名目人均GDP</x:v>
      </x:c>
      <x:c r="D336" s="19" t="n">
        <x:v>4960.3</x:v>
      </x:c>
      <x:c r="E336" s="4" t="str">
        <x:v>USD/人</x:v>
      </x:c>
      <x:c r="F336" s="16" t="n">
        <x:v>2024</x:v>
      </x:c>
      <x:c r="G336" s="4" t="str">
        <x:v>官方當期美元</x:v>
      </x:c>
      <x:c r="H336" s="4" t="str">
        <x:v>ID01</x:v>
      </x:c>
      <x:c r="I336" s="4" t="str">
        <x:v>https://www.bps.go.id/id/pressrelease/2025/02/05/2408/economic-growth.html</x:v>
      </x:c>
      <x:c r="J336" s="4" t="str">
        <x:v>是</x:v>
      </x:c>
      <x:c r="K336" s="4" t="str">
        <x:v>是</x:v>
      </x:c>
      <x:c r="L336" s="4" t="str">
        <x:v>是</x:v>
      </x:c>
      <x:c r="M336" s="4" t="str">
        <x:v>是</x:v>
      </x:c>
      <x:c r="N336" s="4" t="str">
        <x:v>pass</x:v>
      </x:c>
      <x:c r="O336" s="4" t="str">
        <x:v>A</x:v>
      </x:c>
      <x:c r="P336" s="4" t="str">
        <x:v>是</x:v>
      </x:c>
      <x:c r="Q336" s="19" t="n">
        <x:v>4960.3</x:v>
      </x:c>
      <x:c r="R336" s="16" t="n">
        <x:v>2024</x:v>
      </x:c>
      <x:c r="S336" s="4" t="str">
        <x:v>【示意】官方當期美元；獨立來源1；來源A級</x:v>
      </x:c>
      <x:c r="T336" s="4" t="str">
        <x:v>示意</x:v>
      </x:c>
      <x:c r="U336" s="16" t="n">
        <x:v>1</x:v>
      </x:c>
      <x:c r="V336" s="4" t="str">
        <x:v>低</x:v>
      </x:c>
      <x:c r="W336" s="4" t="str">
        <x:v>L25：2024 人均 Rp78.6 百萬或 USD4,960.3。</x:v>
      </x:c>
      <x:c r="X336" s="4" t="str">
        <x:v>僅一個独立來源；依整合協議標低信心／示意，即使為 A 級官方數字亦不自動升為實際。</x:v>
      </x:c>
      <x:c r="Y336" s="37" t="d">
        <x:v>2026-10-09T00:00:00.000Z</x:v>
      </x:c>
      <x:c r="Z336" s="4" t="str">
        <x:v>turn186view6</x:v>
      </x:c>
    </x:row>
    <x:row r="337" ht="38" customHeight="1">
      <x:c r="A337" s="4" t="str">
        <x:v>M0336</x:v>
      </x:c>
      <x:c r="B337" s="4" t="str">
        <x:v>ID</x:v>
      </x:c>
      <x:c r="C337" s="4" t="str">
        <x:v>名目人均GDP原幣</x:v>
      </x:c>
      <x:c r="D337" s="17" t="n">
        <x:v>78600000</x:v>
      </x:c>
      <x:c r="E337" s="4" t="str">
        <x:v>IDR/人</x:v>
      </x:c>
      <x:c r="F337" s="16" t="n">
        <x:v>2024</x:v>
      </x:c>
      <x:c r="G337" s="4" t="str">
        <x:v>官方當期價格</x:v>
      </x:c>
      <x:c r="H337" s="4" t="str">
        <x:v>ID01</x:v>
      </x:c>
      <x:c r="I337" s="4" t="str">
        <x:v>https://www.bps.go.id/id/pressrelease/2025/02/05/2408/economic-growth.html</x:v>
      </x:c>
      <x:c r="J337" s="4" t="str">
        <x:v>是</x:v>
      </x:c>
      <x:c r="K337" s="4" t="str">
        <x:v>是</x:v>
      </x:c>
      <x:c r="L337" s="4" t="str">
        <x:v>是</x:v>
      </x:c>
      <x:c r="M337" s="4" t="str">
        <x:v>是</x:v>
      </x:c>
      <x:c r="N337" s="4" t="str">
        <x:v>pass</x:v>
      </x:c>
      <x:c r="O337" s="4" t="str">
        <x:v>A</x:v>
      </x:c>
      <x:c r="P337" s="4" t="str">
        <x:v>是</x:v>
      </x:c>
      <x:c r="Q337" s="17" t="n">
        <x:v>78600000</x:v>
      </x:c>
      <x:c r="R337" s="16" t="n">
        <x:v>2024</x:v>
      </x:c>
      <x:c r="S337" s="4" t="str">
        <x:v>【示意】官方當期價格；獨立來源1；來源A級</x:v>
      </x:c>
      <x:c r="T337" s="4" t="str">
        <x:v>示意</x:v>
      </x:c>
      <x:c r="U337" s="16" t="n">
        <x:v>1</x:v>
      </x:c>
      <x:c r="V337" s="4" t="str">
        <x:v>低</x:v>
      </x:c>
      <x:c r="W337" s="4" t="str">
        <x:v>L25：2024 人均 Rp78.6 百萬。</x:v>
      </x:c>
      <x:c r="X337" s="4" t="str">
        <x:v>僅一個独立來源；依整合協議標低信心／示意，即使為 A 級官方數字亦不自動升為實際。</x:v>
      </x:c>
      <x:c r="Y337" s="37" t="d">
        <x:v>2026-10-09T00:00:00.000Z</x:v>
      </x:c>
      <x:c r="Z337" s="4" t="str">
        <x:v>turn186view6</x:v>
      </x:c>
    </x:row>
    <x:row r="338" ht="38" customHeight="1">
      <x:c r="A338" s="4" t="str">
        <x:v>M0337</x:v>
      </x:c>
      <x:c r="B338" s="4" t="str">
        <x:v>ID</x:v>
      </x:c>
      <x:c r="C338" s="4" t="str">
        <x:v>實質GDP成長率</x:v>
      </x:c>
      <x:c r="D338" s="18" t="n">
        <x:v>5.03</x:v>
      </x:c>
      <x:c r="E338" s="4" t="str">
        <x:v>%</x:v>
      </x:c>
      <x:c r="F338" s="16" t="n">
        <x:v>2024</x:v>
      </x:c>
      <x:c r="G338" s="4" t="str">
        <x:v>全國實質成長</x:v>
      </x:c>
      <x:c r="H338" s="4" t="str">
        <x:v>ID01</x:v>
      </x:c>
      <x:c r="I338" s="4" t="str">
        <x:v>https://www.bps.go.id/id/pressrelease/2025/02/05/2408/economic-growth.html</x:v>
      </x:c>
      <x:c r="J338" s="4" t="str">
        <x:v>是</x:v>
      </x:c>
      <x:c r="K338" s="4" t="str">
        <x:v>是</x:v>
      </x:c>
      <x:c r="L338" s="4" t="str">
        <x:v>是</x:v>
      </x:c>
      <x:c r="M338" s="4" t="str">
        <x:v>是</x:v>
      </x:c>
      <x:c r="N338" s="4" t="str">
        <x:v>pass</x:v>
      </x:c>
      <x:c r="O338" s="4" t="str">
        <x:v>A</x:v>
      </x:c>
      <x:c r="P338" s="4" t="str">
        <x:v>是</x:v>
      </x:c>
      <x:c r="Q338" s="18" t="n">
        <x:v>5.03</x:v>
      </x:c>
      <x:c r="R338" s="16" t="n">
        <x:v>2024</x:v>
      </x:c>
      <x:c r="S338" s="4" t="str">
        <x:v>【示意】全國實質成長；獨立來源1；來源A級</x:v>
      </x:c>
      <x:c r="T338" s="4" t="str">
        <x:v>示意</x:v>
      </x:c>
      <x:c r="U338" s="16" t="n">
        <x:v>1</x:v>
      </x:c>
      <x:c r="V338" s="4" t="str">
        <x:v>低</x:v>
      </x:c>
      <x:c r="W338" s="4" t="str">
        <x:v>L26：2024 GDP 成長 5.03%，c-to-c。</x:v>
      </x:c>
      <x:c r="X338" s="4" t="str">
        <x:v>僅一個独立來源；依整合協議標低信心／示意，即使為 A 級官方數字亦不自動升為實際。</x:v>
      </x:c>
      <x:c r="Y338" s="37" t="d">
        <x:v>2026-10-09T00:00:00.000Z</x:v>
      </x:c>
      <x:c r="Z338" s="4" t="str">
        <x:v>turn186view6</x:v>
      </x:c>
    </x:row>
    <x:row r="339" ht="38" customHeight="1">
      <x:c r="A339" s="4" t="str">
        <x:v>M0338</x:v>
      </x:c>
      <x:c r="B339" s="4" t="str">
        <x:v>ID</x:v>
      </x:c>
      <x:c r="C339" s="4" t="str">
        <x:v>爪哇GDP占比</x:v>
      </x:c>
      <x:c r="D339" s="18" t="n">
        <x:v>57.02</x:v>
      </x:c>
      <x:c r="E339" s="4" t="str">
        <x:v>%</x:v>
      </x:c>
      <x:c r="F339" s="16" t="n">
        <x:v>2024</x:v>
      </x:c>
      <x:c r="G339" s="4" t="str">
        <x:v>區域產出占比；非裝修需求占比</x:v>
      </x:c>
      <x:c r="H339" s="4" t="str">
        <x:v>ID01</x:v>
      </x:c>
      <x:c r="I339" s="4" t="str">
        <x:v>https://www.bps.go.id/id/pressrelease/2025/02/05/2408/economic-growth.html</x:v>
      </x:c>
      <x:c r="J339" s="4" t="str">
        <x:v>是</x:v>
      </x:c>
      <x:c r="K339" s="4" t="str">
        <x:v>是</x:v>
      </x:c>
      <x:c r="L339" s="4" t="str">
        <x:v>是</x:v>
      </x:c>
      <x:c r="M339" s="4" t="str">
        <x:v>是</x:v>
      </x:c>
      <x:c r="N339" s="4" t="str">
        <x:v>pass</x:v>
      </x:c>
      <x:c r="O339" s="4" t="str">
        <x:v>A</x:v>
      </x:c>
      <x:c r="P339" s="4" t="str">
        <x:v>是</x:v>
      </x:c>
      <x:c r="Q339" s="18" t="n">
        <x:v>57.02</x:v>
      </x:c>
      <x:c r="R339" s="16" t="n">
        <x:v>2024</x:v>
      </x:c>
      <x:c r="S339" s="4" t="str">
        <x:v>【示意】區域產出占比；非裝修需求占比；獨立來源1；來源A級</x:v>
      </x:c>
      <x:c r="T339" s="4" t="str">
        <x:v>示意</x:v>
      </x:c>
      <x:c r="U339" s="16" t="n">
        <x:v>1</x:v>
      </x:c>
      <x:c r="V339" s="4" t="str">
        <x:v>低</x:v>
      </x:c>
      <x:c r="W339" s="4" t="str">
        <x:v>L29：2024 爪哇產出占 57.02%，非裝修需求比率。</x:v>
      </x:c>
      <x:c r="X339" s="4" t="str">
        <x:v>僅一個独立來源；依整合協議標低信心／示意，即使為 A 級官方數字亦不自動升為實際。</x:v>
      </x:c>
      <x:c r="Y339" s="37" t="d">
        <x:v>2026-10-09T00:00:00.000Z</x:v>
      </x:c>
      <x:c r="Z339" s="4" t="str">
        <x:v>turn186view6</x:v>
      </x:c>
    </x:row>
    <x:row r="340" ht="38" customHeight="1">
      <x:c r="A340" s="4" t="str">
        <x:v>M0339</x:v>
      </x:c>
      <x:c r="B340" s="4" t="str">
        <x:v>ID</x:v>
      </x:c>
      <x:c r="C340" s="4" t="str">
        <x:v>Blibli收購Dekoruma持股</x:v>
      </x:c>
      <x:c r="D340" s="18" t="n">
        <x:v>99.83</x:v>
      </x:c>
      <x:c r="E340" s="4" t="str">
        <x:v>%</x:v>
      </x:c>
      <x:c r="F340" s="16" t="n">
        <x:v>2024</x:v>
      </x:c>
      <x:c r="G340" s="4" t="str">
        <x:v>2024年6月收購時點，非年底</x:v>
      </x:c>
      <x:c r="H340" s="4" t="str">
        <x:v>ID05</x:v>
      </x:c>
      <x:c r="I340" s="4" t="str">
        <x:v>https://asset-about.blibli.com/2025/04/Laporan-Tahunan-2024-PT-Global-Digital-Niaga-Tbk-.pdf</x:v>
      </x:c>
      <x:c r="J340" s="4" t="str">
        <x:v>是</x:v>
      </x:c>
      <x:c r="K340" s="4" t="str">
        <x:v>是</x:v>
      </x:c>
      <x:c r="L340" s="4" t="str">
        <x:v>是</x:v>
      </x:c>
      <x:c r="M340" s="4" t="str">
        <x:v>是</x:v>
      </x:c>
      <x:c r="N340" s="4" t="str">
        <x:v>pass</x:v>
      </x:c>
      <x:c r="O340" s="4" t="str">
        <x:v>A</x:v>
      </x:c>
      <x:c r="P340" s="4" t="str">
        <x:v>是</x:v>
      </x:c>
      <x:c r="Q340" s="18" t="n">
        <x:v>99.83</x:v>
      </x:c>
      <x:c r="R340" s="16" t="n">
        <x:v>2024</x:v>
      </x:c>
      <x:c r="S340" s="4" t="str">
        <x:v>【示意】2024年6月收購時點，非年底；獨立來源1；來源A級</x:v>
      </x:c>
      <x:c r="T340" s="4" t="str">
        <x:v>示意</x:v>
      </x:c>
      <x:c r="U340" s="16" t="n">
        <x:v>1</x:v>
      </x:c>
      <x:c r="V340" s="4" t="str">
        <x:v>低</x:v>
      </x:c>
      <x:c r="W340" s="4" t="str">
        <x:v>PDF 第 210 頁（P209）財報註 1c：2024-06-20 取得 DIL 99.83%。</x:v>
      </x:c>
      <x:c r="X340" s="4" t="str">
        <x:v>僅一個独立來源；依整合協議標低信心／示意，即使為 A 級官方數字亦不自動升為實際。</x:v>
      </x:c>
      <x:c r="Y340" s="37" t="d">
        <x:v>2026-10-09T00:00:00.000Z</x:v>
      </x:c>
      <x:c r="Z340" s="4" t="str">
        <x:v>turn189view3</x:v>
      </x:c>
    </x:row>
    <x:row r="341" ht="38" customHeight="1">
      <x:c r="A341" s="4" t="str">
        <x:v>M0340</x:v>
      </x:c>
      <x:c r="B341" s="4" t="str">
        <x:v>ID</x:v>
      </x:c>
      <x:c r="C341" s="4" t="str">
        <x:v>Blibli持有Dekoruma年底持股</x:v>
      </x:c>
      <x:c r="D341" s="19" t="n">
        <x:v>99.9</x:v>
      </x:c>
      <x:c r="E341" s="4" t="str">
        <x:v>%</x:v>
      </x:c>
      <x:c r="F341" s="16" t="n">
        <x:v>2024</x:v>
      </x:c>
      <x:c r="G341" s="4" t="str">
        <x:v>年報財報註1c增資後；與2026H1簡報99.83有衝突</x:v>
      </x:c>
      <x:c r="H341" s="4" t="str">
        <x:v>ID05</x:v>
      </x:c>
      <x:c r="I341" s="4" t="str">
        <x:v>https://asset-about.blibli.com/2025/04/Laporan-Tahunan-2024-PT-Global-Digital-Niaga-Tbk-.pdf</x:v>
      </x:c>
      <x:c r="J341" s="4" t="str">
        <x:v>是</x:v>
      </x:c>
      <x:c r="K341" s="4" t="str">
        <x:v>是</x:v>
      </x:c>
      <x:c r="L341" s="4" t="str">
        <x:v>是</x:v>
      </x:c>
      <x:c r="M341" s="4" t="str">
        <x:v>是</x:v>
      </x:c>
      <x:c r="N341" s="4" t="str">
        <x:v>partial</x:v>
      </x:c>
      <x:c r="O341" s="4" t="str">
        <x:v>A</x:v>
      </x:c>
      <x:c r="P341" s="4" t="str">
        <x:v>否</x:v>
      </x:c>
      <x:c r="Q341" s="14" t="str"/>
      <x:c r="R341" s="16" t="str"/>
      <x:c r="S341" s="4" t="str"/>
      <x:c r="T341" s="4" t="str">
        <x:v>不採用</x:v>
      </x:c>
      <x:c r="U341" s="16" t="n">
        <x:v>1</x:v>
      </x:c>
      <x:c r="V341" s="4" t="str">
        <x:v>低</x:v>
      </x:c>
      <x:c r="W341" s="4" t="str">
        <x:v>PDF 第 211 頁（P210）註 1c：2024-11-13 增資後 99.90%；但同年報子公司表及 2026H1 簡報仍 99.83%。</x:v>
      </x:c>
      <x:c r="X341" s="4" t="str">
        <x:v>同年報子公司表仍列 99.83%，財報註列增資後 99.90%；不得定為無爭議年末持股。只保留歷史文字與矛盾記錄。</x:v>
      </x:c>
      <x:c r="Y341" s="37" t="d">
        <x:v>2026-10-09T00:00:00.000Z</x:v>
      </x:c>
      <x:c r="Z341" s="4" t="str">
        <x:v>turn189view3</x:v>
      </x:c>
    </x:row>
    <x:row r="342" ht="38" customHeight="1">
      <x:c r="A342" s="4" t="str">
        <x:v>M0341</x:v>
      </x:c>
      <x:c r="B342" s="4" t="str">
        <x:v>ID</x:v>
      </x:c>
      <x:c r="C342" s="4" t="str">
        <x:v>Dekoruma收購對價</x:v>
      </x:c>
      <x:c r="D342" s="17" t="n">
        <x:v>1169704</x:v>
      </x:c>
      <x:c r="E342" s="4" t="str">
        <x:v>百萬IDR</x:v>
      </x:c>
      <x:c r="F342" s="16" t="n">
        <x:v>2024</x:v>
      </x:c>
      <x:c r="G342" s="4" t="str">
        <x:v>2024年報財報註1c purchase consideration；非扣現金後金額</x:v>
      </x:c>
      <x:c r="H342" s="4" t="str">
        <x:v>ID05</x:v>
      </x:c>
      <x:c r="I342" s="4" t="str">
        <x:v>https://asset-about.blibli.com/2025/04/Laporan-Tahunan-2024-PT-Global-Digital-Niaga-Tbk-.pdf</x:v>
      </x:c>
      <x:c r="J342" s="4" t="str">
        <x:v>是</x:v>
      </x:c>
      <x:c r="K342" s="4" t="str">
        <x:v>是</x:v>
      </x:c>
      <x:c r="L342" s="4" t="str">
        <x:v>是</x:v>
      </x:c>
      <x:c r="M342" s="4" t="str">
        <x:v>是</x:v>
      </x:c>
      <x:c r="N342" s="4" t="str">
        <x:v>pass</x:v>
      </x:c>
      <x:c r="O342" s="4" t="str">
        <x:v>A</x:v>
      </x:c>
      <x:c r="P342" s="4" t="str">
        <x:v>是</x:v>
      </x:c>
      <x:c r="Q342" s="17" t="n">
        <x:v>1169704</x:v>
      </x:c>
      <x:c r="R342" s="16" t="n">
        <x:v>2024</x:v>
      </x:c>
      <x:c r="S342" s="4" t="str">
        <x:v>【示意】2024年報財報註1c purchase consideration；非扣現金後金額；獨立來源1；來源A級</x:v>
      </x:c>
      <x:c r="T342" s="4" t="str">
        <x:v>示意</x:v>
      </x:c>
      <x:c r="U342" s="16" t="n">
        <x:v>1</x:v>
      </x:c>
      <x:c r="V342" s="4" t="str">
        <x:v>低</x:v>
      </x:c>
      <x:c r="W342" s="4" t="str">
        <x:v>PDF 第 210 頁（P209）註 1c：purchase consideration 1,169,704；單位百萬 IDR；扣現金後另為 1,159,444。</x:v>
      </x:c>
      <x:c r="X342" s="4" t="str">
        <x:v>僅一個独立來源；依整合協議標低信心／示意，即使為 A 級官方數字亦不自動升為實際。</x:v>
      </x:c>
      <x:c r="Y342" s="37" t="d">
        <x:v>2026-10-09T00:00:00.000Z</x:v>
      </x:c>
      <x:c r="Z342" s="4" t="str">
        <x:v>turn189view3</x:v>
      </x:c>
    </x:row>
    <x:row r="343" ht="38" customHeight="1">
      <x:c r="A343" s="4" t="str">
        <x:v>M0342</x:v>
      </x:c>
      <x:c r="B343" s="4" t="str">
        <x:v>ID</x:v>
      </x:c>
      <x:c r="C343" s="4" t="str">
        <x:v>Blibli集團合併營收</x:v>
      </x:c>
      <x:c r="D343" s="17" t="n">
        <x:v>16715576</x:v>
      </x:c>
      <x:c r="E343" s="4" t="str">
        <x:v>百萬IDR</x:v>
      </x:c>
      <x:c r="F343" s="16" t="n">
        <x:v>2024</x:v>
      </x:c>
      <x:c r="G343" s="4" t="str">
        <x:v>全電商旅遊超市等合併範圍，不是Dekoruma或装修收入</x:v>
      </x:c>
      <x:c r="H343" s="4" t="str">
        <x:v>ID05</x:v>
      </x:c>
      <x:c r="I343" s="4" t="str">
        <x:v>https://asset-about.blibli.com/2025/04/Laporan-Tahunan-2024-PT-Global-Digital-Niaga-Tbk-.pdf</x:v>
      </x:c>
      <x:c r="J343" s="4" t="str">
        <x:v>是</x:v>
      </x:c>
      <x:c r="K343" s="4" t="str">
        <x:v>是</x:v>
      </x:c>
      <x:c r="L343" s="4" t="str">
        <x:v>是</x:v>
      </x:c>
      <x:c r="M343" s="4" t="str">
        <x:v>是</x:v>
      </x:c>
      <x:c r="N343" s="4" t="str">
        <x:v>pass</x:v>
      </x:c>
      <x:c r="O343" s="4" t="str">
        <x:v>A</x:v>
      </x:c>
      <x:c r="P343" s="4" t="str">
        <x:v>是</x:v>
      </x:c>
      <x:c r="Q343" s="17" t="n">
        <x:v>16715576</x:v>
      </x:c>
      <x:c r="R343" s="16" t="n">
        <x:v>2024</x:v>
      </x:c>
      <x:c r="S343" s="4" t="str">
        <x:v>【示意】全電商旅遊超市等合併範圍，不是Dekoruma或装修收入；獨立來源1；來源A級</x:v>
      </x:c>
      <x:c r="T343" s="4" t="str">
        <x:v>示意</x:v>
      </x:c>
      <x:c r="U343" s="16" t="n">
        <x:v>1</x:v>
      </x:c>
      <x:c r="V343" s="4" t="str">
        <x:v>低</x:v>
      </x:c>
      <x:c r="W343" s="4" t="str">
        <x:v>PDF 第 185 頁（P184）2024 損益表 net revenues 16,715,576；單位百萬 IDR。</x:v>
      </x:c>
      <x:c r="X343" s="4" t="str">
        <x:v>僅一個独立來源；依整合協議標低信心／示意，即使為 A 級官方數字亦不自動升為實際。</x:v>
      </x:c>
      <x:c r="Y343" s="37" t="d">
        <x:v>2026-10-09T00:00:00.000Z</x:v>
      </x:c>
      <x:c r="Z343" s="4" t="str">
        <x:v>turn189view3</x:v>
      </x:c>
    </x:row>
    <x:row r="344" ht="38" customHeight="1">
      <x:c r="A344" s="4" t="str">
        <x:v>M0343</x:v>
      </x:c>
      <x:c r="B344" s="4" t="str">
        <x:v>ID</x:v>
      </x:c>
      <x:c r="C344" s="4" t="str">
        <x:v>Dekoruma設計改稿次數</x:v>
      </x:c>
      <x:c r="D344" s="17" t="n">
        <x:v>2</x:v>
      </x:c>
      <x:c r="E344" s="4" t="str">
        <x:v>次</x:v>
      </x:c>
      <x:c r="F344" s="16" t="n">
        <x:v>2025</x:v>
      </x:c>
      <x:c r="G344" s="4" t="str">
        <x:v>FAQ標準服務政策；可變動</x:v>
      </x:c>
      <x:c r="H344" s="4" t="str">
        <x:v>ID06</x:v>
      </x:c>
      <x:c r="I344" s="4" t="str">
        <x:v>https://dekoruma.freshdesk.com/support/solutions/articles/17000118208-frequently-asked-question-faq-proyek-desain-interior</x:v>
      </x:c>
      <x:c r="J344" s="4" t="str">
        <x:v>是</x:v>
      </x:c>
      <x:c r="K344" s="4" t="str">
        <x:v>是</x:v>
      </x:c>
      <x:c r="L344" s="4" t="str">
        <x:v>是</x:v>
      </x:c>
      <x:c r="M344" s="4" t="str">
        <x:v>是</x:v>
      </x:c>
      <x:c r="N344" s="4" t="str">
        <x:v>pass</x:v>
      </x:c>
      <x:c r="O344" s="4" t="str">
        <x:v>C</x:v>
      </x:c>
      <x:c r="P344" s="4" t="str">
        <x:v>是</x:v>
      </x:c>
      <x:c r="Q344" s="17" t="n">
        <x:v>2</x:v>
      </x:c>
      <x:c r="R344" s="16" t="n">
        <x:v>2025</x:v>
      </x:c>
      <x:c r="S344" s="4" t="str">
        <x:v>【示意】FAQ標準服務政策；可變動；獨立來源1；來源C級</x:v>
      </x:c>
      <x:c r="T344" s="4" t="str">
        <x:v>示意</x:v>
      </x:c>
      <x:c r="U344" s="16" t="n">
        <x:v>1</x:v>
      </x:c>
      <x:c r="V344" s="4" t="str">
        <x:v>低</x:v>
      </x:c>
      <x:c r="W344" s="4" t="str">
        <x:v>L11 更新 2025-02-10；L35 標準服務提供兩次修改。</x:v>
      </x:c>
      <x:c r="X344" s="4" t="str">
        <x:v>僅一個独立來源；依整合協議標低信心／示意，即使為 A 級官方數字亦不自動升為實際。</x:v>
      </x:c>
      <x:c r="Y344" s="37" t="d">
        <x:v>2026-10-09T00:00:00.000Z</x:v>
      </x:c>
      <x:c r="Z344" s="4" t="str">
        <x:v>turn189view4</x:v>
      </x:c>
    </x:row>
    <x:row r="345" ht="38" customHeight="1">
      <x:c r="A345" s="4" t="str">
        <x:v>M0344</x:v>
      </x:c>
      <x:c r="B345" s="4" t="str">
        <x:v>ID</x:v>
      </x:c>
      <x:c r="C345" s="4" t="str">
        <x:v>Dekoruma一般生產安裝期上限</x:v>
      </x:c>
      <x:c r="D345" s="17" t="n">
        <x:v>8</x:v>
      </x:c>
      <x:c r="E345" s="4" t="str">
        <x:v>週</x:v>
      </x:c>
      <x:c r="F345" s="16" t="n">
        <x:v>2025</x:v>
      </x:c>
      <x:c r="G345" s="4" t="str">
        <x:v>不含設計期，特殊工項可延長</x:v>
      </x:c>
      <x:c r="H345" s="4" t="str">
        <x:v>ID06</x:v>
      </x:c>
      <x:c r="I345" s="4" t="str">
        <x:v>https://dekoruma.freshdesk.com/support/solutions/articles/17000118208-frequently-asked-question-faq-proyek-desain-interior</x:v>
      </x:c>
      <x:c r="J345" s="4" t="str">
        <x:v>是</x:v>
      </x:c>
      <x:c r="K345" s="4" t="str">
        <x:v>是</x:v>
      </x:c>
      <x:c r="L345" s="4" t="str">
        <x:v>是</x:v>
      </x:c>
      <x:c r="M345" s="4" t="str">
        <x:v>是</x:v>
      </x:c>
      <x:c r="N345" s="4" t="str">
        <x:v>pass</x:v>
      </x:c>
      <x:c r="O345" s="4" t="str">
        <x:v>C</x:v>
      </x:c>
      <x:c r="P345" s="4" t="str">
        <x:v>是</x:v>
      </x:c>
      <x:c r="Q345" s="17" t="n">
        <x:v>8</x:v>
      </x:c>
      <x:c r="R345" s="16" t="n">
        <x:v>2025</x:v>
      </x:c>
      <x:c r="S345" s="4" t="str">
        <x:v>【示意】不含設計期，特殊工項可延長；獨立來源1；來源C級</x:v>
      </x:c>
      <x:c r="T345" s="4" t="str">
        <x:v>示意</x:v>
      </x:c>
      <x:c r="U345" s="16" t="n">
        <x:v>1</x:v>
      </x:c>
      <x:c r="V345" s="4" t="str">
        <x:v>低</x:v>
      </x:c>
      <x:c r="W345" s="4" t="str">
        <x:v>L26 一般生產含安裝最多 8 週；L27 duco 或浴室可延至 12 週，設計期另外計。</x:v>
      </x:c>
      <x:c r="X345" s="4" t="str">
        <x:v>僅一個独立來源；依整合協議標低信心／示意，即使為 A 級官方數字亦不自動升為實際。</x:v>
      </x:c>
      <x:c r="Y345" s="37" t="d">
        <x:v>2026-10-09T00:00:00.000Z</x:v>
      </x:c>
      <x:c r="Z345" s="4" t="str">
        <x:v>turn189view4</x:v>
      </x:c>
    </x:row>
    <x:row r="346" ht="38" customHeight="1">
      <x:c r="A346" s="4" t="str">
        <x:v>M0345</x:v>
      </x:c>
      <x:c r="B346" s="4" t="str">
        <x:v>ID</x:v>
      </x:c>
      <x:c r="C346" s="4" t="str">
        <x:v>Dekoruma特定保固</x:v>
      </x:c>
      <x:c r="D346" s="17" t="n">
        <x:v>2</x:v>
      </x:c>
      <x:c r="E346" s="4" t="str">
        <x:v>年</x:v>
      </x:c>
      <x:c r="F346" s="16" t="n">
        <x:v>2025</x:v>
      </x:c>
      <x:c r="G346" s="4" t="str">
        <x:v>Garansi Khusus範圍依條款；非全工程法定保固</x:v>
      </x:c>
      <x:c r="H346" s="4" t="str">
        <x:v>ID06</x:v>
      </x:c>
      <x:c r="I346" s="4" t="str">
        <x:v>https://dekoruma.freshdesk.com/support/solutions/articles/17000118208-frequently-asked-question-faq-proyek-desain-interior</x:v>
      </x:c>
      <x:c r="J346" s="4" t="str">
        <x:v>是</x:v>
      </x:c>
      <x:c r="K346" s="4" t="str">
        <x:v>是</x:v>
      </x:c>
      <x:c r="L346" s="4" t="str">
        <x:v>是</x:v>
      </x:c>
      <x:c r="M346" s="4" t="str">
        <x:v>是</x:v>
      </x:c>
      <x:c r="N346" s="4" t="str">
        <x:v>pass</x:v>
      </x:c>
      <x:c r="O346" s="4" t="str">
        <x:v>C</x:v>
      </x:c>
      <x:c r="P346" s="4" t="str">
        <x:v>是</x:v>
      </x:c>
      <x:c r="Q346" s="17" t="n">
        <x:v>2</x:v>
      </x:c>
      <x:c r="R346" s="16" t="n">
        <x:v>2025</x:v>
      </x:c>
      <x:c r="S346" s="4" t="str">
        <x:v>【示意】Garansi Khusus範圍依條款；非全工程法定保固；獨立來源1；來源C級</x:v>
      </x:c>
      <x:c r="T346" s="4" t="str">
        <x:v>示意</x:v>
      </x:c>
      <x:c r="U346" s="16" t="n">
        <x:v>1</x:v>
      </x:c>
      <x:c r="V346" s="4" t="str">
        <x:v>低</x:v>
      </x:c>
      <x:c r="W346" s="4" t="str">
        <x:v>L41：Garansi Khusus 2 年；另有 30 日維護，非全工程法定保固。</x:v>
      </x:c>
      <x:c r="X346" s="4" t="str">
        <x:v>僅一個独立來源；依整合協議標低信心／示意，即使為 A 級官方數字亦不自動升為實際。</x:v>
      </x:c>
      <x:c r="Y346" s="37" t="d">
        <x:v>2026-10-09T00:00:00.000Z</x:v>
      </x:c>
      <x:c r="Z346" s="4" t="str">
        <x:v>turn189view4</x:v>
      </x:c>
    </x:row>
    <x:row r="347" ht="38" customHeight="1">
      <x:c r="A347" s="4" t="str">
        <x:v>M0346</x:v>
      </x:c>
      <x:c r="B347" s="4" t="str">
        <x:v>ID</x:v>
      </x:c>
      <x:c r="C347" s="4" t="str">
        <x:v>新屋價格指數年增</x:v>
      </x:c>
      <x:c r="D347" s="18" t="n">
        <x:v>1.39</x:v>
      </x:c>
      <x:c r="E347" s="4" t="str">
        <x:v>%</x:v>
      </x:c>
      <x:c r="F347" s="16" t="str">
        <x:v>2024Q4</x:v>
      </x:c>
      <x:c r="G347" s="4" t="str">
        <x:v>第四季16城市建商抽樣，一級市場</x:v>
      </x:c>
      <x:c r="H347" s="4" t="str">
        <x:v>ID08</x:v>
      </x:c>
      <x:c r="I347" s="4" t="str">
        <x:v>https://www.bi.go.id/id/edukasi/Documents/Infografis-Survei-Harga-properti-Residensial-di-Pasar-Primer-Triwulan-IV-2024.pdf</x:v>
      </x:c>
      <x:c r="J347" s="4" t="str">
        <x:v>是</x:v>
      </x:c>
      <x:c r="K347" s="4" t="str">
        <x:v>是</x:v>
      </x:c>
      <x:c r="L347" s="4" t="str">
        <x:v>是</x:v>
      </x:c>
      <x:c r="M347" s="4" t="str">
        <x:v>是</x:v>
      </x:c>
      <x:c r="N347" s="4" t="str">
        <x:v>pass</x:v>
      </x:c>
      <x:c r="O347" s="4" t="str">
        <x:v>A</x:v>
      </x:c>
      <x:c r="P347" s="4" t="str">
        <x:v>是</x:v>
      </x:c>
      <x:c r="Q347" s="18" t="n">
        <x:v>1.39</x:v>
      </x:c>
      <x:c r="R347" s="16" t="str">
        <x:v>2024Q4</x:v>
      </x:c>
      <x:c r="S347" s="4" t="str">
        <x:v>【示意】第四季16城市建商抽樣，一級市場；獨立來源1；來源A級</x:v>
      </x:c>
      <x:c r="T347" s="4" t="str">
        <x:v>示意</x:v>
      </x:c>
      <x:c r="U347" s="16" t="n">
        <x:v>1</x:v>
      </x:c>
      <x:c r="V347" s="4" t="str">
        <x:v>低</x:v>
      </x:c>
      <x:c r="W347" s="4" t="str">
        <x:v>單頁圖，2024Q4 IHPR 年增 1.39%；16 城市建商抽樣。</x:v>
      </x:c>
      <x:c r="X347" s="4" t="str">
        <x:v>僅一個独立來源；依整合協議標低信心／示意，即使為 A 級官方數字亦不自動升為實際。</x:v>
      </x:c>
      <x:c r="Y347" s="37" t="d">
        <x:v>2026-10-09T00:00:00.000Z</x:v>
      </x:c>
      <x:c r="Z347" s="4" t="str">
        <x:v>turn189view6</x:v>
      </x:c>
    </x:row>
    <x:row r="348" ht="38" customHeight="1">
      <x:c r="A348" s="4" t="str">
        <x:v>M0347</x:v>
      </x:c>
      <x:c r="B348" s="4" t="str">
        <x:v>ID</x:v>
      </x:c>
      <x:c r="C348" s="4" t="str">
        <x:v>新屋銷售年增</x:v>
      </x:c>
      <x:c r="D348" s="18" t="n">
        <x:v>-15.09</x:v>
      </x:c>
      <x:c r="E348" s="4" t="str">
        <x:v>%</x:v>
      </x:c>
      <x:c r="F348" s="16" t="str">
        <x:v>2024Q4</x:v>
      </x:c>
      <x:c r="G348" s="4" t="str">
        <x:v>第四季16城市抽樣；非全國交易戶數</x:v>
      </x:c>
      <x:c r="H348" s="4" t="str">
        <x:v>ID08</x:v>
      </x:c>
      <x:c r="I348" s="4" t="str">
        <x:v>https://www.bi.go.id/id/edukasi/Documents/Infografis-Survei-Harga-properti-Residensial-di-Pasar-Primer-Triwulan-IV-2024.pdf</x:v>
      </x:c>
      <x:c r="J348" s="4" t="str">
        <x:v>是</x:v>
      </x:c>
      <x:c r="K348" s="4" t="str">
        <x:v>是</x:v>
      </x:c>
      <x:c r="L348" s="4" t="str">
        <x:v>是</x:v>
      </x:c>
      <x:c r="M348" s="4" t="str">
        <x:v>是</x:v>
      </x:c>
      <x:c r="N348" s="4" t="str">
        <x:v>pass</x:v>
      </x:c>
      <x:c r="O348" s="4" t="str">
        <x:v>A</x:v>
      </x:c>
      <x:c r="P348" s="4" t="str">
        <x:v>是</x:v>
      </x:c>
      <x:c r="Q348" s="18" t="n">
        <x:v>-15.09</x:v>
      </x:c>
      <x:c r="R348" s="16" t="str">
        <x:v>2024Q4</x:v>
      </x:c>
      <x:c r="S348" s="4" t="str">
        <x:v>【示意】第四季16城市抽樣；非全國交易戶數；獨立來源1；來源A級</x:v>
      </x:c>
      <x:c r="T348" s="4" t="str">
        <x:v>示意</x:v>
      </x:c>
      <x:c r="U348" s="16" t="n">
        <x:v>1</x:v>
      </x:c>
      <x:c r="V348" s="4" t="str">
        <x:v>低</x:v>
      </x:c>
      <x:c r="W348" s="4" t="str">
        <x:v>單頁圖，2024Q4 新屋銷售年增 -15.09%；16 城市建商抽樣。</x:v>
      </x:c>
      <x:c r="X348" s="4" t="str">
        <x:v>僅一個独立來源；依整合協議標低信心／示意，即使為 A 級官方數字亦不自動升為實際。</x:v>
      </x:c>
      <x:c r="Y348" s="37" t="d">
        <x:v>2026-10-09T00:00:00.000Z</x:v>
      </x:c>
      <x:c r="Z348" s="4" t="str">
        <x:v>turn189view6</x:v>
      </x:c>
    </x:row>
    <x:row r="349" ht="38" customHeight="1">
      <x:c r="A349" s="4" t="str">
        <x:v>M0348</x:v>
      </x:c>
      <x:c r="B349" s="4" t="str">
        <x:v>ID</x:v>
      </x:c>
      <x:c r="C349" s="4" t="str">
        <x:v>新屋買方房貸融資比率</x:v>
      </x:c>
      <x:c r="D349" s="18" t="n">
        <x:v>72.54</x:v>
      </x:c>
      <x:c r="E349" s="4" t="str">
        <x:v>%</x:v>
      </x:c>
      <x:c r="F349" s="16" t="str">
        <x:v>2024Q4</x:v>
      </x:c>
      <x:c r="G349" s="4" t="str">
        <x:v>第四季抽樣市場；不是翻修貸款比率</x:v>
      </x:c>
      <x:c r="H349" s="4" t="str">
        <x:v>ID08</x:v>
      </x:c>
      <x:c r="I349" s="4" t="str">
        <x:v>https://www.bi.go.id/id/edukasi/Documents/Infografis-Survei-Harga-properti-Residensial-di-Pasar-Primer-Triwulan-IV-2024.pdf</x:v>
      </x:c>
      <x:c r="J349" s="4" t="str">
        <x:v>是</x:v>
      </x:c>
      <x:c r="K349" s="4" t="str">
        <x:v>是</x:v>
      </x:c>
      <x:c r="L349" s="4" t="str">
        <x:v>是</x:v>
      </x:c>
      <x:c r="M349" s="4" t="str">
        <x:v>是</x:v>
      </x:c>
      <x:c r="N349" s="4" t="str">
        <x:v>pass</x:v>
      </x:c>
      <x:c r="O349" s="4" t="str">
        <x:v>A</x:v>
      </x:c>
      <x:c r="P349" s="4" t="str">
        <x:v>是</x:v>
      </x:c>
      <x:c r="Q349" s="18" t="n">
        <x:v>72.54</x:v>
      </x:c>
      <x:c r="R349" s="16" t="str">
        <x:v>2024Q4</x:v>
      </x:c>
      <x:c r="S349" s="4" t="str">
        <x:v>【示意】第四季抽樣市場；不是翻修貸款比率；獨立來源1；來源A級</x:v>
      </x:c>
      <x:c r="T349" s="4" t="str">
        <x:v>示意</x:v>
      </x:c>
      <x:c r="U349" s="16" t="n">
        <x:v>1</x:v>
      </x:c>
      <x:c r="V349" s="4" t="str">
        <x:v>低</x:v>
      </x:c>
      <x:c r="W349" s="4" t="str">
        <x:v>單頁圖，2024Q4 消費者融資 KPR 72.54%；不是翻修貸款。</x:v>
      </x:c>
      <x:c r="X349" s="4" t="str">
        <x:v>僅一個独立來源；依整合協議標低信心／示意，即使為 A 級官方數字亦不自動升為實際。</x:v>
      </x:c>
      <x:c r="Y349" s="37" t="d">
        <x:v>2026-10-09T00:00:00.000Z</x:v>
      </x:c>
      <x:c r="Z349" s="4" t="str">
        <x:v>turn189view6</x:v>
      </x:c>
    </x:row>
    <x:row r="350" ht="38" customHeight="1">
      <x:c r="A350" s="4" t="str">
        <x:v>M0349</x:v>
      </x:c>
      <x:c r="B350" s="4" t="str">
        <x:v>ID</x:v>
      </x:c>
      <x:c r="C350" s="4" t="str">
        <x:v>Sejasa整體大型翻修參考下限</x:v>
      </x:c>
      <x:c r="D350" s="17" t="n">
        <x:v>2500000</x:v>
      </x:c>
      <x:c r="E350" s="4" t="str">
        <x:v>IDR/m²</x:v>
      </x:c>
      <x:c r="F350" s="16" t="n">
        <x:v>2025</x:v>
      </x:c>
      <x:c r="G350" s="4" t="str">
        <x:v>平台參考估價含工料、可能含結構增建，不能直接與室內輕裝修比</x:v>
      </x:c>
      <x:c r="H350" s="4" t="str">
        <x:v>ID09</x:v>
      </x:c>
      <x:c r="I350" s="4" t="str">
        <x:v>https://www.sejasa.com/blog/estimasi-biaya-renovasi-rumah/</x:v>
      </x:c>
      <x:c r="J350" s="4" t="str">
        <x:v>是</x:v>
      </x:c>
      <x:c r="K350" s="4" t="str">
        <x:v>是</x:v>
      </x:c>
      <x:c r="L350" s="4" t="str">
        <x:v>是</x:v>
      </x:c>
      <x:c r="M350" s="4" t="str">
        <x:v>是</x:v>
      </x:c>
      <x:c r="N350" s="4" t="str">
        <x:v>fail</x:v>
      </x:c>
      <x:c r="O350" s="4" t="str">
        <x:v>D</x:v>
      </x:c>
      <x:c r="P350" s="4" t="str">
        <x:v>否</x:v>
      </x:c>
      <x:c r="Q350" s="14" t="str"/>
      <x:c r="R350" s="16" t="str"/>
      <x:c r="S350" s="4" t="str"/>
      <x:c r="T350" s="4" t="str">
        <x:v>不採用</x:v>
      </x:c>
      <x:c r="U350" s="16" t="n">
        <x:v>1</x:v>
      </x:c>
      <x:c r="V350" s="4" t="str">
        <x:v>低</x:v>
      </x:c>
      <x:c r="W350" s="4" t="str">
        <x:v>L32 更新 2025-08-06；L53 大型翻修工料 Rp2,500,000/m²。數字相符但屬部落格，依協議 D 不採用。</x:v>
      </x:c>
      <x:c r="X350" s="4" t="str">
        <x:v>失敗原因是來源使用政策；數字、年份與定義均可見，不應計為 URL/內容不符。原值僅存稽核表，採用版刪除。</x:v>
      </x:c>
      <x:c r="Y350" s="37" t="d">
        <x:v>2026-10-09T00:00:00.000Z</x:v>
      </x:c>
      <x:c r="Z350" s="4" t="str">
        <x:v>turn192view0</x:v>
      </x:c>
    </x:row>
    <x:row r="351" ht="38" customHeight="1">
      <x:c r="A351" s="4" t="str">
        <x:v>M0350</x:v>
      </x:c>
      <x:c r="B351" s="4" t="str">
        <x:v>ID</x:v>
      </x:c>
      <x:c r="C351" s="4" t="str">
        <x:v>Sejasa整體大型翻修參考上限</x:v>
      </x:c>
      <x:c r="D351" s="17" t="n">
        <x:v>4000000</x:v>
      </x:c>
      <x:c r="E351" s="4" t="str">
        <x:v>IDR/m²</x:v>
      </x:c>
      <x:c r="F351" s="16" t="n">
        <x:v>2025</x:v>
      </x:c>
      <x:c r="G351" s="4" t="str">
        <x:v>平台參考估价；非全國高階價</x:v>
      </x:c>
      <x:c r="H351" s="4" t="str">
        <x:v>ID09</x:v>
      </x:c>
      <x:c r="I351" s="4" t="str">
        <x:v>https://www.sejasa.com/blog/estimasi-biaya-renovasi-rumah/</x:v>
      </x:c>
      <x:c r="J351" s="4" t="str">
        <x:v>是</x:v>
      </x:c>
      <x:c r="K351" s="4" t="str">
        <x:v>是</x:v>
      </x:c>
      <x:c r="L351" s="4" t="str">
        <x:v>是</x:v>
      </x:c>
      <x:c r="M351" s="4" t="str">
        <x:v>是</x:v>
      </x:c>
      <x:c r="N351" s="4" t="str">
        <x:v>fail</x:v>
      </x:c>
      <x:c r="O351" s="4" t="str">
        <x:v>D</x:v>
      </x:c>
      <x:c r="P351" s="4" t="str">
        <x:v>否</x:v>
      </x:c>
      <x:c r="Q351" s="14" t="str"/>
      <x:c r="R351" s="16" t="str"/>
      <x:c r="S351" s="4" t="str"/>
      <x:c r="T351" s="4" t="str">
        <x:v>不採用</x:v>
      </x:c>
      <x:c r="U351" s="16" t="n">
        <x:v>1</x:v>
      </x:c>
      <x:c r="V351" s="4" t="str">
        <x:v>低</x:v>
      </x:c>
      <x:c r="W351" s="4" t="str">
        <x:v>L32 更新 2025-08-06；L53 大型翻修工料 Rp4,000,000/m²。數字相符但屬部落格，依協議 D 不採用。</x:v>
      </x:c>
      <x:c r="X351" s="4" t="str">
        <x:v>失敗原因是來源使用政策；數字、年份與定義均可見，不應計為 URL/內容不符。原值僅存稽核表，採用版刪除。</x:v>
      </x:c>
      <x:c r="Y351" s="37" t="d">
        <x:v>2026-10-09T00:00:00.000Z</x:v>
      </x:c>
      <x:c r="Z351" s="4" t="str">
        <x:v>turn192view0</x:v>
      </x:c>
    </x:row>
    <x:row r="352" ht="38" customHeight="1">
      <x:c r="A352" s="4" t="str">
        <x:v>M0351</x:v>
      </x:c>
      <x:c r="B352" s="4" t="str">
        <x:v>ID</x:v>
      </x:c>
      <x:c r="C352" s="4" t="str">
        <x:v>Sejasa工班日薪參考下限</x:v>
      </x:c>
      <x:c r="D352" s="17" t="n">
        <x:v>150000</x:v>
      </x:c>
      <x:c r="E352" s="4" t="str">
        <x:v>IDR/日</x:v>
      </x:c>
      <x:c r="F352" s="16" t="n">
        <x:v>2025</x:v>
      </x:c>
      <x:c r="G352" s="4" t="str">
        <x:v>單一平台行情，非政府木工水電職種薪資</x:v>
      </x:c>
      <x:c r="H352" s="4" t="str">
        <x:v>ID09</x:v>
      </x:c>
      <x:c r="I352" s="4" t="str">
        <x:v>https://www.sejasa.com/blog/estimasi-biaya-renovasi-rumah/</x:v>
      </x:c>
      <x:c r="J352" s="4" t="str">
        <x:v>是</x:v>
      </x:c>
      <x:c r="K352" s="4" t="str">
        <x:v>是</x:v>
      </x:c>
      <x:c r="L352" s="4" t="str">
        <x:v>是</x:v>
      </x:c>
      <x:c r="M352" s="4" t="str">
        <x:v>是</x:v>
      </x:c>
      <x:c r="N352" s="4" t="str">
        <x:v>fail</x:v>
      </x:c>
      <x:c r="O352" s="4" t="str">
        <x:v>D</x:v>
      </x:c>
      <x:c r="P352" s="4" t="str">
        <x:v>否</x:v>
      </x:c>
      <x:c r="Q352" s="14" t="str"/>
      <x:c r="R352" s="16" t="str"/>
      <x:c r="S352" s="4" t="str"/>
      <x:c r="T352" s="4" t="str">
        <x:v>不採用</x:v>
      </x:c>
      <x:c r="U352" s="16" t="n">
        <x:v>1</x:v>
      </x:c>
      <x:c r="V352" s="4" t="str">
        <x:v>低</x:v>
      </x:c>
      <x:c r="W352" s="4" t="str">
        <x:v>L32 更新 2025-08-06；L44 Rp150,000/日，僅勞務。數字相符但屬部落格，依協議 D 不採用。</x:v>
      </x:c>
      <x:c r="X352" s="4" t="str">
        <x:v>失敗原因是來源使用政策；數字、年份與定義均可見，不應計為 URL/內容不符。原值僅存稽核表，採用版刪除。</x:v>
      </x:c>
      <x:c r="Y352" s="37" t="d">
        <x:v>2026-10-09T00:00:00.000Z</x:v>
      </x:c>
      <x:c r="Z352" s="4" t="str">
        <x:v>turn192view0</x:v>
      </x:c>
    </x:row>
    <x:row r="353" ht="38" customHeight="1">
      <x:c r="A353" s="4" t="str">
        <x:v>M0352</x:v>
      </x:c>
      <x:c r="B353" s="4" t="str">
        <x:v>ID</x:v>
      </x:c>
      <x:c r="C353" s="4" t="str">
        <x:v>Sejasa工班日薪參考上限</x:v>
      </x:c>
      <x:c r="D353" s="17" t="n">
        <x:v>200000</x:v>
      </x:c>
      <x:c r="E353" s="4" t="str">
        <x:v>IDR/日</x:v>
      </x:c>
      <x:c r="F353" s="16" t="n">
        <x:v>2025</x:v>
      </x:c>
      <x:c r="G353" s="4" t="str">
        <x:v>單一平台行情</x:v>
      </x:c>
      <x:c r="H353" s="4" t="str">
        <x:v>ID09</x:v>
      </x:c>
      <x:c r="I353" s="4" t="str">
        <x:v>https://www.sejasa.com/blog/estimasi-biaya-renovasi-rumah/</x:v>
      </x:c>
      <x:c r="J353" s="4" t="str">
        <x:v>是</x:v>
      </x:c>
      <x:c r="K353" s="4" t="str">
        <x:v>是</x:v>
      </x:c>
      <x:c r="L353" s="4" t="str">
        <x:v>是</x:v>
      </x:c>
      <x:c r="M353" s="4" t="str">
        <x:v>是</x:v>
      </x:c>
      <x:c r="N353" s="4" t="str">
        <x:v>fail</x:v>
      </x:c>
      <x:c r="O353" s="4" t="str">
        <x:v>D</x:v>
      </x:c>
      <x:c r="P353" s="4" t="str">
        <x:v>否</x:v>
      </x:c>
      <x:c r="Q353" s="14" t="str"/>
      <x:c r="R353" s="16" t="str"/>
      <x:c r="S353" s="4" t="str"/>
      <x:c r="T353" s="4" t="str">
        <x:v>不採用</x:v>
      </x:c>
      <x:c r="U353" s="16" t="n">
        <x:v>1</x:v>
      </x:c>
      <x:c r="V353" s="4" t="str">
        <x:v>低</x:v>
      </x:c>
      <x:c r="W353" s="4" t="str">
        <x:v>L32 更新 2025-08-06；L44 Rp200,000/日，僅勞務。數字相符但屬部落格，依協議 D 不採用。</x:v>
      </x:c>
      <x:c r="X353" s="4" t="str">
        <x:v>失敗原因是來源使用政策；數字、年份與定義均可見，不應計為 URL/內容不符。原值僅存稽核表，採用版刪除。</x:v>
      </x:c>
      <x:c r="Y353" s="37" t="d">
        <x:v>2026-10-09T00:00:00.000Z</x:v>
      </x:c>
      <x:c r="Z353" s="4" t="str">
        <x:v>turn192view0</x:v>
      </x:c>
    </x:row>
    <x:row r="354" ht="38" customHeight="1">
      <x:c r="A354" s="4" t="str">
        <x:v>M0353</x:v>
      </x:c>
      <x:c r="B354" s="4" t="str">
        <x:v>ID</x:v>
      </x:c>
      <x:c r="C354" s="4" t="str">
        <x:v>家具市場估算</x:v>
      </x:c>
      <x:c r="D354" s="18" t="n">
        <x:v>8.24</x:v>
      </x:c>
      <x:c r="E354" s="4" t="str">
        <x:v>十億USD</x:v>
      </x:c>
      <x:c r="F354" s="16" t="n">
        <x:v>2025</x:v>
      </x:c>
      <x:c r="G354" s="4" t="str">
        <x:v>含住宅、辦公、飯店等可移動家具；非裝修市場</x:v>
      </x:c>
      <x:c r="H354" s="4" t="str">
        <x:v>ID10</x:v>
      </x:c>
      <x:c r="I354" s="4" t="str">
        <x:v>https://www.mordorintelligence.com/industry-reports/indonesia-furniture-market</x:v>
      </x:c>
      <x:c r="J354" s="4" t="str">
        <x:v>是</x:v>
      </x:c>
      <x:c r="K354" s="4" t="str">
        <x:v>是</x:v>
      </x:c>
      <x:c r="L354" s="4" t="str">
        <x:v>是</x:v>
      </x:c>
      <x:c r="M354" s="4" t="str">
        <x:v>是</x:v>
      </x:c>
      <x:c r="N354" s="4" t="str">
        <x:v>pass</x:v>
      </x:c>
      <x:c r="O354" s="4" t="str">
        <x:v>C</x:v>
      </x:c>
      <x:c r="P354" s="4" t="str">
        <x:v>是</x:v>
      </x:c>
      <x:c r="Q354" s="18" t="n">
        <x:v>8.24</x:v>
      </x:c>
      <x:c r="R354" s="16" t="n">
        <x:v>2025</x:v>
      </x:c>
      <x:c r="S354" s="4" t="str">
        <x:v>【預測／示意】含住宅、辦公、飯店等可移動家具；非裝修市場；獨立來源1；來源C級</x:v>
      </x:c>
      <x:c r="T354" s="4" t="str">
        <x:v>預測／示意</x:v>
      </x:c>
      <x:c r="U354" s="16" t="n">
        <x:v>1</x:v>
      </x:c>
      <x:c r="V354" s="4" t="str">
        <x:v>低</x:v>
      </x:c>
      <x:c r="W354" s="4" t="str">
        <x:v>L8–12：基期 2024、預測期 2025–2030，2025 USD8.24bn；屬模型估計。</x:v>
      </x:c>
      <x:c r="X354" s="4" t="str">
        <x:v>僅一個独立來源；依整合協議標低信心／示意，即使為 A 級官方數字亦不自動升為實際。</x:v>
      </x:c>
      <x:c r="Y354" s="37" t="d">
        <x:v>2026-10-09T00:00:00.000Z</x:v>
      </x:c>
      <x:c r="Z354" s="4" t="str">
        <x:v>turn192view1</x:v>
      </x:c>
    </x:row>
    <x:row r="355" ht="38" customHeight="1">
      <x:c r="A355" s="4" t="str">
        <x:v>M0354</x:v>
      </x:c>
      <x:c r="B355" s="4" t="str">
        <x:v>ID</x:v>
      </x:c>
      <x:c r="C355" s="4" t="str">
        <x:v>家具市場預測</x:v>
      </x:c>
      <x:c r="D355" s="18" t="n">
        <x:v>11.08</x:v>
      </x:c>
      <x:c r="E355" s="4" t="str">
        <x:v>十億USD</x:v>
      </x:c>
      <x:c r="F355" s="16" t="n">
        <x:v>2030</x:v>
      </x:c>
      <x:c r="G355" s="4" t="str">
        <x:v>第三方模型預測，不是官方預測</x:v>
      </x:c>
      <x:c r="H355" s="4" t="str">
        <x:v>ID10</x:v>
      </x:c>
      <x:c r="I355" s="4" t="str">
        <x:v>https://www.mordorintelligence.com/industry-reports/indonesia-furniture-market</x:v>
      </x:c>
      <x:c r="J355" s="4" t="str">
        <x:v>是</x:v>
      </x:c>
      <x:c r="K355" s="4" t="str">
        <x:v>是</x:v>
      </x:c>
      <x:c r="L355" s="4" t="str">
        <x:v>是</x:v>
      </x:c>
      <x:c r="M355" s="4" t="str">
        <x:v>是</x:v>
      </x:c>
      <x:c r="N355" s="4" t="str">
        <x:v>pass</x:v>
      </x:c>
      <x:c r="O355" s="4" t="str">
        <x:v>C</x:v>
      </x:c>
      <x:c r="P355" s="4" t="str">
        <x:v>是</x:v>
      </x:c>
      <x:c r="Q355" s="18" t="n">
        <x:v>11.08</x:v>
      </x:c>
      <x:c r="R355" s="16" t="n">
        <x:v>2030</x:v>
      </x:c>
      <x:c r="S355" s="4" t="str">
        <x:v>【預測／示意】第三方模型預測，不是官方預測；獨立來源1；來源C級</x:v>
      </x:c>
      <x:c r="T355" s="4" t="str">
        <x:v>預測／示意</x:v>
      </x:c>
      <x:c r="U355" s="16" t="n">
        <x:v>1</x:v>
      </x:c>
      <x:c r="V355" s="4" t="str">
        <x:v>低</x:v>
      </x:c>
      <x:c r="W355" s="4" t="str">
        <x:v>L11：2030 USD11.08bn，第三方預測。</x:v>
      </x:c>
      <x:c r="X355" s="4" t="str">
        <x:v>僅一個独立來源；依整合協議標低信心／示意，即使為 A 級官方數字亦不自動升為實際。</x:v>
      </x:c>
      <x:c r="Y355" s="37" t="d">
        <x:v>2026-10-09T00:00:00.000Z</x:v>
      </x:c>
      <x:c r="Z355" s="4" t="str">
        <x:v>turn192view1</x:v>
      </x:c>
    </x:row>
    <x:row r="356" ht="38" customHeight="1">
      <x:c r="A356" s="4" t="str">
        <x:v>M0355</x:v>
      </x:c>
      <x:c r="B356" s="4" t="str">
        <x:v>ID</x:v>
      </x:c>
      <x:c r="C356" s="4" t="str">
        <x:v>家具市場預測CAGR</x:v>
      </x:c>
      <x:c r="D356" s="19" t="n">
        <x:v>6.1</x:v>
      </x:c>
      <x:c r="E356" s="4" t="str">
        <x:v>%</x:v>
      </x:c>
      <x:c r="F356" s="16" t="n">
        <x:v>2025</x:v>
      </x:c>
      <x:c r="G356" s="4" t="str">
        <x:v>2025–2030預測期</x:v>
      </x:c>
      <x:c r="H356" s="4" t="str">
        <x:v>ID10</x:v>
      </x:c>
      <x:c r="I356" s="4" t="str">
        <x:v>https://www.mordorintelligence.com/industry-reports/indonesia-furniture-market</x:v>
      </x:c>
      <x:c r="J356" s="4" t="str">
        <x:v>是</x:v>
      </x:c>
      <x:c r="K356" s="4" t="str">
        <x:v>是</x:v>
      </x:c>
      <x:c r="L356" s="4" t="str">
        <x:v>否</x:v>
      </x:c>
      <x:c r="M356" s="4" t="str">
        <x:v>是</x:v>
      </x:c>
      <x:c r="N356" s="4" t="str">
        <x:v>partial</x:v>
      </x:c>
      <x:c r="O356" s="4" t="str">
        <x:v>C</x:v>
      </x:c>
      <x:c r="P356" s="4" t="str">
        <x:v>是</x:v>
      </x:c>
      <x:c r="Q356" s="19" t="n">
        <x:v>6.1</x:v>
      </x:c>
      <x:c r="R356" s="16" t="str">
        <x:v>2025–2030</x:v>
      </x:c>
      <x:c r="S356" s="4" t="str">
        <x:v>【預測／示意】Mordor 家具全市場模型預測期 CAGR，非 2025 年實際年增率；獨立來源1；來源C級；查核限制：L12：2025–2030 CAGR 6.10%。</x:v>
      </x:c>
      <x:c r="T356" s="4" t="str">
        <x:v>預測／示意</x:v>
      </x:c>
      <x:c r="U356" s="16" t="n">
        <x:v>1</x:v>
      </x:c>
      <x:c r="V356" s="4" t="str">
        <x:v>低</x:v>
      </x:c>
      <x:c r="W356" s="4" t="str">
        <x:v>L12：2025–2030 CAGR 6.10%。</x:v>
      </x:c>
      <x:c r="X356" s="4" t="str">
        <x:v>原 year=2025 未保留完整預測期間，已以 correction 更正為2025–2030；原紀錄不算全欄通過，更正後可作低信心預測／示意。</x:v>
      </x:c>
      <x:c r="Y356" s="37" t="d">
        <x:v>2026-10-09T00:00:00.000Z</x:v>
      </x:c>
      <x:c r="Z356" s="4" t="str">
        <x:v>turn192view1</x:v>
      </x:c>
    </x:row>
    <x:row r="357" ht="38" customHeight="1">
      <x:c r="A357" s="4" t="str">
        <x:v>M0356</x:v>
      </x:c>
      <x:c r="B357" s="4" t="str">
        <x:v>ID</x:v>
      </x:c>
      <x:c r="C357" s="4" t="str">
        <x:v>家具住宅用途占比</x:v>
      </x:c>
      <x:c r="D357" s="18" t="n">
        <x:v>61.12</x:v>
      </x:c>
      <x:c r="E357" s="4" t="str">
        <x:v>%</x:v>
      </x:c>
      <x:c r="F357" s="16" t="n">
        <x:v>2024</x:v>
      </x:c>
      <x:c r="G357" s="4" t="str">
        <x:v>市調家具營收用途占比；非住宅裝修占比</x:v>
      </x:c>
      <x:c r="H357" s="4" t="str">
        <x:v>ID10</x:v>
      </x:c>
      <x:c r="I357" s="4" t="str">
        <x:v>https://www.mordorintelligence.com/industry-reports/indonesia-furniture-market</x:v>
      </x:c>
      <x:c r="J357" s="4" t="str">
        <x:v>是</x:v>
      </x:c>
      <x:c r="K357" s="4" t="str">
        <x:v>是</x:v>
      </x:c>
      <x:c r="L357" s="4" t="str">
        <x:v>是</x:v>
      </x:c>
      <x:c r="M357" s="4" t="str">
        <x:v>是</x:v>
      </x:c>
      <x:c r="N357" s="4" t="str">
        <x:v>pass</x:v>
      </x:c>
      <x:c r="O357" s="4" t="str">
        <x:v>C</x:v>
      </x:c>
      <x:c r="P357" s="4" t="str">
        <x:v>是</x:v>
      </x:c>
      <x:c r="Q357" s="18" t="n">
        <x:v>61.12</x:v>
      </x:c>
      <x:c r="R357" s="16" t="n">
        <x:v>2024</x:v>
      </x:c>
      <x:c r="S357" s="4" t="str">
        <x:v>【示意】市調家具營收用途占比；非住宅裝修占比；獨立來源1；來源C級</x:v>
      </x:c>
      <x:c r="T357" s="4" t="str">
        <x:v>示意</x:v>
      </x:c>
      <x:c r="U357" s="16" t="n">
        <x:v>1</x:v>
      </x:c>
      <x:c r="V357" s="4" t="str">
        <x:v>低</x:v>
      </x:c>
      <x:c r="W357" s="4" t="str">
        <x:v>L30、81：2024 家具用途 Home furniture 占 61.12%。</x:v>
      </x:c>
      <x:c r="X357" s="4" t="str">
        <x:v>僅一個独立來源；依整合協議標低信心／示意，即使為 A 級官方數字亦不自動升為實際。</x:v>
      </x:c>
      <x:c r="Y357" s="37" t="d">
        <x:v>2026-10-09T00:00:00.000Z</x:v>
      </x:c>
      <x:c r="Z357" s="4" t="str">
        <x:v>turn192view1</x:v>
      </x:c>
    </x:row>
    <x:row r="358" ht="38" customHeight="1">
      <x:c r="A358" s="4" t="str">
        <x:v>M0357</x:v>
      </x:c>
      <x:c r="B358" s="4" t="str">
        <x:v>ID</x:v>
      </x:c>
      <x:c r="C358" s="4" t="str">
        <x:v>Dekoruma體驗中心</x:v>
      </x:c>
      <x:c r="D358" s="17" t="n">
        <x:v>38</x:v>
      </x:c>
      <x:c r="E358" s="4" t="str">
        <x:v>處</x:v>
      </x:c>
      <x:c r="F358" s="16" t="str">
        <x:v>2026-06-30</x:v>
      </x:c>
      <x:c r="G358" s="4" t="str">
        <x:v>Home and Living experience centers，不等於全服務設計施工據點</x:v>
      </x:c>
      <x:c r="H358" s="4" t="str">
        <x:v>ID11</x:v>
      </x:c>
      <x:c r="I358" s="4" t="str">
        <x:v>https://asset-about.blibli.com/2026/08/Update-Investor-1H26-PT-Global-Digital-Niaga-Tbk.pdf</x:v>
      </x:c>
      <x:c r="J358" s="4" t="str">
        <x:v>是</x:v>
      </x:c>
      <x:c r="K358" s="4" t="str">
        <x:v>是</x:v>
      </x:c>
      <x:c r="L358" s="4" t="str">
        <x:v>是</x:v>
      </x:c>
      <x:c r="M358" s="4" t="str">
        <x:v>是</x:v>
      </x:c>
      <x:c r="N358" s="4" t="str">
        <x:v>pass</x:v>
      </x:c>
      <x:c r="O358" s="4" t="str">
        <x:v>C</x:v>
      </x:c>
      <x:c r="P358" s="4" t="str">
        <x:v>是</x:v>
      </x:c>
      <x:c r="Q358" s="17" t="n">
        <x:v>38</x:v>
      </x:c>
      <x:c r="R358" s="16" t="str">
        <x:v>2026-06-30</x:v>
      </x:c>
      <x:c r="S358" s="4" t="str">
        <x:v>【示意】Home and Living experience centers，不等於全服務設計施工據點；獨立來源1；來源C級</x:v>
      </x:c>
      <x:c r="T358" s="4" t="str">
        <x:v>示意</x:v>
      </x:c>
      <x:c r="U358" s="16" t="n">
        <x:v>1</x:v>
      </x:c>
      <x:c r="V358" s="4" t="str">
        <x:v>低</x:v>
      </x:c>
      <x:c r="W358" s="4" t="str">
        <x:v>PDF 第 13 頁（P12），2026-06-30 Home and Living Experience Centers 38；不等於施工團隊。</x:v>
      </x:c>
      <x:c r="X358" s="4" t="str">
        <x:v>僅一個独立來源；依整合協議標低信心／示意，即使為 A 級官方數字亦不自動升為實際。</x:v>
      </x:c>
      <x:c r="Y358" s="37" t="d">
        <x:v>2026-10-09T00:00:00.000Z</x:v>
      </x:c>
      <x:c r="Z358" s="4" t="str">
        <x:v>turn192view2</x:v>
      </x:c>
    </x:row>
    <x:row r="359" ht="38" customHeight="1">
      <x:c r="A359" s="4" t="str">
        <x:v>M0358</x:v>
      </x:c>
      <x:c r="B359" s="4" t="str">
        <x:v>ID</x:v>
      </x:c>
      <x:c r="C359" s="4" t="str">
        <x:v>BUJK PMA非ASEAN股東上限</x:v>
      </x:c>
      <x:c r="D359" s="17" t="n">
        <x:v>67</x:v>
      </x:c>
      <x:c r="E359" s="4" t="str">
        <x:v>%</x:v>
      </x:c>
      <x:c r="F359" s="16" t="n">
        <x:v>2025</x:v>
      </x:c>
      <x:c r="G359" s="4" t="str">
        <x:v>建設總局認證方案5.1.1.2，不是全部室內設計KBLI上限；需專業確認</x:v>
      </x:c>
      <x:c r="H359" s="4" t="str">
        <x:v>ID12</x:v>
      </x:c>
      <x:c r="I359" s="4" t="str">
        <x:v>https://ptbmr.co.id/wp-content/uploads/2025/04/KEPDIRJEN_BINA_KONSTRUKSI_37_KPTS_DK_2025_STANDAR_SKEMA_SERTIFIKASI_BUJK.pdf</x:v>
      </x:c>
      <x:c r="J359" s="4" t="str">
        <x:v>是</x:v>
      </x:c>
      <x:c r="K359" s="4" t="str">
        <x:v>是</x:v>
      </x:c>
      <x:c r="L359" s="4" t="str">
        <x:v>是</x:v>
      </x:c>
      <x:c r="M359" s="4" t="str">
        <x:v>是</x:v>
      </x:c>
      <x:c r="N359" s="4" t="str">
        <x:v>pass</x:v>
      </x:c>
      <x:c r="O359" s="4" t="str">
        <x:v>A</x:v>
      </x:c>
      <x:c r="P359" s="4" t="str">
        <x:v>是</x:v>
      </x:c>
      <x:c r="Q359" s="17" t="n">
        <x:v>67</x:v>
      </x:c>
      <x:c r="R359" s="16" t="n">
        <x:v>2025</x:v>
      </x:c>
      <x:c r="S359" s="4" t="str">
        <x:v>【示意】建設總局認證方案5.1.1.2，不是全部室內設計KBLI上限；需專業確認；獨立來源1；來源A級</x:v>
      </x:c>
      <x:c r="T359" s="4" t="str">
        <x:v>示意</x:v>
      </x:c>
      <x:c r="U359" s="16" t="n">
        <x:v>1</x:v>
      </x:c>
      <x:c r="V359" s="4" t="str">
        <x:v>低</x:v>
      </x:c>
      <x:c r="W359" s="4" t="str">
        <x:v>PDF 第 53 頁（P52）、5.1.1.2：非 ASEAN 67%、ASEAN 70%；對 BUJK PMA 申請認證，不泛指純設計業。</x:v>
      </x:c>
      <x:c r="X359" s="4" t="str">
        <x:v>僅一個独立來源；依整合協議標低信心／示意，即使為 A 級官方數字亦不自動升為實際。</x:v>
      </x:c>
      <x:c r="Y359" s="37" t="d">
        <x:v>2026-10-09T00:00:00.000Z</x:v>
      </x:c>
      <x:c r="Z359" s="4" t="str">
        <x:v>turn192view3</x:v>
      </x:c>
    </x:row>
    <x:row r="360" ht="52" customHeight="1">
      <x:c r="A360" s="4" t="str">
        <x:v>M0359</x:v>
      </x:c>
      <x:c r="B360" s="4" t="str">
        <x:v>ID</x:v>
      </x:c>
      <x:c r="C360" s="4" t="str">
        <x:v>全產業受僱者平均月薪</x:v>
      </x:c>
      <x:c r="D360" s="17" t="n">
        <x:v>3330000</x:v>
      </x:c>
      <x:c r="E360" s="4" t="str">
        <x:v>IDR/月</x:v>
      </x:c>
      <x:c r="F360" s="16" t="n">
        <x:v>2025</x:v>
      </x:c>
      <x:c r="G360" s="4" t="str">
        <x:v>8月；非室內設計師或監工</x:v>
      </x:c>
      <x:c r="H360" s="4" t="str">
        <x:v>ID14</x:v>
      </x:c>
      <x:c r="I360" s="4" t="str">
        <x:v>https://www.bps.go.id/assets/pressrelease/2025/11/05/2479/tingkat-pengangguran-terbuka--tpt--sebesar-4-85-persen--rata-rata-upah-buruh-sebesar-3-33-juta-rupiah-.html</x:v>
      </x:c>
      <x:c r="J360" s="4" t="str">
        <x:v>是</x:v>
      </x:c>
      <x:c r="K360" s="4" t="str">
        <x:v>是</x:v>
      </x:c>
      <x:c r="L360" s="4" t="str">
        <x:v>是</x:v>
      </x:c>
      <x:c r="M360" s="4" t="str">
        <x:v>是</x:v>
      </x:c>
      <x:c r="N360" s="4" t="str">
        <x:v>pass</x:v>
      </x:c>
      <x:c r="O360" s="4" t="str">
        <x:v>A</x:v>
      </x:c>
      <x:c r="P360" s="4" t="str">
        <x:v>是</x:v>
      </x:c>
      <x:c r="Q360" s="17" t="n">
        <x:v>3330000</x:v>
      </x:c>
      <x:c r="R360" s="16" t="n">
        <x:v>2025</x:v>
      </x:c>
      <x:c r="S360" s="4" t="str">
        <x:v>【示意】8月；非室內設計師或監工；獨立來源1；來源A級</x:v>
      </x:c>
      <x:c r="T360" s="4" t="str">
        <x:v>示意</x:v>
      </x:c>
      <x:c r="U360" s="16" t="n">
        <x:v>1</x:v>
      </x:c>
      <x:c r="V360" s="4" t="str">
        <x:v>低</x:v>
      </x:c>
      <x:c r="W360" s="4" t="str">
        <x:v>L29–33：2025-08 Sakernas，全產業平均 3.33 百萬 IDR/月。</x:v>
      </x:c>
      <x:c r="X360" s="4" t="str">
        <x:v>僅一個独立來源；依整合協議標低信心／示意，即使為 A 級官方數字亦不自動升為實際。</x:v>
      </x:c>
      <x:c r="Y360" s="37" t="d">
        <x:v>2026-10-09T00:00:00.000Z</x:v>
      </x:c>
      <x:c r="Z360" s="4" t="str">
        <x:v>turn192view5</x:v>
      </x:c>
    </x:row>
    <x:row r="361" ht="52" customHeight="1">
      <x:c r="A361" s="4" t="str">
        <x:v>M0360</x:v>
      </x:c>
      <x:c r="B361" s="4" t="str">
        <x:v>ID</x:v>
      </x:c>
      <x:c r="C361" s="4" t="str">
        <x:v>全產業受僱者薪資年增</x:v>
      </x:c>
      <x:c r="D361" s="18" t="n">
        <x:v>1.94</x:v>
      </x:c>
      <x:c r="E361" s="4" t="str">
        <x:v>%</x:v>
      </x:c>
      <x:c r="F361" s="16" t="n">
        <x:v>2025</x:v>
      </x:c>
      <x:c r="G361" s="4" t="str">
        <x:v>2024年8月至2025年8月</x:v>
      </x:c>
      <x:c r="H361" s="4" t="str">
        <x:v>ID14</x:v>
      </x:c>
      <x:c r="I361" s="4" t="str">
        <x:v>https://www.bps.go.id/assets/pressrelease/2025/11/05/2479/tingkat-pengangguran-terbuka--tpt--sebesar-4-85-persen--rata-rata-upah-buruh-sebesar-3-33-juta-rupiah-.html</x:v>
      </x:c>
      <x:c r="J361" s="4" t="str">
        <x:v>是</x:v>
      </x:c>
      <x:c r="K361" s="4" t="str">
        <x:v>是</x:v>
      </x:c>
      <x:c r="L361" s="4" t="str">
        <x:v>是</x:v>
      </x:c>
      <x:c r="M361" s="4" t="str">
        <x:v>是</x:v>
      </x:c>
      <x:c r="N361" s="4" t="str">
        <x:v>pass</x:v>
      </x:c>
      <x:c r="O361" s="4" t="str">
        <x:v>A</x:v>
      </x:c>
      <x:c r="P361" s="4" t="str">
        <x:v>是</x:v>
      </x:c>
      <x:c r="Q361" s="18" t="n">
        <x:v>1.94</x:v>
      </x:c>
      <x:c r="R361" s="16" t="n">
        <x:v>2025</x:v>
      </x:c>
      <x:c r="S361" s="4" t="str">
        <x:v>【示意】2024年8月至2025年8月；獨立來源1；來源A級</x:v>
      </x:c>
      <x:c r="T361" s="4" t="str">
        <x:v>示意</x:v>
      </x:c>
      <x:c r="U361" s="16" t="n">
        <x:v>1</x:v>
      </x:c>
      <x:c r="V361" s="4" t="str">
        <x:v>低</x:v>
      </x:c>
      <x:c r="W361" s="4" t="str">
        <x:v>L33：2024-08 至 2025-08，由 3.27 至 3.33 百萬 IDR，年增 1.94%。</x:v>
      </x:c>
      <x:c r="X361" s="4" t="str">
        <x:v>僅一個独立來源；依整合協議標低信心／示意，即使為 A 級官方數字亦不自動升為實際。</x:v>
      </x:c>
      <x:c r="Y361" s="37" t="d">
        <x:v>2026-10-09T00:00:00.000Z</x:v>
      </x:c>
      <x:c r="Z361" s="4" t="str">
        <x:v>turn192view5</x:v>
      </x:c>
    </x:row>
    <x:row r="362" ht="52" customHeight="1">
      <x:c r="A362" s="4" t="str">
        <x:v>M0361</x:v>
      </x:c>
      <x:c r="B362" s="4" t="str">
        <x:v>ID</x:v>
      </x:c>
      <x:c r="C362" s="4" t="str">
        <x:v>人均GDP</x:v>
      </x:c>
      <x:c r="D362" s="19" t="n">
        <x:v>5059.6</x:v>
      </x:c>
      <x:c r="E362" s="4" t="str">
        <x:v>USD/人</x:v>
      </x:c>
      <x:c r="F362" s="16" t="n">
        <x:v>2025</x:v>
      </x:c>
      <x:c r="G362" s="4" t="str">
        <x:v>名目、現價美元；WDI 2025歷史數列，可能修訂，非家庭可支配所得</x:v>
      </x:c>
      <x:c r="H362" s="4" t="str">
        <x:v>MID</x:v>
      </x:c>
      <x:c r="I362" s="4" t="str">
        <x:v>https://data.worldbank.org/country/indonesia</x:v>
      </x:c>
      <x:c r="J362" s="4" t="str">
        <x:v>是</x:v>
      </x:c>
      <x:c r="K362" s="4" t="str">
        <x:v>是</x:v>
      </x:c>
      <x:c r="L362" s="4" t="str">
        <x:v>是</x:v>
      </x:c>
      <x:c r="M362" s="4" t="str">
        <x:v>是</x:v>
      </x:c>
      <x:c r="N362" s="4" t="str">
        <x:v>pass</x:v>
      </x:c>
      <x:c r="O362" s="4" t="str">
        <x:v>A</x:v>
      </x:c>
      <x:c r="P362" s="4" t="str">
        <x:v>是</x:v>
      </x:c>
      <x:c r="Q362" s="21" t="n">
        <x:v>5059.626</x:v>
      </x:c>
      <x:c r="R362" s="16" t="n">
        <x:v>2025</x:v>
      </x:c>
      <x:c r="S362" s="4" t="str">
        <x:v>【示意】名目、現價美元；WDI 2025歷史數列，可能修訂，非家庭可支配所得；獨立來源1；來源A級</x:v>
      </x:c>
      <x:c r="T362" s="4" t="str">
        <x:v>示意</x:v>
      </x:c>
      <x:c r="U362" s="16" t="n">
        <x:v>1</x:v>
      </x:c>
      <x:c r="V362" s="4" t="str">
        <x:v>低</x:v>
      </x:c>
      <x:c r="W362" s="4" t="str">
        <x:v>WDI國家頁Latest value(2025)：人均GDP=5059.6 USD/人；人口=285721236 人；GDP=1450000000000.0 USD。GDP和CN/IN人口按頁面取整，不提高精度。人均GDP頁面完整值5059.626，R1保留一位小數5059.6；R2保存來源精度。</x:v>
      </x:c>
      <x:c r="X362" s="4" t="str">
        <x:v>單一獨立原始機構，依協議第4條低信心示意；A/B來源等級不等於已三角驗證。</x:v>
      </x:c>
      <x:c r="Y362" s="37" t="d">
        <x:v>2026-10-09T00:00:00.000Z</x:v>
      </x:c>
      <x:c r="Z362" s="4" t="str">
        <x:v>turn244view2</x:v>
      </x:c>
    </x:row>
    <x:row r="363" ht="52" customHeight="1">
      <x:c r="A363" s="4" t="str">
        <x:v>M0362</x:v>
      </x:c>
      <x:c r="B363" s="4" t="str">
        <x:v>ID</x:v>
      </x:c>
      <x:c r="C363" s="4" t="str">
        <x:v>人口</x:v>
      </x:c>
      <x:c r="D363" s="17" t="n">
        <x:v>285721236</x:v>
      </x:c>
      <x:c r="E363" s="4" t="str">
        <x:v>人</x:v>
      </x:c>
      <x:c r="F363" s="16" t="n">
        <x:v>2025</x:v>
      </x:c>
      <x:c r="G363" s="4" t="str">
        <x:v>WDI 2025；CN、IN為頁面billion顯示的四捨五入值，其餘依顯示人數</x:v>
      </x:c>
      <x:c r="H363" s="4" t="str">
        <x:v>MID</x:v>
      </x:c>
      <x:c r="I363" s="4" t="str">
        <x:v>https://data.worldbank.org/country/indonesia</x:v>
      </x:c>
      <x:c r="J363" s="4" t="str">
        <x:v>是</x:v>
      </x:c>
      <x:c r="K363" s="4" t="str">
        <x:v>是</x:v>
      </x:c>
      <x:c r="L363" s="4" t="str">
        <x:v>是</x:v>
      </x:c>
      <x:c r="M363" s="4" t="str">
        <x:v>是</x:v>
      </x:c>
      <x:c r="N363" s="4" t="str">
        <x:v>pass</x:v>
      </x:c>
      <x:c r="O363" s="4" t="str">
        <x:v>A</x:v>
      </x:c>
      <x:c r="P363" s="4" t="str">
        <x:v>是</x:v>
      </x:c>
      <x:c r="Q363" s="17" t="n">
        <x:v>285721236</x:v>
      </x:c>
      <x:c r="R363" s="16" t="n">
        <x:v>2025</x:v>
      </x:c>
      <x:c r="S363" s="4" t="str">
        <x:v>【示意】WDI 2025；CN、IN為頁面billion顯示的四捨五入值，其餘依顯示人數；獨立來源1；來源A級</x:v>
      </x:c>
      <x:c r="T363" s="4" t="str">
        <x:v>示意</x:v>
      </x:c>
      <x:c r="U363" s="16" t="n">
        <x:v>1</x:v>
      </x:c>
      <x:c r="V363" s="4" t="str">
        <x:v>低</x:v>
      </x:c>
      <x:c r="W363" s="4" t="str">
        <x:v>WDI國家頁Latest value(2025)：人均GDP=5059.6 USD/人；人口=285721236 人；GDP=1450000000000.0 USD。GDP和CN/IN人口按頁面取整，不提高精度。人均GDP頁面完整值5059.626，R1保留一位小數5059.6；R2保存來源精度。</x:v>
      </x:c>
      <x:c r="X363" s="4" t="str">
        <x:v>單一獨立原始機構，依協議第4條低信心示意；A/B來源等級不等於已三角驗證。</x:v>
      </x:c>
      <x:c r="Y363" s="37" t="d">
        <x:v>2026-10-09T00:00:00.000Z</x:v>
      </x:c>
      <x:c r="Z363" s="4" t="str">
        <x:v>turn244view2</x:v>
      </x:c>
    </x:row>
    <x:row r="364" ht="52" customHeight="1">
      <x:c r="A364" s="4" t="str">
        <x:v>M0363</x:v>
      </x:c>
      <x:c r="B364" s="4" t="str">
        <x:v>ID</x:v>
      </x:c>
      <x:c r="C364" s="4" t="str">
        <x:v>GDP</x:v>
      </x:c>
      <x:c r="D364" s="17" t="n">
        <x:v>1450000000000</x:v>
      </x:c>
      <x:c r="E364" s="4" t="str">
        <x:v>USD</x:v>
      </x:c>
      <x:c r="F364" s="16" t="n">
        <x:v>2025</x:v>
      </x:c>
      <x:c r="G364" s="4" t="str">
        <x:v>WDI 2025現價；頁面billion/trillion四捨五入值</x:v>
      </x:c>
      <x:c r="H364" s="4" t="str">
        <x:v>MID</x:v>
      </x:c>
      <x:c r="I364" s="4" t="str">
        <x:v>https://data.worldbank.org/country/indonesia</x:v>
      </x:c>
      <x:c r="J364" s="4" t="str">
        <x:v>是</x:v>
      </x:c>
      <x:c r="K364" s="4" t="str">
        <x:v>是</x:v>
      </x:c>
      <x:c r="L364" s="4" t="str">
        <x:v>是</x:v>
      </x:c>
      <x:c r="M364" s="4" t="str">
        <x:v>是</x:v>
      </x:c>
      <x:c r="N364" s="4" t="str">
        <x:v>pass</x:v>
      </x:c>
      <x:c r="O364" s="4" t="str">
        <x:v>A</x:v>
      </x:c>
      <x:c r="P364" s="4" t="str">
        <x:v>是</x:v>
      </x:c>
      <x:c r="Q364" s="17" t="n">
        <x:v>1450000000000</x:v>
      </x:c>
      <x:c r="R364" s="16" t="n">
        <x:v>2025</x:v>
      </x:c>
      <x:c r="S364" s="4" t="str">
        <x:v>【示意】WDI 2025現價；頁面billion/trillion四捨五入值；獨立來源1；來源A級</x:v>
      </x:c>
      <x:c r="T364" s="4" t="str">
        <x:v>示意</x:v>
      </x:c>
      <x:c r="U364" s="16" t="n">
        <x:v>1</x:v>
      </x:c>
      <x:c r="V364" s="4" t="str">
        <x:v>低</x:v>
      </x:c>
      <x:c r="W364" s="4" t="str">
        <x:v>WDI國家頁Latest value(2025)：人均GDP=5059.6 USD/人；人口=285721236 人；GDP=1450000000000.0 USD。GDP和CN/IN人口按頁面取整，不提高精度。人均GDP頁面完整值5059.626，R1保留一位小數5059.6；R2保存來源精度。</x:v>
      </x:c>
      <x:c r="X364" s="4" t="str">
        <x:v>單一獨立原始機構，依協議第4條低信心示意；A/B來源等級不等於已三角驗證。</x:v>
      </x:c>
      <x:c r="Y364" s="37" t="d">
        <x:v>2026-10-09T00:00:00.000Z</x:v>
      </x:c>
      <x:c r="Z364" s="4" t="str">
        <x:v>turn244view2</x:v>
      </x:c>
    </x:row>
    <x:row r="365" ht="38" customHeight="1">
      <x:c r="A365" s="4" t="str">
        <x:v>M0364</x:v>
      </x:c>
      <x:c r="B365" s="4" t="str">
        <x:v>ID</x:v>
      </x:c>
      <x:c r="C365" s="4" t="str">
        <x:v>雅加達商辦裝修成本</x:v>
      </x:c>
      <x:c r="D365" s="20" t="n">
        <x:v>624.3068041691638</x:v>
      </x:c>
      <x:c r="E365" s="4" t="str">
        <x:v>USD/m²</x:v>
      </x:c>
      <x:c r="F365" s="16" t="n">
        <x:v>2026</x:v>
      </x:c>
      <x:c r="G365" s="4" t="str">
        <x:v>C&amp;W 2026商辦fit-out，價格基準2025年12月；USD/ft²÷0.09290304，非住宅報價，報告自身匯率</x:v>
      </x:c>
      <x:c r="H365" s="4" t="str">
        <x:v>X02</x:v>
      </x:c>
      <x:c r="I365" s="4" t="str">
        <x:v>https://digital.cushmanwakefield.com/fitoutcostguide-03-2026-apac-regional-en-content-pds-office/30-31/</x:v>
      </x:c>
      <x:c r="J365" s="4" t="str">
        <x:v>是</x:v>
      </x:c>
      <x:c r="K365" s="4" t="str">
        <x:v>是</x:v>
      </x:c>
      <x:c r="L365" s="4" t="str">
        <x:v>是</x:v>
      </x:c>
      <x:c r="M365" s="4" t="str">
        <x:v>是</x:v>
      </x:c>
      <x:c r="N365" s="4" t="str">
        <x:v>pass</x:v>
      </x:c>
      <x:c r="O365" s="4" t="str">
        <x:v>B</x:v>
      </x:c>
      <x:c r="P365" s="4" t="str">
        <x:v>是</x:v>
      </x:c>
      <x:c r="Q365" s="20" t="n">
        <x:v>624.3068041691638</x:v>
      </x:c>
      <x:c r="R365" s="16" t="n">
        <x:v>2026</x:v>
      </x:c>
      <x:c r="S365" s="4" t="str">
        <x:v>【示意】C&amp;W 2026商辦fit-out，價格基準2025年12月；USD/ft²÷0.09290304，非住宅報價，報告自身匯率；獨立來源1；來源B級</x:v>
      </x:c>
      <x:c r="T365" s="4" t="str">
        <x:v>示意</x:v>
      </x:c>
      <x:c r="U365" s="16" t="n">
        <x:v>1</x:v>
      </x:c>
      <x:c r="V365" s="4" t="str">
        <x:v>低</x:v>
      </x:c>
      <x:c r="W365" s="4" t="str">
        <x:v>成本頁逐城讀USD/ft²；配合X11方法頁確定價格2025-12，報告2026。 雅加達=58USD/ft²，除0.09290304得624.3068041691638USD/m²；原幣10425601IDR/m²。</x:v>
      </x:c>
      <x:c r="X365" s="4" t="str">
        <x:v>單一獨立原始機構，依協議第4條低信心示意；A/B來源等級不等於已三角驗證。</x:v>
      </x:c>
      <x:c r="Y365" s="37" t="d">
        <x:v>2026-10-09T00:00:00.000Z</x:v>
      </x:c>
      <x:c r="Z365" s="4" t="str">
        <x:v>turn202view1</x:v>
      </x:c>
    </x:row>
    <x:row r="366" ht="38" customHeight="1">
      <x:c r="A366" s="4" t="str">
        <x:v>M0365</x:v>
      </x:c>
      <x:c r="B366" s="4" t="str">
        <x:v>PH</x:v>
      </x:c>
      <x:c r="C366" s="4" t="str">
        <x:v>人均GDP</x:v>
      </x:c>
      <x:c r="D366" s="21" t="n">
        <x:v>4170.723</x:v>
      </x:c>
      <x:c r="E366" s="4" t="str">
        <x:v>USD/人</x:v>
      </x:c>
      <x:c r="F366" s="16" t="n">
        <x:v>2025</x:v>
      </x:c>
      <x:c r="G366" s="4" t="str">
        <x:v>名目、現價美元；WDI 2025歷史數列，可能修訂，非家庭可支配所得</x:v>
      </x:c>
      <x:c r="H366" s="4" t="str">
        <x:v>MPH</x:v>
      </x:c>
      <x:c r="I366" s="4" t="str">
        <x:v>https://data.worldbank.org/country/philippines</x:v>
      </x:c>
      <x:c r="J366" s="4" t="str">
        <x:v>是</x:v>
      </x:c>
      <x:c r="K366" s="4" t="str">
        <x:v>是</x:v>
      </x:c>
      <x:c r="L366" s="4" t="str">
        <x:v>是</x:v>
      </x:c>
      <x:c r="M366" s="4" t="str">
        <x:v>是</x:v>
      </x:c>
      <x:c r="N366" s="4" t="str">
        <x:v>pass</x:v>
      </x:c>
      <x:c r="O366" s="4" t="str">
        <x:v>A</x:v>
      </x:c>
      <x:c r="P366" s="4" t="str">
        <x:v>是</x:v>
      </x:c>
      <x:c r="Q366" s="21" t="n">
        <x:v>4170.723</x:v>
      </x:c>
      <x:c r="R366" s="16" t="n">
        <x:v>2025</x:v>
      </x:c>
      <x:c r="S366" s="4" t="str">
        <x:v>【示意】名目、現價美元；WDI 2025歷史數列，可能修訂，非家庭可支配所得；獨立來源1；來源A級</x:v>
      </x:c>
      <x:c r="T366" s="4" t="str">
        <x:v>示意</x:v>
      </x:c>
      <x:c r="U366" s="16" t="n">
        <x:v>1</x:v>
      </x:c>
      <x:c r="V366" s="4" t="str">
        <x:v>低</x:v>
      </x:c>
      <x:c r="W366" s="4" t="str">
        <x:v>WDI國家頁Latest value(2025)：人均GDP=4170.723 USD/人；人口=116786962 人；GDP=487090000000.0 USD。GDP和CN/IN人口按頁面取整，不提高精度。</x:v>
      </x:c>
      <x:c r="X366" s="4" t="str">
        <x:v>單一獨立原始機構，依協議第4條低信心示意；A/B來源等級不等於已三角驗證。</x:v>
      </x:c>
      <x:c r="Y366" s="37" t="d">
        <x:v>2026-10-09T00:00:00.000Z</x:v>
      </x:c>
      <x:c r="Z366" s="4" t="str">
        <x:v>turn244view3</x:v>
      </x:c>
    </x:row>
    <x:row r="367" ht="38" customHeight="1">
      <x:c r="A367" s="4" t="str">
        <x:v>M0366</x:v>
      </x:c>
      <x:c r="B367" s="4" t="str">
        <x:v>PH</x:v>
      </x:c>
      <x:c r="C367" s="4" t="str">
        <x:v>人口</x:v>
      </x:c>
      <x:c r="D367" s="17" t="n">
        <x:v>116786962</x:v>
      </x:c>
      <x:c r="E367" s="4" t="str">
        <x:v>人</x:v>
      </x:c>
      <x:c r="F367" s="16" t="n">
        <x:v>2025</x:v>
      </x:c>
      <x:c r="G367" s="4" t="str">
        <x:v>WDI 2025；CN、IN為頁面billion顯示的四捨五入值，其餘依顯示人數</x:v>
      </x:c>
      <x:c r="H367" s="4" t="str">
        <x:v>MPH</x:v>
      </x:c>
      <x:c r="I367" s="4" t="str">
        <x:v>https://data.worldbank.org/country/philippines</x:v>
      </x:c>
      <x:c r="J367" s="4" t="str">
        <x:v>是</x:v>
      </x:c>
      <x:c r="K367" s="4" t="str">
        <x:v>是</x:v>
      </x:c>
      <x:c r="L367" s="4" t="str">
        <x:v>是</x:v>
      </x:c>
      <x:c r="M367" s="4" t="str">
        <x:v>是</x:v>
      </x:c>
      <x:c r="N367" s="4" t="str">
        <x:v>pass</x:v>
      </x:c>
      <x:c r="O367" s="4" t="str">
        <x:v>A</x:v>
      </x:c>
      <x:c r="P367" s="4" t="str">
        <x:v>是</x:v>
      </x:c>
      <x:c r="Q367" s="17" t="n">
        <x:v>116786962</x:v>
      </x:c>
      <x:c r="R367" s="16" t="n">
        <x:v>2025</x:v>
      </x:c>
      <x:c r="S367" s="4" t="str">
        <x:v>【示意】WDI 2025；CN、IN為頁面billion顯示的四捨五入值，其餘依顯示人數；獨立來源1；來源A級</x:v>
      </x:c>
      <x:c r="T367" s="4" t="str">
        <x:v>示意</x:v>
      </x:c>
      <x:c r="U367" s="16" t="n">
        <x:v>1</x:v>
      </x:c>
      <x:c r="V367" s="4" t="str">
        <x:v>低</x:v>
      </x:c>
      <x:c r="W367" s="4" t="str">
        <x:v>WDI國家頁Latest value(2025)：人均GDP=4170.723 USD/人；人口=116786962 人；GDP=487090000000.0 USD。GDP和CN/IN人口按頁面取整，不提高精度。</x:v>
      </x:c>
      <x:c r="X367" s="4" t="str">
        <x:v>單一獨立原始機構，依協議第4條低信心示意；A/B來源等級不等於已三角驗證。</x:v>
      </x:c>
      <x:c r="Y367" s="37" t="d">
        <x:v>2026-10-09T00:00:00.000Z</x:v>
      </x:c>
      <x:c r="Z367" s="4" t="str">
        <x:v>turn244view3</x:v>
      </x:c>
    </x:row>
    <x:row r="368" ht="38" customHeight="1">
      <x:c r="A368" s="4" t="str">
        <x:v>M0367</x:v>
      </x:c>
      <x:c r="B368" s="4" t="str">
        <x:v>PH</x:v>
      </x:c>
      <x:c r="C368" s="4" t="str">
        <x:v>GDP</x:v>
      </x:c>
      <x:c r="D368" s="17" t="n">
        <x:v>487090000000</x:v>
      </x:c>
      <x:c r="E368" s="4" t="str">
        <x:v>USD</x:v>
      </x:c>
      <x:c r="F368" s="16" t="n">
        <x:v>2025</x:v>
      </x:c>
      <x:c r="G368" s="4" t="str">
        <x:v>WDI 2025現價；頁面billion/trillion四捨五入值</x:v>
      </x:c>
      <x:c r="H368" s="4" t="str">
        <x:v>MPH</x:v>
      </x:c>
      <x:c r="I368" s="4" t="str">
        <x:v>https://data.worldbank.org/country/philippines</x:v>
      </x:c>
      <x:c r="J368" s="4" t="str">
        <x:v>是</x:v>
      </x:c>
      <x:c r="K368" s="4" t="str">
        <x:v>是</x:v>
      </x:c>
      <x:c r="L368" s="4" t="str">
        <x:v>是</x:v>
      </x:c>
      <x:c r="M368" s="4" t="str">
        <x:v>是</x:v>
      </x:c>
      <x:c r="N368" s="4" t="str">
        <x:v>pass</x:v>
      </x:c>
      <x:c r="O368" s="4" t="str">
        <x:v>A</x:v>
      </x:c>
      <x:c r="P368" s="4" t="str">
        <x:v>是</x:v>
      </x:c>
      <x:c r="Q368" s="17" t="n">
        <x:v>487090000000</x:v>
      </x:c>
      <x:c r="R368" s="16" t="n">
        <x:v>2025</x:v>
      </x:c>
      <x:c r="S368" s="4" t="str">
        <x:v>【示意】WDI 2025現價；頁面billion/trillion四捨五入值；獨立來源1；來源A級</x:v>
      </x:c>
      <x:c r="T368" s="4" t="str">
        <x:v>示意</x:v>
      </x:c>
      <x:c r="U368" s="16" t="n">
        <x:v>1</x:v>
      </x:c>
      <x:c r="V368" s="4" t="str">
        <x:v>低</x:v>
      </x:c>
      <x:c r="W368" s="4" t="str">
        <x:v>WDI國家頁Latest value(2025)：人均GDP=4170.723 USD/人；人口=116786962 人；GDP=487090000000.0 USD。GDP和CN/IN人口按頁面取整，不提高精度。</x:v>
      </x:c>
      <x:c r="X368" s="4" t="str">
        <x:v>單一獨立原始機構，依協議第4條低信心示意；A/B來源等級不等於已三角驗證。</x:v>
      </x:c>
      <x:c r="Y368" s="37" t="d">
        <x:v>2026-10-09T00:00:00.000Z</x:v>
      </x:c>
      <x:c r="Z368" s="4" t="str">
        <x:v>turn244view3</x:v>
      </x:c>
    </x:row>
    <x:row r="369" ht="38" customHeight="1">
      <x:c r="A369" s="4" t="str">
        <x:v>M0368</x:v>
      </x:c>
      <x:c r="B369" s="4" t="str">
        <x:v>PH</x:v>
      </x:c>
      <x:c r="C369" s="4" t="str">
        <x:v>住宅核准建築案件</x:v>
      </x:c>
      <x:c r="D369" s="17" t="n">
        <x:v>116427</x:v>
      </x:c>
      <x:c r="E369" s="4" t="str">
        <x:v>件</x:v>
      </x:c>
      <x:c r="F369" s="16" t="n">
        <x:v>2024</x:v>
      </x:c>
      <x:c r="G369" s="4" t="str">
        <x:v>核准建照住宅建築案件，不是完工戶數</x:v>
      </x:c>
      <x:c r="H369" s="4" t="str">
        <x:v>PH01</x:v>
      </x:c>
      <x:c r="I369" s="4" t="str">
        <x:v>https://psa.gov.ph/statistics/construction/pcs/node/1684076766</x:v>
      </x:c>
      <x:c r="J369" s="4" t="str">
        <x:v>是</x:v>
      </x:c>
      <x:c r="K369" s="4" t="str">
        <x:v>是</x:v>
      </x:c>
      <x:c r="L369" s="4" t="str">
        <x:v>是</x:v>
      </x:c>
      <x:c r="M369" s="4" t="str">
        <x:v>是</x:v>
      </x:c>
      <x:c r="N369" s="4" t="str">
        <x:v>pass</x:v>
      </x:c>
      <x:c r="O369" s="4" t="str">
        <x:v>A</x:v>
      </x:c>
      <x:c r="P369" s="4" t="str">
        <x:v>是</x:v>
      </x:c>
      <x:c r="Q369" s="17" t="n">
        <x:v>116427</x:v>
      </x:c>
      <x:c r="R369" s="16" t="n">
        <x:v>2024</x:v>
      </x:c>
      <x:c r="S369" s="4" t="str">
        <x:v>【示意】核准建照住宅建築案件，不是完工戶數；獨立來源1；來源A級</x:v>
      </x:c>
      <x:c r="T369" s="4" t="str">
        <x:v>示意</x:v>
      </x:c>
      <x:c r="U369" s="16" t="n">
        <x:v>1</x:v>
      </x:c>
      <x:c r="V369" s="4" t="str">
        <x:v>低</x:v>
      </x:c>
      <x:c r="W369" s="4" t="str">
        <x:v>表 A：住宅 116427、3.6%、248648677.36 千 PHP、19748190 m²；改修 43051225.19 千 PHP、26.7%。正文另以 248.65／43.05 十億及 19.75 百萬四捨五入。</x:v>
      </x:c>
      <x:c r="X369" s="4" t="str">
        <x:v>依整合協議第4條：單一獨立来源，整合信心低；通過表示網頁數字相符，不代表已完成三角驗證。</x:v>
      </x:c>
      <x:c r="Y369" s="37" t="d">
        <x:v>2026-10-09T00:00:00.000Z</x:v>
      </x:c>
      <x:c r="Z369" s="4" t="str">
        <x:v>turn194view0</x:v>
      </x:c>
    </x:row>
    <x:row r="370" ht="38" customHeight="1">
      <x:c r="A370" s="4" t="str">
        <x:v>M0369</x:v>
      </x:c>
      <x:c r="B370" s="4" t="str">
        <x:v>PH</x:v>
      </x:c>
      <x:c r="C370" s="4" t="str">
        <x:v>住宅核准建築案件年增</x:v>
      </x:c>
      <x:c r="D370" s="19" t="n">
        <x:v>3.6</x:v>
      </x:c>
      <x:c r="E370" s="4" t="str">
        <x:v>%</x:v>
      </x:c>
      <x:c r="F370" s="16" t="n">
        <x:v>2024</x:v>
      </x:c>
      <x:c r="G370" s="4" t="str">
        <x:v>非住宅翻修增幅</x:v>
      </x:c>
      <x:c r="H370" s="4" t="str">
        <x:v>PH01</x:v>
      </x:c>
      <x:c r="I370" s="4" t="str">
        <x:v>https://psa.gov.ph/statistics/construction/pcs/node/1684076766</x:v>
      </x:c>
      <x:c r="J370" s="4" t="str">
        <x:v>是</x:v>
      </x:c>
      <x:c r="K370" s="4" t="str">
        <x:v>是</x:v>
      </x:c>
      <x:c r="L370" s="4" t="str">
        <x:v>是</x:v>
      </x:c>
      <x:c r="M370" s="4" t="str">
        <x:v>是</x:v>
      </x:c>
      <x:c r="N370" s="4" t="str">
        <x:v>pass</x:v>
      </x:c>
      <x:c r="O370" s="4" t="str">
        <x:v>A</x:v>
      </x:c>
      <x:c r="P370" s="4" t="str">
        <x:v>是</x:v>
      </x:c>
      <x:c r="Q370" s="19" t="n">
        <x:v>3.6</x:v>
      </x:c>
      <x:c r="R370" s="16" t="n">
        <x:v>2024</x:v>
      </x:c>
      <x:c r="S370" s="4" t="str">
        <x:v>【示意】非住宅翻修增幅；獨立來源1；來源A級</x:v>
      </x:c>
      <x:c r="T370" s="4" t="str">
        <x:v>示意</x:v>
      </x:c>
      <x:c r="U370" s="16" t="n">
        <x:v>1</x:v>
      </x:c>
      <x:c r="V370" s="4" t="str">
        <x:v>低</x:v>
      </x:c>
      <x:c r="W370" s="4" t="str">
        <x:v>表 A：住宅 116427、3.6%、248648677.36 千 PHP、19748190 m²；改修 43051225.19 千 PHP、26.7%。正文另以 248.65／43.05 十億及 19.75 百萬四捨五入。</x:v>
      </x:c>
      <x:c r="X370" s="4" t="str">
        <x:v>依整合協議第4條：單一獨立来源，整合信心低；通過表示網頁數字相符，不代表已完成三角驗證。</x:v>
      </x:c>
      <x:c r="Y370" s="37" t="d">
        <x:v>2026-10-09T00:00:00.000Z</x:v>
      </x:c>
      <x:c r="Z370" s="4" t="str">
        <x:v>turn194view0</x:v>
      </x:c>
    </x:row>
    <x:row r="371" ht="38" customHeight="1">
      <x:c r="A371" s="4" t="str">
        <x:v>M0370</x:v>
      </x:c>
      <x:c r="B371" s="4" t="str">
        <x:v>PH</x:v>
      </x:c>
      <x:c r="C371" s="4" t="str">
        <x:v>住宅核准建築申報價值</x:v>
      </x:c>
      <x:c r="D371" s="18" t="n">
        <x:v>248.65</x:v>
      </x:c>
      <x:c r="E371" s="4" t="str">
        <x:v>PHP billion</x:v>
      </x:c>
      <x:c r="F371" s="16" t="n">
        <x:v>2024</x:v>
      </x:c>
      <x:c r="G371" s="4" t="str">
        <x:v>含建築結構之住宅建照申報價值，排除於裝修市場規模比較</x:v>
      </x:c>
      <x:c r="H371" s="4" t="str">
        <x:v>PH01</x:v>
      </x:c>
      <x:c r="I371" s="4" t="str">
        <x:v>https://psa.gov.ph/statistics/construction/pcs/node/1684076766</x:v>
      </x:c>
      <x:c r="J371" s="4" t="str">
        <x:v>是</x:v>
      </x:c>
      <x:c r="K371" s="4" t="str">
        <x:v>是</x:v>
      </x:c>
      <x:c r="L371" s="4" t="str">
        <x:v>是</x:v>
      </x:c>
      <x:c r="M371" s="4" t="str">
        <x:v>是</x:v>
      </x:c>
      <x:c r="N371" s="4" t="str">
        <x:v>pass</x:v>
      </x:c>
      <x:c r="O371" s="4" t="str">
        <x:v>A</x:v>
      </x:c>
      <x:c r="P371" s="4" t="str">
        <x:v>是</x:v>
      </x:c>
      <x:c r="Q371" s="18" t="n">
        <x:v>248.65</x:v>
      </x:c>
      <x:c r="R371" s="16" t="n">
        <x:v>2024</x:v>
      </x:c>
      <x:c r="S371" s="4" t="str">
        <x:v>【示意】含建築結構之住宅建照申報價值，排除於裝修市場規模比較；獨立來源1；來源A級</x:v>
      </x:c>
      <x:c r="T371" s="4" t="str">
        <x:v>示意</x:v>
      </x:c>
      <x:c r="U371" s="16" t="n">
        <x:v>1</x:v>
      </x:c>
      <x:c r="V371" s="4" t="str">
        <x:v>低</x:v>
      </x:c>
      <x:c r="W371" s="4" t="str">
        <x:v>表 A：住宅 116427、3.6%、248648677.36 千 PHP、19748190 m²；改修 43051225.19 千 PHP、26.7%。正文另以 248.65／43.05 十億及 19.75 百萬四捨五入。</x:v>
      </x:c>
      <x:c r="X371" s="4" t="str">
        <x:v>依整合協議第4條：單一獨立来源，整合信心低；通過表示網頁數字相符，不代表已完成三角驗證。</x:v>
      </x:c>
      <x:c r="Y371" s="37" t="d">
        <x:v>2026-10-09T00:00:00.000Z</x:v>
      </x:c>
      <x:c r="Z371" s="4" t="str">
        <x:v>turn194view0</x:v>
      </x:c>
    </x:row>
    <x:row r="372" ht="38" customHeight="1">
      <x:c r="A372" s="4" t="str">
        <x:v>M0371</x:v>
      </x:c>
      <x:c r="B372" s="4" t="str">
        <x:v>PH</x:v>
      </x:c>
      <x:c r="C372" s="4" t="str">
        <x:v>住宅核准建築樓地板面積</x:v>
      </x:c>
      <x:c r="D372" s="18" t="n">
        <x:v>19.75</x:v>
      </x:c>
      <x:c r="E372" s="4" t="str">
        <x:v>million m2</x:v>
      </x:c>
      <x:c r="F372" s="16" t="n">
        <x:v>2024</x:v>
      </x:c>
      <x:c r="G372" s="4" t="str">
        <x:v>不是裝修施工面積</x:v>
      </x:c>
      <x:c r="H372" s="4" t="str">
        <x:v>PH01</x:v>
      </x:c>
      <x:c r="I372" s="4" t="str">
        <x:v>https://psa.gov.ph/statistics/construction/pcs/node/1684076766</x:v>
      </x:c>
      <x:c r="J372" s="4" t="str">
        <x:v>是</x:v>
      </x:c>
      <x:c r="K372" s="4" t="str">
        <x:v>是</x:v>
      </x:c>
      <x:c r="L372" s="4" t="str">
        <x:v>是</x:v>
      </x:c>
      <x:c r="M372" s="4" t="str">
        <x:v>是</x:v>
      </x:c>
      <x:c r="N372" s="4" t="str">
        <x:v>pass</x:v>
      </x:c>
      <x:c r="O372" s="4" t="str">
        <x:v>A</x:v>
      </x:c>
      <x:c r="P372" s="4" t="str">
        <x:v>是</x:v>
      </x:c>
      <x:c r="Q372" s="18" t="n">
        <x:v>19.75</x:v>
      </x:c>
      <x:c r="R372" s="16" t="n">
        <x:v>2024</x:v>
      </x:c>
      <x:c r="S372" s="4" t="str">
        <x:v>【示意】不是裝修施工面積；獨立來源1；來源A級</x:v>
      </x:c>
      <x:c r="T372" s="4" t="str">
        <x:v>示意</x:v>
      </x:c>
      <x:c r="U372" s="16" t="n">
        <x:v>1</x:v>
      </x:c>
      <x:c r="V372" s="4" t="str">
        <x:v>低</x:v>
      </x:c>
      <x:c r="W372" s="4" t="str">
        <x:v>表 A：住宅 116427、3.6%、248648677.36 千 PHP、19748190 m²；改修 43051225.19 千 PHP、26.7%。正文另以 248.65／43.05 十億及 19.75 百萬四捨五入。</x:v>
      </x:c>
      <x:c r="X372" s="4" t="str">
        <x:v>依整合協議第4條：單一獨立来源，整合信心低；通過表示網頁數字相符，不代表已完成三角驗證。</x:v>
      </x:c>
      <x:c r="Y372" s="37" t="d">
        <x:v>2026-10-09T00:00:00.000Z</x:v>
      </x:c>
      <x:c r="Z372" s="4" t="str">
        <x:v>turn194view0</x:v>
      </x:c>
    </x:row>
    <x:row r="373" ht="38" customHeight="1">
      <x:c r="A373" s="4" t="str">
        <x:v>M0372</x:v>
      </x:c>
      <x:c r="B373" s="4" t="str">
        <x:v>PH</x:v>
      </x:c>
      <x:c r="C373" s="4" t="str">
        <x:v>改建及修繕建照申報價值</x:v>
      </x:c>
      <x:c r="D373" s="18" t="n">
        <x:v>43.05</x:v>
      </x:c>
      <x:c r="E373" s="4" t="str">
        <x:v>PHP billion</x:v>
      </x:c>
      <x:c r="F373" s="16" t="n">
        <x:v>2024</x:v>
      </x:c>
      <x:c r="G373" s="4" t="str">
        <x:v>alteration and repair；住宅與非住宅混合；不含無申報工程</x:v>
      </x:c>
      <x:c r="H373" s="4" t="str">
        <x:v>PH01</x:v>
      </x:c>
      <x:c r="I373" s="4" t="str">
        <x:v>https://psa.gov.ph/statistics/construction/pcs/node/1684076766</x:v>
      </x:c>
      <x:c r="J373" s="4" t="str">
        <x:v>是</x:v>
      </x:c>
      <x:c r="K373" s="4" t="str">
        <x:v>是</x:v>
      </x:c>
      <x:c r="L373" s="4" t="str">
        <x:v>是</x:v>
      </x:c>
      <x:c r="M373" s="4" t="str">
        <x:v>是</x:v>
      </x:c>
      <x:c r="N373" s="4" t="str">
        <x:v>pass</x:v>
      </x:c>
      <x:c r="O373" s="4" t="str">
        <x:v>A</x:v>
      </x:c>
      <x:c r="P373" s="4" t="str">
        <x:v>是</x:v>
      </x:c>
      <x:c r="Q373" s="18" t="n">
        <x:v>43.05</x:v>
      </x:c>
      <x:c r="R373" s="16" t="n">
        <x:v>2024</x:v>
      </x:c>
      <x:c r="S373" s="4" t="str">
        <x:v>【示意】alteration and repair；住宅與非住宅混合；不含無申報工程；獨立來源1；來源A級</x:v>
      </x:c>
      <x:c r="T373" s="4" t="str">
        <x:v>示意</x:v>
      </x:c>
      <x:c r="U373" s="16" t="n">
        <x:v>1</x:v>
      </x:c>
      <x:c r="V373" s="4" t="str">
        <x:v>低</x:v>
      </x:c>
      <x:c r="W373" s="4" t="str">
        <x:v>表 A：住宅 116427、3.6%、248648677.36 千 PHP、19748190 m²；改修 43051225.19 千 PHP、26.7%。正文另以 248.65／43.05 十億及 19.75 百萬四捨五入。</x:v>
      </x:c>
      <x:c r="X373" s="4" t="str">
        <x:v>依整合協議第4條：單一獨立来源，整合信心低；通過表示網頁數字相符，不代表已完成三角驗證。</x:v>
      </x:c>
      <x:c r="Y373" s="37" t="d">
        <x:v>2026-10-09T00:00:00.000Z</x:v>
      </x:c>
      <x:c r="Z373" s="4" t="str">
        <x:v>turn194view0</x:v>
      </x:c>
    </x:row>
    <x:row r="374" ht="38" customHeight="1">
      <x:c r="A374" s="4" t="str">
        <x:v>M0373</x:v>
      </x:c>
      <x:c r="B374" s="4" t="str">
        <x:v>PH</x:v>
      </x:c>
      <x:c r="C374" s="4" t="str">
        <x:v>改建及修繕申報價值年增</x:v>
      </x:c>
      <x:c r="D374" s="19" t="n">
        <x:v>26.7</x:v>
      </x:c>
      <x:c r="E374" s="4" t="str">
        <x:v>%</x:v>
      </x:c>
      <x:c r="F374" s="16" t="n">
        <x:v>2024</x:v>
      </x:c>
      <x:c r="G374" s="4" t="str">
        <x:v>住宅與非住宅混合申報金額</x:v>
      </x:c>
      <x:c r="H374" s="4" t="str">
        <x:v>PH01</x:v>
      </x:c>
      <x:c r="I374" s="4" t="str">
        <x:v>https://psa.gov.ph/statistics/construction/pcs/node/1684076766</x:v>
      </x:c>
      <x:c r="J374" s="4" t="str">
        <x:v>是</x:v>
      </x:c>
      <x:c r="K374" s="4" t="str">
        <x:v>是</x:v>
      </x:c>
      <x:c r="L374" s="4" t="str">
        <x:v>是</x:v>
      </x:c>
      <x:c r="M374" s="4" t="str">
        <x:v>是</x:v>
      </x:c>
      <x:c r="N374" s="4" t="str">
        <x:v>pass</x:v>
      </x:c>
      <x:c r="O374" s="4" t="str">
        <x:v>A</x:v>
      </x:c>
      <x:c r="P374" s="4" t="str">
        <x:v>是</x:v>
      </x:c>
      <x:c r="Q374" s="19" t="n">
        <x:v>26.7</x:v>
      </x:c>
      <x:c r="R374" s="16" t="n">
        <x:v>2024</x:v>
      </x:c>
      <x:c r="S374" s="4" t="str">
        <x:v>【示意】住宅與非住宅混合申報金額；獨立來源1；來源A級</x:v>
      </x:c>
      <x:c r="T374" s="4" t="str">
        <x:v>示意</x:v>
      </x:c>
      <x:c r="U374" s="16" t="n">
        <x:v>1</x:v>
      </x:c>
      <x:c r="V374" s="4" t="str">
        <x:v>低</x:v>
      </x:c>
      <x:c r="W374" s="4" t="str">
        <x:v>表 A：住宅 116427、3.6%、248648677.36 千 PHP、19748190 m²；改修 43051225.19 千 PHP、26.7%。正文另以 248.65／43.05 十億及 19.75 百萬四捨五入。</x:v>
      </x:c>
      <x:c r="X374" s="4" t="str">
        <x:v>依整合協議第4條：單一獨立来源，整合信心低；通過表示網頁數字相符，不代表已完成三角驗證。</x:v>
      </x:c>
      <x:c r="Y374" s="37" t="d">
        <x:v>2026-10-09T00:00:00.000Z</x:v>
      </x:c>
      <x:c r="Z374" s="4" t="str">
        <x:v>turn194view0</x:v>
      </x:c>
    </x:row>
    <x:row r="375" ht="38" customHeight="1">
      <x:c r="A375" s="4" t="str">
        <x:v>M0374</x:v>
      </x:c>
      <x:c r="B375" s="4" t="str">
        <x:v>PH</x:v>
      </x:c>
      <x:c r="C375" s="4" t="str">
        <x:v>Wilcon gross revenue</x:v>
      </x:c>
      <x:c r="D375" s="23" t="n">
        <x:v>34.620976305</x:v>
      </x:c>
      <x:c r="E375" s="4" t="str">
        <x:v>PHP billion</x:v>
      </x:c>
      <x:c r="F375" s="16" t="n">
        <x:v>2024</x:v>
      </x:c>
      <x:c r="G375" s="4" t="str">
        <x:v>PSE annual summary gross revenue，非net sales亦非裝修市場</x:v>
      </x:c>
      <x:c r="H375" s="4" t="str">
        <x:v>PH02</x:v>
      </x:c>
      <x:c r="I375" s="4" t="str">
        <x:v>https://edge.pse.com.ph/downloadHtml.do?file_id=1709278</x:v>
      </x:c>
      <x:c r="J375" s="4" t="str">
        <x:v>是</x:v>
      </x:c>
      <x:c r="K375" s="4" t="str">
        <x:v>是</x:v>
      </x:c>
      <x:c r="L375" s="4" t="str">
        <x:v>是</x:v>
      </x:c>
      <x:c r="M375" s="4" t="str">
        <x:v>是</x:v>
      </x:c>
      <x:c r="N375" s="4" t="str">
        <x:v>pass</x:v>
      </x:c>
      <x:c r="O375" s="4" t="str">
        <x:v>A</x:v>
      </x:c>
      <x:c r="P375" s="4" t="str">
        <x:v>是</x:v>
      </x:c>
      <x:c r="Q375" s="23" t="n">
        <x:v>34.620976305</x:v>
      </x:c>
      <x:c r="R375" s="16" t="n">
        <x:v>2024</x:v>
      </x:c>
      <x:c r="S375" s="4" t="str">
        <x:v>【示意】PSE annual summary gross revenue，非net sales亦非裝修市場；獨立來源1；來源A級</x:v>
      </x:c>
      <x:c r="T375" s="4" t="str">
        <x:v>示意</x:v>
      </x:c>
      <x:c r="U375" s="16" t="n">
        <x:v>1</x:v>
      </x:c>
      <x:c r="V375" s="4" t="str">
        <x:v>低</x:v>
      </x:c>
      <x:c r="W375" s="4" t="str">
        <x:v>FY2024、PHP；L89 gross revenue 34620976305，L95 net income after tax 2528431482。</x:v>
      </x:c>
      <x:c r="X375" s="4" t="str">
        <x:v>依整合協議第4條：單一獨立来源，整合信心低；通過表示網頁數字相符，不代表已完成三角驗證。</x:v>
      </x:c>
      <x:c r="Y375" s="37" t="d">
        <x:v>2026-10-09T00:00:00.000Z</x:v>
      </x:c>
      <x:c r="Z375" s="4" t="str">
        <x:v>turn205view5</x:v>
      </x:c>
    </x:row>
    <x:row r="376" ht="38" customHeight="1">
      <x:c r="A376" s="4" t="str">
        <x:v>M0375</x:v>
      </x:c>
      <x:c r="B376" s="4" t="str">
        <x:v>PH</x:v>
      </x:c>
      <x:c r="C376" s="4" t="str">
        <x:v>Wilcon稅後淨利</x:v>
      </x:c>
      <x:c r="D376" s="23" t="n">
        <x:v>2.528431482</x:v>
      </x:c>
      <x:c r="E376" s="4" t="str">
        <x:v>PHP billion</x:v>
      </x:c>
      <x:c r="F376" s="16" t="n">
        <x:v>2024</x:v>
      </x:c>
      <x:c r="G376" s="4" t="str">
        <x:v>公司全年稅後淨利</x:v>
      </x:c>
      <x:c r="H376" s="4" t="str">
        <x:v>PH02</x:v>
      </x:c>
      <x:c r="I376" s="4" t="str">
        <x:v>https://edge.pse.com.ph/downloadHtml.do?file_id=1709278</x:v>
      </x:c>
      <x:c r="J376" s="4" t="str">
        <x:v>是</x:v>
      </x:c>
      <x:c r="K376" s="4" t="str">
        <x:v>是</x:v>
      </x:c>
      <x:c r="L376" s="4" t="str">
        <x:v>是</x:v>
      </x:c>
      <x:c r="M376" s="4" t="str">
        <x:v>是</x:v>
      </x:c>
      <x:c r="N376" s="4" t="str">
        <x:v>pass</x:v>
      </x:c>
      <x:c r="O376" s="4" t="str">
        <x:v>A</x:v>
      </x:c>
      <x:c r="P376" s="4" t="str">
        <x:v>是</x:v>
      </x:c>
      <x:c r="Q376" s="23" t="n">
        <x:v>2.528431482</x:v>
      </x:c>
      <x:c r="R376" s="16" t="n">
        <x:v>2024</x:v>
      </x:c>
      <x:c r="S376" s="4" t="str">
        <x:v>【示意】公司全年稅後淨利；獨立來源1；來源A級</x:v>
      </x:c>
      <x:c r="T376" s="4" t="str">
        <x:v>示意</x:v>
      </x:c>
      <x:c r="U376" s="16" t="n">
        <x:v>1</x:v>
      </x:c>
      <x:c r="V376" s="4" t="str">
        <x:v>低</x:v>
      </x:c>
      <x:c r="W376" s="4" t="str">
        <x:v>FY2024、PHP；L89 gross revenue 34620976305，L95 net income after tax 2528431482。</x:v>
      </x:c>
      <x:c r="X376" s="4" t="str">
        <x:v>依整合協議第4條：單一獨立来源，整合信心低；通過表示網頁數字相符，不代表已完成三角驗證。</x:v>
      </x:c>
      <x:c r="Y376" s="37" t="d">
        <x:v>2026-10-09T00:00:00.000Z</x:v>
      </x:c>
      <x:c r="Z376" s="4" t="str">
        <x:v>turn205view5</x:v>
      </x:c>
    </x:row>
    <x:row r="377" ht="38" customHeight="1">
      <x:c r="A377" s="4" t="str">
        <x:v>M0376</x:v>
      </x:c>
      <x:c r="B377" s="4" t="str">
        <x:v>PH</x:v>
      </x:c>
      <x:c r="C377" s="4" t="str">
        <x:v>Wilcon淨銷售額</x:v>
      </x:c>
      <x:c r="D377" s="21" t="n">
        <x:v>17.184</x:v>
      </x:c>
      <x:c r="E377" s="4" t="str">
        <x:v>PHP billion</x:v>
      </x:c>
      <x:c r="F377" s="16" t="str">
        <x:v>2024H1</x:v>
      </x:c>
      <x:c r="G377" s="4" t="str">
        <x:v>公司上半年net sales</x:v>
      </x:c>
      <x:c r="H377" s="4" t="str">
        <x:v>PH03</x:v>
      </x:c>
      <x:c r="I377" s="4" t="str">
        <x:v>https://investor.wilcon.com.ph/wp-content/uploads/2024/08/WLCON-17Q-Q2-2024-FS.pdf</x:v>
      </x:c>
      <x:c r="J377" s="4" t="str">
        <x:v>是</x:v>
      </x:c>
      <x:c r="K377" s="4" t="str">
        <x:v>是</x:v>
      </x:c>
      <x:c r="L377" s="4" t="str">
        <x:v>是</x:v>
      </x:c>
      <x:c r="M377" s="4" t="str">
        <x:v>是</x:v>
      </x:c>
      <x:c r="N377" s="4" t="str">
        <x:v>pass</x:v>
      </x:c>
      <x:c r="O377" s="4" t="str">
        <x:v>A</x:v>
      </x:c>
      <x:c r="P377" s="4" t="str">
        <x:v>是</x:v>
      </x:c>
      <x:c r="Q377" s="21" t="n">
        <x:v>17.184</x:v>
      </x:c>
      <x:c r="R377" s="16" t="str">
        <x:v>2024H1</x:v>
      </x:c>
      <x:c r="S377" s="4" t="str">
        <x:v>【示意】公司上半年net sales；獨立來源1；來源A級</x:v>
      </x:c>
      <x:c r="T377" s="4" t="str">
        <x:v>示意</x:v>
      </x:c>
      <x:c r="U377" s="16" t="n">
        <x:v>1</x:v>
      </x:c>
      <x:c r="V377" s="4" t="str">
        <x:v>低</x:v>
      </x:c>
      <x:c r="W377" s="4" t="str">
        <x:v>PDF 第 3 頁 P2：H1 net sales 17184 百萬、net margin8.8%、comparable sales-4.6%、總店95；gross margin39.8%、獨家自有52.0%。</x:v>
      </x:c>
      <x:c r="X377" s="4" t="str">
        <x:v>依整合協議第4條：單一獨立来源，整合信心低；通過表示網頁數字相符，不代表已完成三角驗證。</x:v>
      </x:c>
      <x:c r="Y377" s="37" t="d">
        <x:v>2026-10-09T00:00:00.000Z</x:v>
      </x:c>
      <x:c r="Z377" s="4" t="str">
        <x:v>turn198view6</x:v>
      </x:c>
    </x:row>
    <x:row r="378" ht="38" customHeight="1">
      <x:c r="A378" s="4" t="str">
        <x:v>M0377</x:v>
      </x:c>
      <x:c r="B378" s="4" t="str">
        <x:v>PH</x:v>
      </x:c>
      <x:c r="C378" s="4" t="str">
        <x:v>Wilcon毛利率</x:v>
      </x:c>
      <x:c r="D378" s="19" t="n">
        <x:v>39.8</x:v>
      </x:c>
      <x:c r="E378" s="4" t="str">
        <x:v>%</x:v>
      </x:c>
      <x:c r="F378" s="16" t="str">
        <x:v>2024H1</x:v>
      </x:c>
      <x:c r="G378" s="4" t="str">
        <x:v>材料家居零售毛利，不是工程毛利</x:v>
      </x:c>
      <x:c r="H378" s="4" t="str">
        <x:v>PH03</x:v>
      </x:c>
      <x:c r="I378" s="4" t="str">
        <x:v>https://investor.wilcon.com.ph/wp-content/uploads/2024/08/WLCON-17Q-Q2-2024-FS.pdf</x:v>
      </x:c>
      <x:c r="J378" s="4" t="str">
        <x:v>是</x:v>
      </x:c>
      <x:c r="K378" s="4" t="str">
        <x:v>是</x:v>
      </x:c>
      <x:c r="L378" s="4" t="str">
        <x:v>是</x:v>
      </x:c>
      <x:c r="M378" s="4" t="str">
        <x:v>是</x:v>
      </x:c>
      <x:c r="N378" s="4" t="str">
        <x:v>pass</x:v>
      </x:c>
      <x:c r="O378" s="4" t="str">
        <x:v>A</x:v>
      </x:c>
      <x:c r="P378" s="4" t="str">
        <x:v>是</x:v>
      </x:c>
      <x:c r="Q378" s="19" t="n">
        <x:v>39.8</x:v>
      </x:c>
      <x:c r="R378" s="16" t="str">
        <x:v>2024H1</x:v>
      </x:c>
      <x:c r="S378" s="4" t="str">
        <x:v>【示意】材料家居零售毛利，不是工程毛利；獨立來源1；來源A級</x:v>
      </x:c>
      <x:c r="T378" s="4" t="str">
        <x:v>示意</x:v>
      </x:c>
      <x:c r="U378" s="16" t="n">
        <x:v>1</x:v>
      </x:c>
      <x:c r="V378" s="4" t="str">
        <x:v>低</x:v>
      </x:c>
      <x:c r="W378" s="4" t="str">
        <x:v>PDF 第 3 頁 P2：H1 net sales 17184 百萬、net margin8.8%、comparable sales-4.6%、總店95；gross margin39.8%、獨家自有52.0%。</x:v>
      </x:c>
      <x:c r="X378" s="4" t="str">
        <x:v>依整合協議第4條：單一獨立来源，整合信心低；通過表示網頁數字相符，不代表已完成三角驗證。</x:v>
      </x:c>
      <x:c r="Y378" s="37" t="d">
        <x:v>2026-10-09T00:00:00.000Z</x:v>
      </x:c>
      <x:c r="Z378" s="4" t="str">
        <x:v>turn198view6</x:v>
      </x:c>
    </x:row>
    <x:row r="379" ht="38" customHeight="1">
      <x:c r="A379" s="4" t="str">
        <x:v>M0378</x:v>
      </x:c>
      <x:c r="B379" s="4" t="str">
        <x:v>PH</x:v>
      </x:c>
      <x:c r="C379" s="4" t="str">
        <x:v>Wilcon淨利率</x:v>
      </x:c>
      <x:c r="D379" s="19" t="n">
        <x:v>8.8</x:v>
      </x:c>
      <x:c r="E379" s="4" t="str">
        <x:v>%</x:v>
      </x:c>
      <x:c r="F379" s="16" t="str">
        <x:v>2024H1</x:v>
      </x:c>
      <x:c r="G379" s="4" t="str">
        <x:v>公司上半年</x:v>
      </x:c>
      <x:c r="H379" s="4" t="str">
        <x:v>PH03</x:v>
      </x:c>
      <x:c r="I379" s="4" t="str">
        <x:v>https://investor.wilcon.com.ph/wp-content/uploads/2024/08/WLCON-17Q-Q2-2024-FS.pdf</x:v>
      </x:c>
      <x:c r="J379" s="4" t="str">
        <x:v>是</x:v>
      </x:c>
      <x:c r="K379" s="4" t="str">
        <x:v>是</x:v>
      </x:c>
      <x:c r="L379" s="4" t="str">
        <x:v>是</x:v>
      </x:c>
      <x:c r="M379" s="4" t="str">
        <x:v>是</x:v>
      </x:c>
      <x:c r="N379" s="4" t="str">
        <x:v>pass</x:v>
      </x:c>
      <x:c r="O379" s="4" t="str">
        <x:v>A</x:v>
      </x:c>
      <x:c r="P379" s="4" t="str">
        <x:v>是</x:v>
      </x:c>
      <x:c r="Q379" s="19" t="n">
        <x:v>8.8</x:v>
      </x:c>
      <x:c r="R379" s="16" t="str">
        <x:v>2024H1</x:v>
      </x:c>
      <x:c r="S379" s="4" t="str">
        <x:v>【示意】公司上半年；獨立來源1；來源A級</x:v>
      </x:c>
      <x:c r="T379" s="4" t="str">
        <x:v>示意</x:v>
      </x:c>
      <x:c r="U379" s="16" t="n">
        <x:v>1</x:v>
      </x:c>
      <x:c r="V379" s="4" t="str">
        <x:v>低</x:v>
      </x:c>
      <x:c r="W379" s="4" t="str">
        <x:v>PDF 第 3 頁 P2：H1 net sales 17184 百萬、net margin8.8%、comparable sales-4.6%、總店95；gross margin39.8%、獨家自有52.0%。</x:v>
      </x:c>
      <x:c r="X379" s="4" t="str">
        <x:v>依整合協議第4條：單一獨立来源，整合信心低；通過表示網頁數字相符，不代表已完成三角驗證。</x:v>
      </x:c>
      <x:c r="Y379" s="37" t="d">
        <x:v>2026-10-09T00:00:00.000Z</x:v>
      </x:c>
      <x:c r="Z379" s="4" t="str">
        <x:v>turn198view6</x:v>
      </x:c>
    </x:row>
    <x:row r="380" ht="38" customHeight="1">
      <x:c r="A380" s="4" t="str">
        <x:v>M0379</x:v>
      </x:c>
      <x:c r="B380" s="4" t="str">
        <x:v>PH</x:v>
      </x:c>
      <x:c r="C380" s="4" t="str">
        <x:v>Wilcon同店銷售年增</x:v>
      </x:c>
      <x:c r="D380" s="19" t="n">
        <x:v>-4.6</x:v>
      </x:c>
      <x:c r="E380" s="4" t="str">
        <x:v>%</x:v>
      </x:c>
      <x:c r="F380" s="16" t="str">
        <x:v>2024H1</x:v>
      </x:c>
      <x:c r="G380" s="4" t="str">
        <x:v>comparable sales</x:v>
      </x:c>
      <x:c r="H380" s="4" t="str">
        <x:v>PH03</x:v>
      </x:c>
      <x:c r="I380" s="4" t="str">
        <x:v>https://investor.wilcon.com.ph/wp-content/uploads/2024/08/WLCON-17Q-Q2-2024-FS.pdf</x:v>
      </x:c>
      <x:c r="J380" s="4" t="str">
        <x:v>是</x:v>
      </x:c>
      <x:c r="K380" s="4" t="str">
        <x:v>是</x:v>
      </x:c>
      <x:c r="L380" s="4" t="str">
        <x:v>是</x:v>
      </x:c>
      <x:c r="M380" s="4" t="str">
        <x:v>是</x:v>
      </x:c>
      <x:c r="N380" s="4" t="str">
        <x:v>pass</x:v>
      </x:c>
      <x:c r="O380" s="4" t="str">
        <x:v>A</x:v>
      </x:c>
      <x:c r="P380" s="4" t="str">
        <x:v>是</x:v>
      </x:c>
      <x:c r="Q380" s="19" t="n">
        <x:v>-4.6</x:v>
      </x:c>
      <x:c r="R380" s="16" t="str">
        <x:v>2024H1</x:v>
      </x:c>
      <x:c r="S380" s="4" t="str">
        <x:v>【示意】comparable sales；獨立來源1；來源A級</x:v>
      </x:c>
      <x:c r="T380" s="4" t="str">
        <x:v>示意</x:v>
      </x:c>
      <x:c r="U380" s="16" t="n">
        <x:v>1</x:v>
      </x:c>
      <x:c r="V380" s="4" t="str">
        <x:v>低</x:v>
      </x:c>
      <x:c r="W380" s="4" t="str">
        <x:v>PDF 第 3 頁 P2：H1 net sales 17184 百萬、net margin8.8%、comparable sales-4.6%、總店95；gross margin39.8%、獨家自有52.0%。</x:v>
      </x:c>
      <x:c r="X380" s="4" t="str">
        <x:v>依整合協議第4條：單一獨立来源，整合信心低；通過表示網頁數字相符，不代表已完成三角驗證。</x:v>
      </x:c>
      <x:c r="Y380" s="37" t="d">
        <x:v>2026-10-09T00:00:00.000Z</x:v>
      </x:c>
      <x:c r="Z380" s="4" t="str">
        <x:v>turn198view6</x:v>
      </x:c>
    </x:row>
    <x:row r="381" ht="38" customHeight="1">
      <x:c r="A381" s="4" t="str">
        <x:v>M0380</x:v>
      </x:c>
      <x:c r="B381" s="4" t="str">
        <x:v>PH</x:v>
      </x:c>
      <x:c r="C381" s="4" t="str">
        <x:v>Wilcon獨家與自有品牌收入占比</x:v>
      </x:c>
      <x:c r="D381" s="17" t="n">
        <x:v>52</x:v>
      </x:c>
      <x:c r="E381" s="4" t="str">
        <x:v>%</x:v>
      </x:c>
      <x:c r="F381" s="16" t="str">
        <x:v>2024H1</x:v>
      </x:c>
      <x:c r="G381" s="4" t="str">
        <x:v>exclusive and in-house brands</x:v>
      </x:c>
      <x:c r="H381" s="4" t="str">
        <x:v>PH03</x:v>
      </x:c>
      <x:c r="I381" s="4" t="str">
        <x:v>https://investor.wilcon.com.ph/wp-content/uploads/2024/08/WLCON-17Q-Q2-2024-FS.pdf</x:v>
      </x:c>
      <x:c r="J381" s="4" t="str">
        <x:v>是</x:v>
      </x:c>
      <x:c r="K381" s="4" t="str">
        <x:v>是</x:v>
      </x:c>
      <x:c r="L381" s="4" t="str">
        <x:v>是</x:v>
      </x:c>
      <x:c r="M381" s="4" t="str">
        <x:v>是</x:v>
      </x:c>
      <x:c r="N381" s="4" t="str">
        <x:v>pass</x:v>
      </x:c>
      <x:c r="O381" s="4" t="str">
        <x:v>A</x:v>
      </x:c>
      <x:c r="P381" s="4" t="str">
        <x:v>是</x:v>
      </x:c>
      <x:c r="Q381" s="17" t="n">
        <x:v>52</x:v>
      </x:c>
      <x:c r="R381" s="16" t="str">
        <x:v>2024H1</x:v>
      </x:c>
      <x:c r="S381" s="4" t="str">
        <x:v>【示意】exclusive and in-house brands；獨立來源1；來源A級</x:v>
      </x:c>
      <x:c r="T381" s="4" t="str">
        <x:v>示意</x:v>
      </x:c>
      <x:c r="U381" s="16" t="n">
        <x:v>1</x:v>
      </x:c>
      <x:c r="V381" s="4" t="str">
        <x:v>低</x:v>
      </x:c>
      <x:c r="W381" s="4" t="str">
        <x:v>PDF 第 3 頁 P2：H1 net sales 17184 百萬、net margin8.8%、comparable sales-4.6%、總店95；gross margin39.8%、獨家自有52.0%。</x:v>
      </x:c>
      <x:c r="X381" s="4" t="str">
        <x:v>依整合協議第4條：單一獨立来源，整合信心低；通過表示網頁數字相符，不代表已完成三角驗證。</x:v>
      </x:c>
      <x:c r="Y381" s="37" t="d">
        <x:v>2026-10-09T00:00:00.000Z</x:v>
      </x:c>
      <x:c r="Z381" s="4" t="str">
        <x:v>turn198view6</x:v>
      </x:c>
    </x:row>
    <x:row r="382" ht="38" customHeight="1">
      <x:c r="A382" s="4" t="str">
        <x:v>M0381</x:v>
      </x:c>
      <x:c r="B382" s="4" t="str">
        <x:v>PH</x:v>
      </x:c>
      <x:c r="C382" s="4" t="str">
        <x:v>Wilcon店數</x:v>
      </x:c>
      <x:c r="D382" s="17" t="n">
        <x:v>95</x:v>
      </x:c>
      <x:c r="E382" s="4" t="str">
        <x:v>店</x:v>
      </x:c>
      <x:c r="F382" s="16" t="str">
        <x:v>2024-06</x:v>
      </x:c>
      <x:c r="G382" s="4" t="str">
        <x:v>期末全店，不是平均店數</x:v>
      </x:c>
      <x:c r="H382" s="4" t="str">
        <x:v>PH03</x:v>
      </x:c>
      <x:c r="I382" s="4" t="str">
        <x:v>https://investor.wilcon.com.ph/wp-content/uploads/2024/08/WLCON-17Q-Q2-2024-FS.pdf</x:v>
      </x:c>
      <x:c r="J382" s="4" t="str">
        <x:v>是</x:v>
      </x:c>
      <x:c r="K382" s="4" t="str">
        <x:v>是</x:v>
      </x:c>
      <x:c r="L382" s="4" t="str">
        <x:v>是</x:v>
      </x:c>
      <x:c r="M382" s="4" t="str">
        <x:v>是</x:v>
      </x:c>
      <x:c r="N382" s="4" t="str">
        <x:v>pass</x:v>
      </x:c>
      <x:c r="O382" s="4" t="str">
        <x:v>A</x:v>
      </x:c>
      <x:c r="P382" s="4" t="str">
        <x:v>是</x:v>
      </x:c>
      <x:c r="Q382" s="17" t="n">
        <x:v>95</x:v>
      </x:c>
      <x:c r="R382" s="16" t="str">
        <x:v>2024-06</x:v>
      </x:c>
      <x:c r="S382" s="4" t="str">
        <x:v>【示意】期末全店，不是平均店數；獨立來源1；來源A級</x:v>
      </x:c>
      <x:c r="T382" s="4" t="str">
        <x:v>示意</x:v>
      </x:c>
      <x:c r="U382" s="16" t="n">
        <x:v>1</x:v>
      </x:c>
      <x:c r="V382" s="4" t="str">
        <x:v>低</x:v>
      </x:c>
      <x:c r="W382" s="4" t="str">
        <x:v>PDF 第 3 頁 P2：H1 net sales 17184 百萬、net margin8.8%、comparable sales-4.6%、總店95；gross margin39.8%、獨家自有52.0%。</x:v>
      </x:c>
      <x:c r="X382" s="4" t="str">
        <x:v>依整合協議第4條：單一獨立来源，整合信心低；通過表示網頁數字相符，不代表已完成三角驗證。</x:v>
      </x:c>
      <x:c r="Y382" s="37" t="d">
        <x:v>2026-10-09T00:00:00.000Z</x:v>
      </x:c>
      <x:c r="Z382" s="4" t="str">
        <x:v>turn198view6</x:v>
      </x:c>
    </x:row>
    <x:row r="383" ht="38" customHeight="1">
      <x:c r="A383" s="4" t="str">
        <x:v>M0382</x:v>
      </x:c>
      <x:c r="B383" s="4" t="str">
        <x:v>PH</x:v>
      </x:c>
      <x:c r="C383" s="4" t="str">
        <x:v>室內設計師考試及格人數</x:v>
      </x:c>
      <x:c r="D383" s="17" t="n">
        <x:v>119</x:v>
      </x:c>
      <x:c r="E383" s="4" t="str">
        <x:v>人</x:v>
      </x:c>
      <x:c r="F383" s="16" t="n">
        <x:v>2024</x:v>
      </x:c>
      <x:c r="G383" s="4" t="str">
        <x:v>7月考試新增及格；不是總執業人數</x:v>
      </x:c>
      <x:c r="H383" s="4" t="str">
        <x:v>PH06</x:v>
      </x:c>
      <x:c r="I383" s="4" t="str">
        <x:v>https://prc.gov.ph/index.php/node/6770</x:v>
      </x:c>
      <x:c r="J383" s="4" t="str">
        <x:v>是</x:v>
      </x:c>
      <x:c r="K383" s="4" t="str">
        <x:v>是</x:v>
      </x:c>
      <x:c r="L383" s="4" t="str">
        <x:v>是</x:v>
      </x:c>
      <x:c r="M383" s="4" t="str">
        <x:v>是</x:v>
      </x:c>
      <x:c r="N383" s="4" t="str">
        <x:v>pass</x:v>
      </x:c>
      <x:c r="O383" s="4" t="str">
        <x:v>A</x:v>
      </x:c>
      <x:c r="P383" s="4" t="str">
        <x:v>是</x:v>
      </x:c>
      <x:c r="Q383" s="17" t="n">
        <x:v>119</x:v>
      </x:c>
      <x:c r="R383" s="16" t="n">
        <x:v>2024</x:v>
      </x:c>
      <x:c r="S383" s="4" t="str">
        <x:v>【示意】7月考試新增及格；不是總執業人數；獨立來源1；來源A級</x:v>
      </x:c>
      <x:c r="T383" s="4" t="str">
        <x:v>示意</x:v>
      </x:c>
      <x:c r="U383" s="16" t="n">
        <x:v>1</x:v>
      </x:c>
      <x:c r="V383" s="4" t="str">
        <x:v>低</x:v>
      </x:c>
      <x:c r="W383" s="4" t="str">
        <x:v>2024-07-22 公告正文：2024 年 7 月考試 400 人參試、119 人通過。</x:v>
      </x:c>
      <x:c r="X383" s="4" t="str">
        <x:v>依整合協議第4條：單一獨立来源，整合信心低；通過表示網頁數字相符，不代表已完成三角驗證。</x:v>
      </x:c>
      <x:c r="Y383" s="37" t="d">
        <x:v>2026-10-09T00:00:00.000Z</x:v>
      </x:c>
      <x:c r="Z383" s="4" t="str">
        <x:v>turn205view6</x:v>
      </x:c>
    </x:row>
    <x:row r="384" ht="38" customHeight="1">
      <x:c r="A384" s="4" t="str">
        <x:v>M0383</x:v>
      </x:c>
      <x:c r="B384" s="4" t="str">
        <x:v>PH</x:v>
      </x:c>
      <x:c r="C384" s="4" t="str">
        <x:v>室內設計師考試報考參試人數</x:v>
      </x:c>
      <x:c r="D384" s="17" t="n">
        <x:v>400</x:v>
      </x:c>
      <x:c r="E384" s="4" t="str">
        <x:v>人</x:v>
      </x:c>
      <x:c r="F384" s="16" t="n">
        <x:v>2024</x:v>
      </x:c>
      <x:c r="G384" s="4" t="str">
        <x:v>7月考試</x:v>
      </x:c>
      <x:c r="H384" s="4" t="str">
        <x:v>PH06</x:v>
      </x:c>
      <x:c r="I384" s="4" t="str">
        <x:v>https://prc.gov.ph/index.php/node/6770</x:v>
      </x:c>
      <x:c r="J384" s="4" t="str">
        <x:v>是</x:v>
      </x:c>
      <x:c r="K384" s="4" t="str">
        <x:v>是</x:v>
      </x:c>
      <x:c r="L384" s="4" t="str">
        <x:v>是</x:v>
      </x:c>
      <x:c r="M384" s="4" t="str">
        <x:v>是</x:v>
      </x:c>
      <x:c r="N384" s="4" t="str">
        <x:v>pass</x:v>
      </x:c>
      <x:c r="O384" s="4" t="str">
        <x:v>A</x:v>
      </x:c>
      <x:c r="P384" s="4" t="str">
        <x:v>是</x:v>
      </x:c>
      <x:c r="Q384" s="17" t="n">
        <x:v>400</x:v>
      </x:c>
      <x:c r="R384" s="16" t="n">
        <x:v>2024</x:v>
      </x:c>
      <x:c r="S384" s="4" t="str">
        <x:v>【示意】7月考試；獨立來源1；來源A級</x:v>
      </x:c>
      <x:c r="T384" s="4" t="str">
        <x:v>示意</x:v>
      </x:c>
      <x:c r="U384" s="16" t="n">
        <x:v>1</x:v>
      </x:c>
      <x:c r="V384" s="4" t="str">
        <x:v>低</x:v>
      </x:c>
      <x:c r="W384" s="4" t="str">
        <x:v>2024-07-22 公告正文：2024 年 7 月考試 400 人參試、119 人通過。</x:v>
      </x:c>
      <x:c r="X384" s="4" t="str">
        <x:v>依整合協議第4條：單一獨立来源，整合信心低；通過表示網頁數字相符，不代表已完成三角驗證。</x:v>
      </x:c>
      <x:c r="Y384" s="37" t="d">
        <x:v>2026-10-09T00:00:00.000Z</x:v>
      </x:c>
      <x:c r="Z384" s="4" t="str">
        <x:v>turn205view6</x:v>
      </x:c>
    </x:row>
    <x:row r="385" ht="38" customHeight="1">
      <x:c r="A385" s="4" t="str">
        <x:v>M0384</x:v>
      </x:c>
      <x:c r="B385" s="4" t="str">
        <x:v>PH</x:v>
      </x:c>
      <x:c r="C385" s="4" t="str">
        <x:v>室內設計師考試及格人數</x:v>
      </x:c>
      <x:c r="D385" s="17" t="n">
        <x:v>381</x:v>
      </x:c>
      <x:c r="E385" s="4" t="str">
        <x:v>人</x:v>
      </x:c>
      <x:c r="F385" s="16" t="n">
        <x:v>2026</x:v>
      </x:c>
      <x:c r="G385" s="4" t="str">
        <x:v>7月考試新增及格；不是畢業人數</x:v>
      </x:c>
      <x:c r="H385" s="4" t="str">
        <x:v>PH07</x:v>
      </x:c>
      <x:c r="I385" s="4" t="str">
        <x:v>https://www.prc.gov.ph/node/9177</x:v>
      </x:c>
      <x:c r="J385" s="4" t="str">
        <x:v>是</x:v>
      </x:c>
      <x:c r="K385" s="4" t="str">
        <x:v>是</x:v>
      </x:c>
      <x:c r="L385" s="4" t="str">
        <x:v>是</x:v>
      </x:c>
      <x:c r="M385" s="4" t="str">
        <x:v>是</x:v>
      </x:c>
      <x:c r="N385" s="4" t="str">
        <x:v>pass</x:v>
      </x:c>
      <x:c r="O385" s="4" t="str">
        <x:v>A</x:v>
      </x:c>
      <x:c r="P385" s="4" t="str">
        <x:v>是</x:v>
      </x:c>
      <x:c r="Q385" s="17" t="n">
        <x:v>381</x:v>
      </x:c>
      <x:c r="R385" s="16" t="n">
        <x:v>2026</x:v>
      </x:c>
      <x:c r="S385" s="4" t="str">
        <x:v>【示意】7月考試新增及格；不是畢業人數；獨立來源1；來源A級</x:v>
      </x:c>
      <x:c r="T385" s="4" t="str">
        <x:v>示意</x:v>
      </x:c>
      <x:c r="U385" s="16" t="n">
        <x:v>1</x:v>
      </x:c>
      <x:c r="V385" s="4" t="str">
        <x:v>低</x:v>
      </x:c>
      <x:c r="W385" s="4" t="str">
        <x:v>2026-07-22 公告正文：2026 年 7 月考試 432 人參試、381 人通過。</x:v>
      </x:c>
      <x:c r="X385" s="4" t="str">
        <x:v>依整合協議第4條：單一獨立来源，整合信心低；通過表示網頁數字相符，不代表已完成三角驗證。</x:v>
      </x:c>
      <x:c r="Y385" s="37" t="d">
        <x:v>2026-10-09T00:00:00.000Z</x:v>
      </x:c>
      <x:c r="Z385" s="4" t="str">
        <x:v>turn205view7</x:v>
      </x:c>
    </x:row>
    <x:row r="386" ht="38" customHeight="1">
      <x:c r="A386" s="4" t="str">
        <x:v>M0385</x:v>
      </x:c>
      <x:c r="B386" s="4" t="str">
        <x:v>PH</x:v>
      </x:c>
      <x:c r="C386" s="4" t="str">
        <x:v>室內設計師考試參試人數</x:v>
      </x:c>
      <x:c r="D386" s="17" t="n">
        <x:v>432</x:v>
      </x:c>
      <x:c r="E386" s="4" t="str">
        <x:v>人</x:v>
      </x:c>
      <x:c r="F386" s="16" t="n">
        <x:v>2026</x:v>
      </x:c>
      <x:c r="G386" s="4" t="str">
        <x:v>7月考試</x:v>
      </x:c>
      <x:c r="H386" s="4" t="str">
        <x:v>PH07</x:v>
      </x:c>
      <x:c r="I386" s="4" t="str">
        <x:v>https://www.prc.gov.ph/node/9177</x:v>
      </x:c>
      <x:c r="J386" s="4" t="str">
        <x:v>是</x:v>
      </x:c>
      <x:c r="K386" s="4" t="str">
        <x:v>是</x:v>
      </x:c>
      <x:c r="L386" s="4" t="str">
        <x:v>是</x:v>
      </x:c>
      <x:c r="M386" s="4" t="str">
        <x:v>是</x:v>
      </x:c>
      <x:c r="N386" s="4" t="str">
        <x:v>pass</x:v>
      </x:c>
      <x:c r="O386" s="4" t="str">
        <x:v>A</x:v>
      </x:c>
      <x:c r="P386" s="4" t="str">
        <x:v>是</x:v>
      </x:c>
      <x:c r="Q386" s="17" t="n">
        <x:v>432</x:v>
      </x:c>
      <x:c r="R386" s="16" t="n">
        <x:v>2026</x:v>
      </x:c>
      <x:c r="S386" s="4" t="str">
        <x:v>【示意】7月考試；獨立來源1；來源A級</x:v>
      </x:c>
      <x:c r="T386" s="4" t="str">
        <x:v>示意</x:v>
      </x:c>
      <x:c r="U386" s="16" t="n">
        <x:v>1</x:v>
      </x:c>
      <x:c r="V386" s="4" t="str">
        <x:v>低</x:v>
      </x:c>
      <x:c r="W386" s="4" t="str">
        <x:v>2026-07-22 公告正文：2026 年 7 月考試 432 人參試、381 人通過。</x:v>
      </x:c>
      <x:c r="X386" s="4" t="str">
        <x:v>依整合協議第4條：單一獨立来源，整合信心低；通過表示網頁數字相符，不代表已完成三角驗證。</x:v>
      </x:c>
      <x:c r="Y386" s="37" t="d">
        <x:v>2026-10-09T00:00:00.000Z</x:v>
      </x:c>
      <x:c r="Z386" s="4" t="str">
        <x:v>turn205view7</x:v>
      </x:c>
    </x:row>
    <x:row r="387" ht="38" customHeight="1">
      <x:c r="A387" s="4" t="str">
        <x:v>M0386</x:v>
      </x:c>
      <x:c r="B387" s="4" t="str">
        <x:v>PH</x:v>
      </x:c>
      <x:c r="C387" s="4" t="str">
        <x:v>NCR建材零售價格年度平均增幅</x:v>
      </x:c>
      <x:c r="D387" s="17" t="n">
        <x:v>1</x:v>
      </x:c>
      <x:c r="E387" s="4" t="str">
        <x:v>%</x:v>
      </x:c>
      <x:c r="F387" s="16" t="n">
        <x:v>2025</x:v>
      </x:c>
      <x:c r="G387" s="4" t="str">
        <x:v>馬尼拉首都區建材零售指數，非全國裝修報價</x:v>
      </x:c>
      <x:c r="H387" s="4" t="str">
        <x:v>PH09</x:v>
      </x:c>
      <x:c r="I387" s="4" t="str">
        <x:v>https://psa.gov.ph/price-indices/cmrpi/node/1684082307</x:v>
      </x:c>
      <x:c r="J387" s="4" t="str">
        <x:v>是</x:v>
      </x:c>
      <x:c r="K387" s="4" t="str">
        <x:v>是</x:v>
      </x:c>
      <x:c r="L387" s="4" t="str">
        <x:v>是</x:v>
      </x:c>
      <x:c r="M387" s="4" t="str">
        <x:v>是</x:v>
      </x:c>
      <x:c r="N387" s="4" t="str">
        <x:v>pass</x:v>
      </x:c>
      <x:c r="O387" s="4" t="str">
        <x:v>A</x:v>
      </x:c>
      <x:c r="P387" s="4" t="str">
        <x:v>是</x:v>
      </x:c>
      <x:c r="Q387" s="17" t="n">
        <x:v>1</x:v>
      </x:c>
      <x:c r="R387" s="16" t="n">
        <x:v>2025</x:v>
      </x:c>
      <x:c r="S387" s="4" t="str">
        <x:v>【示意】馬尼拉首都區建材零售指數，非全國裝修報價；獨立來源1；來源A級</x:v>
      </x:c>
      <x:c r="T387" s="4" t="str">
        <x:v>示意</x:v>
      </x:c>
      <x:c r="U387" s="16" t="n">
        <x:v>1</x:v>
      </x:c>
      <x:c r="V387" s="4" t="str">
        <x:v>低</x:v>
      </x:c>
      <x:c r="W387" s="4" t="str">
        <x:v>L360–361 明寫 annual average 2025 1.0%、2024 1.2%；不是 12 月同比。</x:v>
      </x:c>
      <x:c r="X387" s="4" t="str">
        <x:v>依整合協議第4條：單一獨立来源，整合信心低；通過表示網頁數字相符，不代表已完成三角驗證。</x:v>
      </x:c>
      <x:c r="Y387" s="37" t="d">
        <x:v>2026-10-09T00:00:00.000Z</x:v>
      </x:c>
      <x:c r="Z387" s="4" t="str">
        <x:v>turn205view8</x:v>
      </x:c>
    </x:row>
    <x:row r="388" ht="38" customHeight="1">
      <x:c r="A388" s="4" t="str">
        <x:v>M0387</x:v>
      </x:c>
      <x:c r="B388" s="4" t="str">
        <x:v>PH</x:v>
      </x:c>
      <x:c r="C388" s="4" t="str">
        <x:v>NCR建材零售價格年度平均增幅</x:v>
      </x:c>
      <x:c r="D388" s="19" t="n">
        <x:v>1.2</x:v>
      </x:c>
      <x:c r="E388" s="4" t="str">
        <x:v>%</x:v>
      </x:c>
      <x:c r="F388" s="16" t="n">
        <x:v>2024</x:v>
      </x:c>
      <x:c r="G388" s="4" t="str">
        <x:v>馬尼拉首都區</x:v>
      </x:c>
      <x:c r="H388" s="4" t="str">
        <x:v>PH09</x:v>
      </x:c>
      <x:c r="I388" s="4" t="str">
        <x:v>https://psa.gov.ph/price-indices/cmrpi/node/1684082307</x:v>
      </x:c>
      <x:c r="J388" s="4" t="str">
        <x:v>是</x:v>
      </x:c>
      <x:c r="K388" s="4" t="str">
        <x:v>是</x:v>
      </x:c>
      <x:c r="L388" s="4" t="str">
        <x:v>是</x:v>
      </x:c>
      <x:c r="M388" s="4" t="str">
        <x:v>是</x:v>
      </x:c>
      <x:c r="N388" s="4" t="str">
        <x:v>pass</x:v>
      </x:c>
      <x:c r="O388" s="4" t="str">
        <x:v>A</x:v>
      </x:c>
      <x:c r="P388" s="4" t="str">
        <x:v>是</x:v>
      </x:c>
      <x:c r="Q388" s="19" t="n">
        <x:v>1.2</x:v>
      </x:c>
      <x:c r="R388" s="16" t="n">
        <x:v>2024</x:v>
      </x:c>
      <x:c r="S388" s="4" t="str">
        <x:v>【示意】馬尼拉首都區；獨立來源1；來源A級</x:v>
      </x:c>
      <x:c r="T388" s="4" t="str">
        <x:v>示意</x:v>
      </x:c>
      <x:c r="U388" s="16" t="n">
        <x:v>1</x:v>
      </x:c>
      <x:c r="V388" s="4" t="str">
        <x:v>低</x:v>
      </x:c>
      <x:c r="W388" s="4" t="str">
        <x:v>L360–361 明寫 annual average 2025 1.0%、2024 1.2%；不是 12 月同比。</x:v>
      </x:c>
      <x:c r="X388" s="4" t="str">
        <x:v>依整合協議第4條：單一獨立来源，整合信心低；通過表示網頁數字相符，不代表已完成三角驗證。</x:v>
      </x:c>
      <x:c r="Y388" s="37" t="d">
        <x:v>2026-10-09T00:00:00.000Z</x:v>
      </x:c>
      <x:c r="Z388" s="4" t="str">
        <x:v>turn205view8</x:v>
      </x:c>
    </x:row>
    <x:row r="389" ht="38" customHeight="1">
      <x:c r="A389" s="4" t="str">
        <x:v>M0388</x:v>
      </x:c>
      <x:c r="B389" s="4" t="str">
        <x:v>PH</x:v>
      </x:c>
      <x:c r="C389" s="4" t="str">
        <x:v>外資零售最低實收資本</x:v>
      </x:c>
      <x:c r="D389" s="17" t="n">
        <x:v>25</x:v>
      </x:c>
      <x:c r="E389" s="4" t="str">
        <x:v>PHP million</x:v>
      </x:c>
      <x:c r="F389" s="16" t="str">
        <x:v>2021法／2026核閱</x:v>
      </x:c>
      <x:c r="G389" s="4" t="str">
        <x:v>另需互惠；多店投資門檻適用條件另見法條</x:v>
      </x:c>
      <x:c r="H389" s="4" t="str">
        <x:v>PH10</x:v>
      </x:c>
      <x:c r="I389" s="4" t="str">
        <x:v>https://www.lawphil.net/statutes/repacts/ra2021/ra_11595_2021.html</x:v>
      </x:c>
      <x:c r="J389" s="4" t="str">
        <x:v>是</x:v>
      </x:c>
      <x:c r="K389" s="4" t="str">
        <x:v>是</x:v>
      </x:c>
      <x:c r="L389" s="4" t="str">
        <x:v>是</x:v>
      </x:c>
      <x:c r="M389" s="4" t="str">
        <x:v>是</x:v>
      </x:c>
      <x:c r="N389" s="4" t="str">
        <x:v>pass</x:v>
      </x:c>
      <x:c r="O389" s="4" t="str">
        <x:v>A</x:v>
      </x:c>
      <x:c r="P389" s="4" t="str">
        <x:v>是</x:v>
      </x:c>
      <x:c r="Q389" s="17" t="n">
        <x:v>25</x:v>
      </x:c>
      <x:c r="R389" s="16" t="str">
        <x:v>2021法／2026核閱</x:v>
      </x:c>
      <x:c r="S389" s="4" t="str">
        <x:v>【示意】另需互惠；多店投資門檻適用條件另見法條；獨立來源1；來源A級</x:v>
      </x:c>
      <x:c r="T389" s="4" t="str">
        <x:v>示意</x:v>
      </x:c>
      <x:c r="U389" s="16" t="n">
        <x:v>1</x:v>
      </x:c>
      <x:c r="V389" s="4" t="str">
        <x:v>低</x:v>
      </x:c>
      <x:c r="W389" s="4" t="str">
        <x:v>第 2 條：外資零售實收資本 PHP25000000，多於一店每店投資 PHP10000000，互惠及既有業者例外。</x:v>
      </x:c>
      <x:c r="X389" s="4" t="str">
        <x:v>依整合協議第4條：單一獨立来源，整合信心低；通過表示網頁數字相符，不代表已完成三角驗證。</x:v>
      </x:c>
      <x:c r="Y389" s="37" t="d">
        <x:v>2026-10-09T00:00:00.000Z</x:v>
      </x:c>
      <x:c r="Z389" s="4" t="str">
        <x:v>turn211view5</x:v>
      </x:c>
    </x:row>
    <x:row r="390" ht="38" customHeight="1">
      <x:c r="A390" s="4" t="str">
        <x:v>M0389</x:v>
      </x:c>
      <x:c r="B390" s="4" t="str">
        <x:v>PH</x:v>
      </x:c>
      <x:c r="C390" s="4" t="str">
        <x:v>外資多店每店最低投資</x:v>
      </x:c>
      <x:c r="D390" s="17" t="n">
        <x:v>10</x:v>
      </x:c>
      <x:c r="E390" s="4" t="str">
        <x:v>PHP million</x:v>
      </x:c>
      <x:c r="F390" s="16" t="str">
        <x:v>2021法／2026核閱</x:v>
      </x:c>
      <x:c r="G390" s="4" t="str">
        <x:v>多於一實體店，既有合法業者有例外</x:v>
      </x:c>
      <x:c r="H390" s="4" t="str">
        <x:v>PH10</x:v>
      </x:c>
      <x:c r="I390" s="4" t="str">
        <x:v>https://www.lawphil.net/statutes/repacts/ra2021/ra_11595_2021.html</x:v>
      </x:c>
      <x:c r="J390" s="4" t="str">
        <x:v>是</x:v>
      </x:c>
      <x:c r="K390" s="4" t="str">
        <x:v>是</x:v>
      </x:c>
      <x:c r="L390" s="4" t="str">
        <x:v>是</x:v>
      </x:c>
      <x:c r="M390" s="4" t="str">
        <x:v>是</x:v>
      </x:c>
      <x:c r="N390" s="4" t="str">
        <x:v>pass</x:v>
      </x:c>
      <x:c r="O390" s="4" t="str">
        <x:v>A</x:v>
      </x:c>
      <x:c r="P390" s="4" t="str">
        <x:v>是</x:v>
      </x:c>
      <x:c r="Q390" s="17" t="n">
        <x:v>10</x:v>
      </x:c>
      <x:c r="R390" s="16" t="str">
        <x:v>2021法／2026核閱</x:v>
      </x:c>
      <x:c r="S390" s="4" t="str">
        <x:v>【示意】多於一實體店，既有合法業者有例外；獨立來源1；來源A級</x:v>
      </x:c>
      <x:c r="T390" s="4" t="str">
        <x:v>示意</x:v>
      </x:c>
      <x:c r="U390" s="16" t="n">
        <x:v>1</x:v>
      </x:c>
      <x:c r="V390" s="4" t="str">
        <x:v>低</x:v>
      </x:c>
      <x:c r="W390" s="4" t="str">
        <x:v>第 2 條：外資零售實收資本 PHP25000000，多於一店每店投資 PHP10000000，互惠及既有業者例外。</x:v>
      </x:c>
      <x:c r="X390" s="4" t="str">
        <x:v>依整合協議第4條：單一獨立来源，整合信心低；通過表示網頁數字相符，不代表已完成三角驗證。</x:v>
      </x:c>
      <x:c r="Y390" s="37" t="d">
        <x:v>2026-10-09T00:00:00.000Z</x:v>
      </x:c>
      <x:c r="Z390" s="4" t="str">
        <x:v>turn211view5</x:v>
      </x:c>
    </x:row>
    <x:row r="391" ht="52" customHeight="1">
      <x:c r="A391" s="4" t="str">
        <x:v>M0390</x:v>
      </x:c>
      <x:c r="B391" s="4" t="str">
        <x:v>PH</x:v>
      </x:c>
      <x:c r="C391" s="4" t="str">
        <x:v>家具與室內設計廣義市場</x:v>
      </x:c>
      <x:c r="D391" s="19" t="n">
        <x:v>4.1</x:v>
      </x:c>
      <x:c r="E391" s="4" t="str">
        <x:v>USD billion</x:v>
      </x:c>
      <x:c r="F391" s="16" t="str">
        <x:v>2025發布／基期未明</x:v>
      </x:c>
      <x:c r="G391" s="4" t="str">
        <x:v>住宅與商用家具混合；非純設計費或住宅翻修</x:v>
      </x:c>
      <x:c r="H391" s="4" t="str">
        <x:v>PH11</x:v>
      </x:c>
      <x:c r="I391" s="4" t="str">
        <x:v>https://www.kenresearch.com/philippines-furniture-and-interior-design-market</x:v>
      </x:c>
      <x:c r="J391" s="4" t="str">
        <x:v>是</x:v>
      </x:c>
      <x:c r="K391" s="4" t="str">
        <x:v>是</x:v>
      </x:c>
      <x:c r="L391" s="4" t="str">
        <x:v>否</x:v>
      </x:c>
      <x:c r="M391" s="4" t="str">
        <x:v>是</x:v>
      </x:c>
      <x:c r="N391" s="4" t="str">
        <x:v>partial</x:v>
      </x:c>
      <x:c r="O391" s="4" t="str">
        <x:v>C</x:v>
      </x:c>
      <x:c r="P391" s="4" t="str">
        <x:v>是</x:v>
      </x:c>
      <x:c r="Q391" s="19" t="n">
        <x:v>4.1</x:v>
      </x:c>
      <x:c r="R391" s="16" t="str">
        <x:v>2024基期／2025發布</x:v>
      </x:c>
      <x:c r="S391" s="4" t="str">
        <x:v>【示意】Ken Research 家具與室內設計混合市場，涵蓋住宅及商用家具；銷售頁 Base Year2024，非純住宅翻修。；獨立來源1；來源C級；查核限制：頁面 L227 Base Year2024，L229 USD4.1bn；發布 October2025，家具與設計混合。</x:v>
      </x:c>
      <x:c r="T391" s="4" t="str">
        <x:v>示意</x:v>
      </x:c>
      <x:c r="U391" s="16" t="n">
        <x:v>1</x:v>
      </x:c>
      <x:c r="V391" s="4" t="str">
        <x:v>低</x:v>
      </x:c>
      <x:c r="W391" s="4" t="str">
        <x:v>頁面 L227 Base Year2024，L229 USD4.1bn；發布 October2025，家具與設計混合。</x:v>
      </x:c>
      <x:c r="X391" s="4" t="str">
        <x:v>依整合協議第4條：單一獨立来源，整合信心低；通過表示網頁數字相符，不代表已完成三角驗證。</x:v>
      </x:c>
      <x:c r="Y391" s="37" t="d">
        <x:v>2026-10-09T00:00:00.000Z</x:v>
      </x:c>
      <x:c r="Z391" s="4" t="str">
        <x:v>turn211view6</x:v>
      </x:c>
    </x:row>
    <x:row r="392" ht="38" customHeight="1">
      <x:c r="A392" s="4" t="str">
        <x:v>M0391</x:v>
      </x:c>
      <x:c r="B392" s="4" t="str">
        <x:v>PH</x:v>
      </x:c>
      <x:c r="C392" s="4" t="str">
        <x:v>人均名目GDP</x:v>
      </x:c>
      <x:c r="D392" s="19" t="n">
        <x:v>3983.1</x:v>
      </x:c>
      <x:c r="E392" s="4" t="str">
        <x:v>USD/人</x:v>
      </x:c>
      <x:c r="F392" s="16" t="n">
        <x:v>2024</x:v>
      </x:c>
      <x:c r="G392" s="4" t="str">
        <x:v>世界銀行目前開啟表之2024欄；網頁搜尋快取3984.8與現行表不同，採實際開啟值</x:v>
      </x:c>
      <x:c r="H392" s="4" t="str">
        <x:v>PH12</x:v>
      </x:c>
      <x:c r="I392" s="4" t="str">
        <x:v>https://thedocs.worldbank.org/en/doc/b991970a7f5096ab093720e27d5f0b68-0500012021/related/data-phl.pdf</x:v>
      </x:c>
      <x:c r="J392" s="4" t="str">
        <x:v>是</x:v>
      </x:c>
      <x:c r="K392" s="4" t="str">
        <x:v>是</x:v>
      </x:c>
      <x:c r="L392" s="4" t="str">
        <x:v>是</x:v>
      </x:c>
      <x:c r="M392" s="4" t="str">
        <x:v>是</x:v>
      </x:c>
      <x:c r="N392" s="4" t="str">
        <x:v>pass</x:v>
      </x:c>
      <x:c r="O392" s="4" t="str">
        <x:v>A</x:v>
      </x:c>
      <x:c r="P392" s="4" t="str">
        <x:v>是</x:v>
      </x:c>
      <x:c r="Q392" s="19" t="n">
        <x:v>3983.1</x:v>
      </x:c>
      <x:c r="R392" s="16" t="n">
        <x:v>2024</x:v>
      </x:c>
      <x:c r="S392" s="4" t="str">
        <x:v>【示意】世界銀行目前開啟表之2024欄；網頁搜尋快取3984.8與現行表不同，採實際開啟值；獨立來源1；來源A級</x:v>
      </x:c>
      <x:c r="T392" s="4" t="str">
        <x:v>示意</x:v>
      </x:c>
      <x:c r="U392" s="16" t="n">
        <x:v>1</x:v>
      </x:c>
      <x:c r="V392" s="4" t="str">
        <x:v>低</x:v>
      </x:c>
      <x:c r="W392" s="4" t="str">
        <x:v>PDF P0 第 4 行名目人均 GDP，2024 欄 3983.1 USD。</x:v>
      </x:c>
      <x:c r="X392" s="4" t="str">
        <x:v>依整合協議第4條：單一獨立来源，整合信心低；通過表示網頁數字相符，不代表已完成三角驗證。</x:v>
      </x:c>
      <x:c r="Y392" s="37" t="d">
        <x:v>2026-10-09T00:00:00.000Z</x:v>
      </x:c>
      <x:c r="Z392" s="4" t="str">
        <x:v>turn211view7</x:v>
      </x:c>
    </x:row>
    <x:row r="393" ht="38" customHeight="1">
      <x:c r="A393" s="4" t="str">
        <x:v>M0392</x:v>
      </x:c>
      <x:c r="B393" s="4" t="str">
        <x:v>PH</x:v>
      </x:c>
      <x:c r="C393" s="4" t="str">
        <x:v>馬尼拉商辦裝修成本</x:v>
      </x:c>
      <x:c r="D393" s="20" t="n">
        <x:v>1130.2105937545207</x:v>
      </x:c>
      <x:c r="E393" s="4" t="str">
        <x:v>USD/m²</x:v>
      </x:c>
      <x:c r="F393" s="16" t="n">
        <x:v>2026</x:v>
      </x:c>
      <x:c r="G393" s="4" t="str">
        <x:v>C&amp;W 2026商辦fit-out，價格基準2025年12月；USD/ft²÷0.09290304，非住宅報價，報告自身匯率</x:v>
      </x:c>
      <x:c r="H393" s="4" t="str">
        <x:v>X02</x:v>
      </x:c>
      <x:c r="I393" s="4" t="str">
        <x:v>https://digital.cushmanwakefield.com/fitoutcostguide-03-2026-apac-regional-en-content-pds-office/30-31/</x:v>
      </x:c>
      <x:c r="J393" s="4" t="str">
        <x:v>是</x:v>
      </x:c>
      <x:c r="K393" s="4" t="str">
        <x:v>是</x:v>
      </x:c>
      <x:c r="L393" s="4" t="str">
        <x:v>是</x:v>
      </x:c>
      <x:c r="M393" s="4" t="str">
        <x:v>是</x:v>
      </x:c>
      <x:c r="N393" s="4" t="str">
        <x:v>pass</x:v>
      </x:c>
      <x:c r="O393" s="4" t="str">
        <x:v>B</x:v>
      </x:c>
      <x:c r="P393" s="4" t="str">
        <x:v>是</x:v>
      </x:c>
      <x:c r="Q393" s="20" t="n">
        <x:v>1130.2105937545207</x:v>
      </x:c>
      <x:c r="R393" s="16" t="n">
        <x:v>2026</x:v>
      </x:c>
      <x:c r="S393" s="4" t="str">
        <x:v>【示意】C&amp;W 2026商辦fit-out，價格基準2025年12月；USD/ft²÷0.09290304，非住宅報價，報告自身匯率；獨立來源1；來源B級</x:v>
      </x:c>
      <x:c r="T393" s="4" t="str">
        <x:v>示意</x:v>
      </x:c>
      <x:c r="U393" s="16" t="n">
        <x:v>1</x:v>
      </x:c>
      <x:c r="V393" s="4" t="str">
        <x:v>低</x:v>
      </x:c>
      <x:c r="W393" s="4" t="str">
        <x:v>成本頁逐城讀USD/ft²；配合X11方法頁確定價格2025-12，報告2026。 馬尼拉=105USD/ft²，除0.09290304得1130.2105937545207USD/m²；原幣66562PHP/m²。</x:v>
      </x:c>
      <x:c r="X393" s="4" t="str">
        <x:v>單一獨立原始機構，依協議第4條低信心示意；A/B來源等級不等於已三角驗證。</x:v>
      </x:c>
      <x:c r="Y393" s="37" t="d">
        <x:v>2026-10-09T00:00:00.000Z</x:v>
      </x:c>
      <x:c r="Z393" s="4" t="str">
        <x:v>turn202view1</x:v>
      </x:c>
    </x:row>
    <x:row r="394" ht="38" customHeight="1">
      <x:c r="A394" s="4" t="str">
        <x:v>M0393</x:v>
      </x:c>
      <x:c r="B394" s="4" t="str">
        <x:v>IN</x:v>
      </x:c>
      <x:c r="C394" s="4" t="str">
        <x:v>室內設計服務合約市場</x:v>
      </x:c>
      <x:c r="D394" s="18" t="n">
        <x:v>31.43</x:v>
      </x:c>
      <x:c r="E394" s="4" t="str">
        <x:v>USD billion</x:v>
      </x:c>
      <x:c r="F394" s="16" t="n">
        <x:v>2025</x:v>
      </x:c>
      <x:c r="G394" s="4" t="str">
        <x:v>市調估計：住宅商用、新建翻修；含服務合約附隨供應，排除獨立家具建材交易</x:v>
      </x:c>
      <x:c r="H394" s="4" t="str">
        <x:v>IN01</x:v>
      </x:c>
      <x:c r="I394" s="4" t="str">
        <x:v>https://www.mordorintelligence.com/industry-reports/india-interior-design-market</x:v>
      </x:c>
      <x:c r="J394" s="4" t="str">
        <x:v>是</x:v>
      </x:c>
      <x:c r="K394" s="4" t="str">
        <x:v>是</x:v>
      </x:c>
      <x:c r="L394" s="4" t="str">
        <x:v>是</x:v>
      </x:c>
      <x:c r="M394" s="4" t="str">
        <x:v>是</x:v>
      </x:c>
      <x:c r="N394" s="4" t="str">
        <x:v>pass</x:v>
      </x:c>
      <x:c r="O394" s="4" t="str">
        <x:v>C</x:v>
      </x:c>
      <x:c r="P394" s="4" t="str">
        <x:v>是</x:v>
      </x:c>
      <x:c r="Q394" s="18" t="n">
        <x:v>31.43</x:v>
      </x:c>
      <x:c r="R394" s="16" t="n">
        <x:v>2025</x:v>
      </x:c>
      <x:c r="S394" s="4" t="str">
        <x:v>【示意】市調估計：住宅商用、新建翻修；含服務合約附隨供應，排除獨立家具建材交易；獨立來源1；來源C級</x:v>
      </x:c>
      <x:c r="T394" s="4" t="str">
        <x:v>示意</x:v>
      </x:c>
      <x:c r="U394" s="16" t="n">
        <x:v>1</x:v>
      </x:c>
      <x:c r="V394" s="4" t="str">
        <x:v>低</x:v>
      </x:c>
      <x:c r="W394" s="4" t="str">
        <x:v>2026 年 1 月模型表：2025 基期31.43、2026預測35.48 USD十億；2025商用74.44%、新建57.39%。範圍段排除未附設計合約之獨立商品銷售。</x:v>
      </x:c>
      <x:c r="X394" s="4" t="str">
        <x:v>依整合協議第4條：單一獨立来源，整合信心低；通過表示網頁數字相符，不代表已完成三角驗證。</x:v>
      </x:c>
      <x:c r="Y394" s="37" t="d">
        <x:v>2026-10-09T00:00:00.000Z</x:v>
      </x:c>
      <x:c r="Z394" s="4" t="str">
        <x:v>turn234view1</x:v>
      </x:c>
    </x:row>
    <x:row r="395" ht="38" customHeight="1">
      <x:c r="A395" s="4" t="str">
        <x:v>M0394</x:v>
      </x:c>
      <x:c r="B395" s="4" t="str">
        <x:v>IN</x:v>
      </x:c>
      <x:c r="C395" s="4" t="str">
        <x:v>室內設計服務合約市場預測</x:v>
      </x:c>
      <x:c r="D395" s="18" t="n">
        <x:v>35.48</x:v>
      </x:c>
      <x:c r="E395" s="4" t="str">
        <x:v>USD billion</x:v>
      </x:c>
      <x:c r="F395" s="16" t="n">
        <x:v>2026</x:v>
      </x:c>
      <x:c r="G395" s="4" t="str">
        <x:v>市調模型預測，非2026官方實績</x:v>
      </x:c>
      <x:c r="H395" s="4" t="str">
        <x:v>IN01</x:v>
      </x:c>
      <x:c r="I395" s="4" t="str">
        <x:v>https://www.mordorintelligence.com/industry-reports/india-interior-design-market</x:v>
      </x:c>
      <x:c r="J395" s="4" t="str">
        <x:v>是</x:v>
      </x:c>
      <x:c r="K395" s="4" t="str">
        <x:v>是</x:v>
      </x:c>
      <x:c r="L395" s="4" t="str">
        <x:v>是</x:v>
      </x:c>
      <x:c r="M395" s="4" t="str">
        <x:v>是</x:v>
      </x:c>
      <x:c r="N395" s="4" t="str">
        <x:v>pass</x:v>
      </x:c>
      <x:c r="O395" s="4" t="str">
        <x:v>C</x:v>
      </x:c>
      <x:c r="P395" s="4" t="str">
        <x:v>是</x:v>
      </x:c>
      <x:c r="Q395" s="18" t="n">
        <x:v>35.48</x:v>
      </x:c>
      <x:c r="R395" s="16" t="n">
        <x:v>2026</x:v>
      </x:c>
      <x:c r="S395" s="4" t="str">
        <x:v>【預測／示意】市調模型預測，非2026官方實績；獨立來源1；來源C級</x:v>
      </x:c>
      <x:c r="T395" s="4" t="str">
        <x:v>預測／示意</x:v>
      </x:c>
      <x:c r="U395" s="16" t="n">
        <x:v>1</x:v>
      </x:c>
      <x:c r="V395" s="4" t="str">
        <x:v>低</x:v>
      </x:c>
      <x:c r="W395" s="4" t="str">
        <x:v>2026 年 1 月模型表：2025 基期31.43、2026預測35.48 USD十億；2025商用74.44%、新建57.39%。範圍段排除未附設計合約之獨立商品銷售。</x:v>
      </x:c>
      <x:c r="X395" s="4" t="str">
        <x:v>依整合協議第4條：單一獨立来源，整合信心低；通過表示網頁數字相符，不代表已完成三角驗證。</x:v>
      </x:c>
      <x:c r="Y395" s="37" t="d">
        <x:v>2026-10-09T00:00:00.000Z</x:v>
      </x:c>
      <x:c r="Z395" s="4" t="str">
        <x:v>turn234view1</x:v>
      </x:c>
    </x:row>
    <x:row r="396" ht="38" customHeight="1">
      <x:c r="A396" s="4" t="str">
        <x:v>M0395</x:v>
      </x:c>
      <x:c r="B396" s="4" t="str">
        <x:v>IN</x:v>
      </x:c>
      <x:c r="C396" s="4" t="str">
        <x:v>設計服務合約商業空間占比</x:v>
      </x:c>
      <x:c r="D396" s="18" t="n">
        <x:v>74.44</x:v>
      </x:c>
      <x:c r="E396" s="4" t="str">
        <x:v>%</x:v>
      </x:c>
      <x:c r="F396" s="16" t="n">
        <x:v>2025</x:v>
      </x:c>
      <x:c r="G396" s="4" t="str">
        <x:v>市調口徑，不能當住宅市場比重</x:v>
      </x:c>
      <x:c r="H396" s="4" t="str">
        <x:v>IN01</x:v>
      </x:c>
      <x:c r="I396" s="4" t="str">
        <x:v>https://www.mordorintelligence.com/industry-reports/india-interior-design-market</x:v>
      </x:c>
      <x:c r="J396" s="4" t="str">
        <x:v>是</x:v>
      </x:c>
      <x:c r="K396" s="4" t="str">
        <x:v>是</x:v>
      </x:c>
      <x:c r="L396" s="4" t="str">
        <x:v>是</x:v>
      </x:c>
      <x:c r="M396" s="4" t="str">
        <x:v>是</x:v>
      </x:c>
      <x:c r="N396" s="4" t="str">
        <x:v>pass</x:v>
      </x:c>
      <x:c r="O396" s="4" t="str">
        <x:v>C</x:v>
      </x:c>
      <x:c r="P396" s="4" t="str">
        <x:v>是</x:v>
      </x:c>
      <x:c r="Q396" s="18" t="n">
        <x:v>74.44</x:v>
      </x:c>
      <x:c r="R396" s="16" t="n">
        <x:v>2025</x:v>
      </x:c>
      <x:c r="S396" s="4" t="str">
        <x:v>【示意】市調口徑，不能當住宅市場比重；獨立來源1；來源C級</x:v>
      </x:c>
      <x:c r="T396" s="4" t="str">
        <x:v>示意</x:v>
      </x:c>
      <x:c r="U396" s="16" t="n">
        <x:v>1</x:v>
      </x:c>
      <x:c r="V396" s="4" t="str">
        <x:v>低</x:v>
      </x:c>
      <x:c r="W396" s="4" t="str">
        <x:v>2026 年 1 月模型表：2025 基期31.43、2026預測35.48 USD十億；2025商用74.44%、新建57.39%。範圍段排除未附設計合約之獨立商品銷售。</x:v>
      </x:c>
      <x:c r="X396" s="4" t="str">
        <x:v>依整合協議第4條：單一獨立来源，整合信心低；通過表示網頁數字相符，不代表已完成三角驗證。</x:v>
      </x:c>
      <x:c r="Y396" s="37" t="d">
        <x:v>2026-10-09T00:00:00.000Z</x:v>
      </x:c>
      <x:c r="Z396" s="4" t="str">
        <x:v>turn234view1</x:v>
      </x:c>
    </x:row>
    <x:row r="397" ht="38" customHeight="1">
      <x:c r="A397" s="4" t="str">
        <x:v>M0396</x:v>
      </x:c>
      <x:c r="B397" s="4" t="str">
        <x:v>IN</x:v>
      </x:c>
      <x:c r="C397" s="4" t="str">
        <x:v>設計服務合約新建占比</x:v>
      </x:c>
      <x:c r="D397" s="18" t="n">
        <x:v>57.39</x:v>
      </x:c>
      <x:c r="E397" s="4" t="str">
        <x:v>%</x:v>
      </x:c>
      <x:c r="F397" s="16" t="n">
        <x:v>2025</x:v>
      </x:c>
      <x:c r="G397" s="4" t="str">
        <x:v>住宅與商用混合</x:v>
      </x:c>
      <x:c r="H397" s="4" t="str">
        <x:v>IN01</x:v>
      </x:c>
      <x:c r="I397" s="4" t="str">
        <x:v>https://www.mordorintelligence.com/industry-reports/india-interior-design-market</x:v>
      </x:c>
      <x:c r="J397" s="4" t="str">
        <x:v>是</x:v>
      </x:c>
      <x:c r="K397" s="4" t="str">
        <x:v>是</x:v>
      </x:c>
      <x:c r="L397" s="4" t="str">
        <x:v>是</x:v>
      </x:c>
      <x:c r="M397" s="4" t="str">
        <x:v>是</x:v>
      </x:c>
      <x:c r="N397" s="4" t="str">
        <x:v>pass</x:v>
      </x:c>
      <x:c r="O397" s="4" t="str">
        <x:v>C</x:v>
      </x:c>
      <x:c r="P397" s="4" t="str">
        <x:v>是</x:v>
      </x:c>
      <x:c r="Q397" s="18" t="n">
        <x:v>57.39</x:v>
      </x:c>
      <x:c r="R397" s="16" t="n">
        <x:v>2025</x:v>
      </x:c>
      <x:c r="S397" s="4" t="str">
        <x:v>【示意】住宅與商用混合；獨立來源1；來源C級</x:v>
      </x:c>
      <x:c r="T397" s="4" t="str">
        <x:v>示意</x:v>
      </x:c>
      <x:c r="U397" s="16" t="n">
        <x:v>1</x:v>
      </x:c>
      <x:c r="V397" s="4" t="str">
        <x:v>低</x:v>
      </x:c>
      <x:c r="W397" s="4" t="str">
        <x:v>2026 年 1 月模型表：2025 基期31.43、2026預測35.48 USD十億；2025商用74.44%、新建57.39%。範圍段排除未附設計合約之獨立商品銷售。</x:v>
      </x:c>
      <x:c r="X397" s="4" t="str">
        <x:v>依整合協議第4條：單一獨立来源，整合信心低；通過表示網頁數字相符，不代表已完成三角驗證。</x:v>
      </x:c>
      <x:c r="Y397" s="37" t="d">
        <x:v>2026-10-09T00:00:00.000Z</x:v>
      </x:c>
      <x:c r="Z397" s="4" t="str">
        <x:v>turn234view1</x:v>
      </x:c>
    </x:row>
    <x:row r="398" ht="38" customHeight="1">
      <x:c r="A398" s="4" t="str">
        <x:v>M0397</x:v>
      </x:c>
      <x:c r="B398" s="4" t="str">
        <x:v>IN</x:v>
      </x:c>
      <x:c r="C398" s="4" t="str">
        <x:v>Home Interiors市場估計</x:v>
      </x:c>
      <x:c r="D398" s="18" t="n">
        <x:v>1.27</x:v>
      </x:c>
      <x:c r="E398" s="4" t="str">
        <x:v>INR trillion</x:v>
      </x:c>
      <x:c r="F398" s="16" t="n">
        <x:v>2024</x:v>
      </x:c>
      <x:c r="G398" s="4" t="str">
        <x:v>原文1.27 lakh crore；住宅內裝家具模組範圍，非純住宅翻修</x:v>
      </x:c>
      <x:c r="H398" s="4" t="str">
        <x:v>IN02</x:v>
      </x:c>
      <x:c r="I398" s="4" t="str">
        <x:v>https://property.magicbricks.com/microsite/research-insights/src/pdf/sample/Interiors-Sample-Report.pdf</x:v>
      </x:c>
      <x:c r="J398" s="4" t="str">
        <x:v>是</x:v>
      </x:c>
      <x:c r="K398" s="4" t="str">
        <x:v>是</x:v>
      </x:c>
      <x:c r="L398" s="4" t="str">
        <x:v>是</x:v>
      </x:c>
      <x:c r="M398" s="4" t="str">
        <x:v>是</x:v>
      </x:c>
      <x:c r="N398" s="4" t="str">
        <x:v>pass</x:v>
      </x:c>
      <x:c r="O398" s="4" t="str">
        <x:v>C</x:v>
      </x:c>
      <x:c r="P398" s="4" t="str">
        <x:v>是</x:v>
      </x:c>
      <x:c r="Q398" s="18" t="n">
        <x:v>1.27</x:v>
      </x:c>
      <x:c r="R398" s="16" t="n">
        <x:v>2024</x:v>
      </x:c>
      <x:c r="S398" s="4" t="str">
        <x:v>【示意】原文1.27 lakh crore；住宅內裝家具模組範圍，非純住宅翻修；獨立來源1；來源C級</x:v>
      </x:c>
      <x:c r="T398" s="4" t="str">
        <x:v>示意</x:v>
      </x:c>
      <x:c r="U398" s="16" t="n">
        <x:v>1</x:v>
      </x:c>
      <x:c r="V398" s="4" t="str">
        <x:v>低</x:v>
      </x:c>
      <x:c r="W398" s="4" t="str">
        <x:v>PDF P3：2024總額1.27 lakh crore、2030目標2.75；二線23074／72500 crore，來源中古82%；P4平均3.9 lakh。樣本發表於2025，82%與均價觀察期未註。</x:v>
      </x:c>
      <x:c r="X398" s="4" t="str">
        <x:v>依整合協議第4條：單一獨立来源，整合信心低；通過表示網頁數字相符，不代表已完成三角驗證。</x:v>
      </x:c>
      <x:c r="Y398" s="37" t="d">
        <x:v>2026-10-09T00:00:00.000Z</x:v>
      </x:c>
      <x:c r="Z398" s="4" t="str">
        <x:v>turn216view4</x:v>
      </x:c>
    </x:row>
    <x:row r="399" ht="38" customHeight="1">
      <x:c r="A399" s="4" t="str">
        <x:v>M0398</x:v>
      </x:c>
      <x:c r="B399" s="4" t="str">
        <x:v>IN</x:v>
      </x:c>
      <x:c r="C399" s="4" t="str">
        <x:v>Home Interiors市場2030預測</x:v>
      </x:c>
      <x:c r="D399" s="18" t="n">
        <x:v>2.75</x:v>
      </x:c>
      <x:c r="E399" s="4" t="str">
        <x:v>INR trillion</x:v>
      </x:c>
      <x:c r="F399" s="16" t="n">
        <x:v>2030</x:v>
      </x:c>
      <x:c r="G399" s="4" t="str">
        <x:v>平台研究預測，非官方</x:v>
      </x:c>
      <x:c r="H399" s="4" t="str">
        <x:v>IN02</x:v>
      </x:c>
      <x:c r="I399" s="4" t="str">
        <x:v>https://property.magicbricks.com/microsite/research-insights/src/pdf/sample/Interiors-Sample-Report.pdf</x:v>
      </x:c>
      <x:c r="J399" s="4" t="str">
        <x:v>是</x:v>
      </x:c>
      <x:c r="K399" s="4" t="str">
        <x:v>是</x:v>
      </x:c>
      <x:c r="L399" s="4" t="str">
        <x:v>是</x:v>
      </x:c>
      <x:c r="M399" s="4" t="str">
        <x:v>是</x:v>
      </x:c>
      <x:c r="N399" s="4" t="str">
        <x:v>pass</x:v>
      </x:c>
      <x:c r="O399" s="4" t="str">
        <x:v>C</x:v>
      </x:c>
      <x:c r="P399" s="4" t="str">
        <x:v>是</x:v>
      </x:c>
      <x:c r="Q399" s="18" t="n">
        <x:v>2.75</x:v>
      </x:c>
      <x:c r="R399" s="16" t="n">
        <x:v>2030</x:v>
      </x:c>
      <x:c r="S399" s="4" t="str">
        <x:v>【預測／示意】平台研究預測，非官方；獨立來源1；來源C級</x:v>
      </x:c>
      <x:c r="T399" s="4" t="str">
        <x:v>預測／示意</x:v>
      </x:c>
      <x:c r="U399" s="16" t="n">
        <x:v>1</x:v>
      </x:c>
      <x:c r="V399" s="4" t="str">
        <x:v>低</x:v>
      </x:c>
      <x:c r="W399" s="4" t="str">
        <x:v>PDF P3：2024總額1.27 lakh crore、2030目標2.75；二線23074／72500 crore，來源中古82%；P4平均3.9 lakh。樣本發表於2025，82%與均價觀察期未註。</x:v>
      </x:c>
      <x:c r="X399" s="4" t="str">
        <x:v>依整合協議第4條：單一獨立来源，整合信心低；通過表示網頁數字相符，不代表已完成三角驗證。</x:v>
      </x:c>
      <x:c r="Y399" s="37" t="d">
        <x:v>2026-10-09T00:00:00.000Z</x:v>
      </x:c>
      <x:c r="Z399" s="4" t="str">
        <x:v>turn216view4</x:v>
      </x:c>
    </x:row>
    <x:row r="400" ht="38" customHeight="1">
      <x:c r="A400" s="4" t="str">
        <x:v>M0399</x:v>
      </x:c>
      <x:c r="B400" s="4" t="str">
        <x:v>IN</x:v>
      </x:c>
      <x:c r="C400" s="4" t="str">
        <x:v>二線城市Home Interiors市場</x:v>
      </x:c>
      <x:c r="D400" s="18" t="n">
        <x:v>230.74</x:v>
      </x:c>
      <x:c r="E400" s="4" t="str">
        <x:v>INR billion</x:v>
      </x:c>
      <x:c r="F400" s="16" t="n">
        <x:v>2024</x:v>
      </x:c>
      <x:c r="G400" s="4" t="str">
        <x:v>原文23074 crore</x:v>
      </x:c>
      <x:c r="H400" s="4" t="str">
        <x:v>IN02</x:v>
      </x:c>
      <x:c r="I400" s="4" t="str">
        <x:v>https://property.magicbricks.com/microsite/research-insights/src/pdf/sample/Interiors-Sample-Report.pdf</x:v>
      </x:c>
      <x:c r="J400" s="4" t="str">
        <x:v>是</x:v>
      </x:c>
      <x:c r="K400" s="4" t="str">
        <x:v>是</x:v>
      </x:c>
      <x:c r="L400" s="4" t="str">
        <x:v>是</x:v>
      </x:c>
      <x:c r="M400" s="4" t="str">
        <x:v>是</x:v>
      </x:c>
      <x:c r="N400" s="4" t="str">
        <x:v>pass</x:v>
      </x:c>
      <x:c r="O400" s="4" t="str">
        <x:v>C</x:v>
      </x:c>
      <x:c r="P400" s="4" t="str">
        <x:v>是</x:v>
      </x:c>
      <x:c r="Q400" s="18" t="n">
        <x:v>230.74</x:v>
      </x:c>
      <x:c r="R400" s="16" t="n">
        <x:v>2024</x:v>
      </x:c>
      <x:c r="S400" s="4" t="str">
        <x:v>【示意】原文23074 crore；獨立來源1；來源C級</x:v>
      </x:c>
      <x:c r="T400" s="4" t="str">
        <x:v>示意</x:v>
      </x:c>
      <x:c r="U400" s="16" t="n">
        <x:v>1</x:v>
      </x:c>
      <x:c r="V400" s="4" t="str">
        <x:v>低</x:v>
      </x:c>
      <x:c r="W400" s="4" t="str">
        <x:v>PDF P3：2024總額1.27 lakh crore、2030目標2.75；二線23074／72500 crore，來源中古82%；P4平均3.9 lakh。樣本發表於2025，82%與均價觀察期未註。</x:v>
      </x:c>
      <x:c r="X400" s="4" t="str">
        <x:v>依整合協議第4條：單一獨立来源，整合信心低；通過表示網頁數字相符，不代表已完成三角驗證。</x:v>
      </x:c>
      <x:c r="Y400" s="37" t="d">
        <x:v>2026-10-09T00:00:00.000Z</x:v>
      </x:c>
      <x:c r="Z400" s="4" t="str">
        <x:v>turn216view4</x:v>
      </x:c>
    </x:row>
    <x:row r="401" ht="38" customHeight="1">
      <x:c r="A401" s="4" t="str">
        <x:v>M0400</x:v>
      </x:c>
      <x:c r="B401" s="4" t="str">
        <x:v>IN</x:v>
      </x:c>
      <x:c r="C401" s="4" t="str">
        <x:v>二線城市Home Interiors市場2030預測</x:v>
      </x:c>
      <x:c r="D401" s="17" t="n">
        <x:v>725</x:v>
      </x:c>
      <x:c r="E401" s="4" t="str">
        <x:v>INR billion</x:v>
      </x:c>
      <x:c r="F401" s="16" t="n">
        <x:v>2030</x:v>
      </x:c>
      <x:c r="G401" s="4" t="str">
        <x:v>原文72500 crore</x:v>
      </x:c>
      <x:c r="H401" s="4" t="str">
        <x:v>IN02</x:v>
      </x:c>
      <x:c r="I401" s="4" t="str">
        <x:v>https://property.magicbricks.com/microsite/research-insights/src/pdf/sample/Interiors-Sample-Report.pdf</x:v>
      </x:c>
      <x:c r="J401" s="4" t="str">
        <x:v>是</x:v>
      </x:c>
      <x:c r="K401" s="4" t="str">
        <x:v>是</x:v>
      </x:c>
      <x:c r="L401" s="4" t="str">
        <x:v>是</x:v>
      </x:c>
      <x:c r="M401" s="4" t="str">
        <x:v>是</x:v>
      </x:c>
      <x:c r="N401" s="4" t="str">
        <x:v>pass</x:v>
      </x:c>
      <x:c r="O401" s="4" t="str">
        <x:v>C</x:v>
      </x:c>
      <x:c r="P401" s="4" t="str">
        <x:v>是</x:v>
      </x:c>
      <x:c r="Q401" s="17" t="n">
        <x:v>725</x:v>
      </x:c>
      <x:c r="R401" s="16" t="n">
        <x:v>2030</x:v>
      </x:c>
      <x:c r="S401" s="4" t="str">
        <x:v>【預測／示意】原文72500 crore；獨立來源1；來源C級</x:v>
      </x:c>
      <x:c r="T401" s="4" t="str">
        <x:v>預測／示意</x:v>
      </x:c>
      <x:c r="U401" s="16" t="n">
        <x:v>1</x:v>
      </x:c>
      <x:c r="V401" s="4" t="str">
        <x:v>低</x:v>
      </x:c>
      <x:c r="W401" s="4" t="str">
        <x:v>PDF P3：2024總額1.27 lakh crore、2030目標2.75；二線23074／72500 crore，來源中古82%；P4平均3.9 lakh。樣本發表於2025，82%與均價觀察期未註。</x:v>
      </x:c>
      <x:c r="X401" s="4" t="str">
        <x:v>依整合協議第4條：單一獨立来源，整合信心低；通過表示網頁數字相符，不代表已完成三角驗證。</x:v>
      </x:c>
      <x:c r="Y401" s="37" t="d">
        <x:v>2026-10-09T00:00:00.000Z</x:v>
      </x:c>
      <x:c r="Z401" s="4" t="str">
        <x:v>turn216view4</x:v>
      </x:c>
    </x:row>
    <x:row r="402" ht="66" customHeight="1">
      <x:c r="A402" s="4" t="str">
        <x:v>M0401</x:v>
      </x:c>
      <x:c r="B402" s="4" t="str">
        <x:v>IN</x:v>
      </x:c>
      <x:c r="C402" s="4" t="str">
        <x:v>二線城市內装市場中古住宅來源占比</x:v>
      </x:c>
      <x:c r="D402" s="17" t="n">
        <x:v>82</x:v>
      </x:c>
      <x:c r="E402" s="4" t="str">
        <x:v>%</x:v>
      </x:c>
      <x:c r="F402" s="16" t="n">
        <x:v>2025</x:v>
      </x:c>
      <x:c r="G402" s="4" t="str">
        <x:v>內裝市場來源，絕非中古交易占全國住宅交易比重；報告未公開完整方法</x:v>
      </x:c>
      <x:c r="H402" s="4" t="str">
        <x:v>IN02</x:v>
      </x:c>
      <x:c r="I402" s="4" t="str">
        <x:v>https://property.magicbricks.com/microsite/research-insights/src/pdf/sample/Interiors-Sample-Report.pdf</x:v>
      </x:c>
      <x:c r="J402" s="4" t="str">
        <x:v>是</x:v>
      </x:c>
      <x:c r="K402" s="4" t="str">
        <x:v>是</x:v>
      </x:c>
      <x:c r="L402" s="4" t="str">
        <x:v>未確認</x:v>
      </x:c>
      <x:c r="M402" s="4" t="str">
        <x:v>是</x:v>
      </x:c>
      <x:c r="N402" s="4" t="str">
        <x:v>partial</x:v>
      </x:c>
      <x:c r="O402" s="4" t="str">
        <x:v>C</x:v>
      </x:c>
      <x:c r="P402" s="4" t="str">
        <x:v>是</x:v>
      </x:c>
      <x:c r="Q402" s="17" t="n">
        <x:v>82</x:v>
      </x:c>
      <x:c r="R402" s="16" t="str">
        <x:v>2025發布／觀察期未明</x:v>
      </x:c>
      <x:c r="S402" s="4" t="str">
        <x:v>【示意】內裝市場來源，絕非中古交易占全國住宅交易比重；報告未公開完整方法；樣本簡報未公開觀察期間。；獨立來源1；來源C級；查核限制：PDF P3：2024總額1.27 lakh crore、2030目標2.75；二線23074／72500 crore，來源中古82%；P4平均3.9 lakh。樣本發表於2025，82%與均價觀察期未註。</x:v>
      </x:c>
      <x:c r="T402" s="4" t="str">
        <x:v>示意</x:v>
      </x:c>
      <x:c r="U402" s="16" t="n">
        <x:v>1</x:v>
      </x:c>
      <x:c r="V402" s="4" t="str">
        <x:v>低</x:v>
      </x:c>
      <x:c r="W402" s="4" t="str">
        <x:v>PDF P3：2024總額1.27 lakh crore、2030目標2.75；二線23074／72500 crore，來源中古82%；P4平均3.9 lakh。樣本發表於2025，82%與均價觀察期未註。</x:v>
      </x:c>
      <x:c r="X402" s="4" t="str">
        <x:v>依整合協議第4條：單一獨立来源，整合信心低；通過表示網頁數字相符，不代表已完成三角驗證。</x:v>
      </x:c>
      <x:c r="Y402" s="37" t="d">
        <x:v>2026-10-09T00:00:00.000Z</x:v>
      </x:c>
      <x:c r="Z402" s="4" t="str">
        <x:v>turn216view4</x:v>
      </x:c>
    </x:row>
    <x:row r="403" ht="52" customHeight="1">
      <x:c r="A403" s="4" t="str">
        <x:v>M0402</x:v>
      </x:c>
      <x:c r="B403" s="4" t="str">
        <x:v>IN</x:v>
      </x:c>
      <x:c r="C403" s="4" t="str">
        <x:v>二線城市平均內装花費</x:v>
      </x:c>
      <x:c r="D403" s="17" t="n">
        <x:v>390000</x:v>
      </x:c>
      <x:c r="E403" s="4" t="str">
        <x:v>INR/案</x:v>
      </x:c>
      <x:c r="F403" s="16" t="n">
        <x:v>2025</x:v>
      </x:c>
      <x:c r="G403" s="4" t="str">
        <x:v>原文3.9 lakh；平台研究樣本</x:v>
      </x:c>
      <x:c r="H403" s="4" t="str">
        <x:v>IN02</x:v>
      </x:c>
      <x:c r="I403" s="4" t="str">
        <x:v>https://property.magicbricks.com/microsite/research-insights/src/pdf/sample/Interiors-Sample-Report.pdf</x:v>
      </x:c>
      <x:c r="J403" s="4" t="str">
        <x:v>是</x:v>
      </x:c>
      <x:c r="K403" s="4" t="str">
        <x:v>是</x:v>
      </x:c>
      <x:c r="L403" s="4" t="str">
        <x:v>未確認</x:v>
      </x:c>
      <x:c r="M403" s="4" t="str">
        <x:v>是</x:v>
      </x:c>
      <x:c r="N403" s="4" t="str">
        <x:v>partial</x:v>
      </x:c>
      <x:c r="O403" s="4" t="str">
        <x:v>C</x:v>
      </x:c>
      <x:c r="P403" s="4" t="str">
        <x:v>是</x:v>
      </x:c>
      <x:c r="Q403" s="17" t="n">
        <x:v>390000</x:v>
      </x:c>
      <x:c r="R403" s="16" t="str">
        <x:v>2025發布／觀察期未明</x:v>
      </x:c>
      <x:c r="S403" s="4" t="str">
        <x:v>【示意】原文3.9 lakh；平台研究樣本；樣本簡報未公開觀察期間。；獨立來源1；來源C級；查核限制：PDF P3：2024總額1.27 lakh crore、2030目標2.75；二線23074／72500 crore，來源中古82%；P4平均3.9 lakh。樣本發表於2025，82%與均價觀察期未註。</x:v>
      </x:c>
      <x:c r="T403" s="4" t="str">
        <x:v>示意</x:v>
      </x:c>
      <x:c r="U403" s="16" t="n">
        <x:v>1</x:v>
      </x:c>
      <x:c r="V403" s="4" t="str">
        <x:v>低</x:v>
      </x:c>
      <x:c r="W403" s="4" t="str">
        <x:v>PDF P3：2024總額1.27 lakh crore、2030目標2.75；二線23074／72500 crore，來源中古82%；P4平均3.9 lakh。樣本發表於2025，82%與均價觀察期未註。</x:v>
      </x:c>
      <x:c r="X403" s="4" t="str">
        <x:v>依整合協議第4條：單一獨立来源，整合信心低；通過表示網頁數字相符，不代表已完成三角驗證。</x:v>
      </x:c>
      <x:c r="Y403" s="37" t="d">
        <x:v>2026-10-09T00:00:00.000Z</x:v>
      </x:c>
      <x:c r="Z403" s="4" t="str">
        <x:v>turn216view4</x:v>
      </x:c>
    </x:row>
    <x:row r="404" ht="38" customHeight="1">
      <x:c r="A404" s="4" t="str">
        <x:v>M0403</x:v>
      </x:c>
      <x:c r="B404" s="4" t="str">
        <x:v>IN</x:v>
      </x:c>
      <x:c r="C404" s="4" t="str">
        <x:v>七大城市住宅銷售</x:v>
      </x:c>
      <x:c r="D404" s="17" t="n">
        <x:v>459600</x:v>
      </x:c>
      <x:c r="E404" s="4" t="str">
        <x:v>戶</x:v>
      </x:c>
      <x:c r="F404" s="16" t="n">
        <x:v>2024</x:v>
      </x:c>
      <x:c r="G404" s="4" t="str">
        <x:v>原報告摘要四捨五入；不是全印度，不等於交屋</x:v>
      </x:c>
      <x:c r="H404" s="4" t="str">
        <x:v>IN03</x:v>
      </x:c>
      <x:c r="I404" s="4" t="str">
        <x:v>https://websitemedia.anarock.com/media/ANAROCK_Research_Indian_Residential_Market_Annual_Update_2024_3b5aa5b04d.pdf</x:v>
      </x:c>
      <x:c r="J404" s="4" t="str">
        <x:v>是</x:v>
      </x:c>
      <x:c r="K404" s="4" t="str">
        <x:v>是</x:v>
      </x:c>
      <x:c r="L404" s="4" t="str">
        <x:v>是</x:v>
      </x:c>
      <x:c r="M404" s="4" t="str">
        <x:v>是</x:v>
      </x:c>
      <x:c r="N404" s="4" t="str">
        <x:v>pass</x:v>
      </x:c>
      <x:c r="O404" s="4" t="str">
        <x:v>B</x:v>
      </x:c>
      <x:c r="P404" s="4" t="str">
        <x:v>是</x:v>
      </x:c>
      <x:c r="Q404" s="17" t="n">
        <x:v>459600</x:v>
      </x:c>
      <x:c r="R404" s="16" t="n">
        <x:v>2024</x:v>
      </x:c>
      <x:c r="S404" s="4" t="str">
        <x:v>【示意】原報告摘要四捨五入；不是全印度，不等於交屋；獨立來源1；來源B級</x:v>
      </x:c>
      <x:c r="T404" s="4" t="str">
        <x:v>示意</x:v>
      </x:c>
      <x:c r="U404" s="16" t="n">
        <x:v>1</x:v>
      </x:c>
      <x:c r="V404" s="4" t="str">
        <x:v>低</x:v>
      </x:c>
      <x:c r="W404" s="4" t="str">
        <x:v>PDF P6：七城市 launches412500、sales459600、sales年減4%；P7文字與2024相符，非全國完工。</x:v>
      </x:c>
      <x:c r="X404" s="4" t="str">
        <x:v>依整合協議第4條：單一獨立来源，整合信心低；通過表示網頁數字相符，不代表已完成三角驗證。</x:v>
      </x:c>
      <x:c r="Y404" s="37" t="d">
        <x:v>2026-10-09T00:00:00.000Z</x:v>
      </x:c>
      <x:c r="Z404" s="4" t="str">
        <x:v>turn229view4</x:v>
      </x:c>
    </x:row>
    <x:row r="405" ht="38" customHeight="1">
      <x:c r="A405" s="4" t="str">
        <x:v>M0404</x:v>
      </x:c>
      <x:c r="B405" s="4" t="str">
        <x:v>IN</x:v>
      </x:c>
      <x:c r="C405" s="4" t="str">
        <x:v>七大城市住宅新推案</x:v>
      </x:c>
      <x:c r="D405" s="17" t="n">
        <x:v>412500</x:v>
      </x:c>
      <x:c r="E405" s="4" t="str">
        <x:v>戶</x:v>
      </x:c>
      <x:c r="F405" s="16" t="n">
        <x:v>2024</x:v>
      </x:c>
      <x:c r="G405" s="4" t="str">
        <x:v>新上市供給，非完工</x:v>
      </x:c>
      <x:c r="H405" s="4" t="str">
        <x:v>IN03</x:v>
      </x:c>
      <x:c r="I405" s="4" t="str">
        <x:v>https://websitemedia.anarock.com/media/ANAROCK_Research_Indian_Residential_Market_Annual_Update_2024_3b5aa5b04d.pdf</x:v>
      </x:c>
      <x:c r="J405" s="4" t="str">
        <x:v>是</x:v>
      </x:c>
      <x:c r="K405" s="4" t="str">
        <x:v>是</x:v>
      </x:c>
      <x:c r="L405" s="4" t="str">
        <x:v>是</x:v>
      </x:c>
      <x:c r="M405" s="4" t="str">
        <x:v>是</x:v>
      </x:c>
      <x:c r="N405" s="4" t="str">
        <x:v>pass</x:v>
      </x:c>
      <x:c r="O405" s="4" t="str">
        <x:v>B</x:v>
      </x:c>
      <x:c r="P405" s="4" t="str">
        <x:v>是</x:v>
      </x:c>
      <x:c r="Q405" s="17" t="n">
        <x:v>412500</x:v>
      </x:c>
      <x:c r="R405" s="16" t="n">
        <x:v>2024</x:v>
      </x:c>
      <x:c r="S405" s="4" t="str">
        <x:v>【示意】新上市供給，非完工；獨立來源1；來源B級</x:v>
      </x:c>
      <x:c r="T405" s="4" t="str">
        <x:v>示意</x:v>
      </x:c>
      <x:c r="U405" s="16" t="n">
        <x:v>1</x:v>
      </x:c>
      <x:c r="V405" s="4" t="str">
        <x:v>低</x:v>
      </x:c>
      <x:c r="W405" s="4" t="str">
        <x:v>PDF P6：七城市 launches412500、sales459600、sales年減4%；P7文字與2024相符，非全國完工。</x:v>
      </x:c>
      <x:c r="X405" s="4" t="str">
        <x:v>依整合協議第4條：單一獨立来源，整合信心低；通過表示網頁數字相符，不代表已完成三角驗證。</x:v>
      </x:c>
      <x:c r="Y405" s="37" t="d">
        <x:v>2026-10-09T00:00:00.000Z</x:v>
      </x:c>
      <x:c r="Z405" s="4" t="str">
        <x:v>turn229view4</x:v>
      </x:c>
    </x:row>
    <x:row r="406" ht="38" customHeight="1">
      <x:c r="A406" s="4" t="str">
        <x:v>M0405</x:v>
      </x:c>
      <x:c r="B406" s="4" t="str">
        <x:v>IN</x:v>
      </x:c>
      <x:c r="C406" s="4" t="str">
        <x:v>七大城市住宅銷售年增</x:v>
      </x:c>
      <x:c r="D406" s="17" t="n">
        <x:v>-4</x:v>
      </x:c>
      <x:c r="E406" s="4" t="str">
        <x:v>%</x:v>
      </x:c>
      <x:c r="F406" s="16" t="n">
        <x:v>2024</x:v>
      </x:c>
      <x:c r="G406" s="4" t="str">
        <x:v>新案市場樣本；四捨五入</x:v>
      </x:c>
      <x:c r="H406" s="4" t="str">
        <x:v>IN03</x:v>
      </x:c>
      <x:c r="I406" s="4" t="str">
        <x:v>https://websitemedia.anarock.com/media/ANAROCK_Research_Indian_Residential_Market_Annual_Update_2024_3b5aa5b04d.pdf</x:v>
      </x:c>
      <x:c r="J406" s="4" t="str">
        <x:v>是</x:v>
      </x:c>
      <x:c r="K406" s="4" t="str">
        <x:v>是</x:v>
      </x:c>
      <x:c r="L406" s="4" t="str">
        <x:v>是</x:v>
      </x:c>
      <x:c r="M406" s="4" t="str">
        <x:v>是</x:v>
      </x:c>
      <x:c r="N406" s="4" t="str">
        <x:v>pass</x:v>
      </x:c>
      <x:c r="O406" s="4" t="str">
        <x:v>B</x:v>
      </x:c>
      <x:c r="P406" s="4" t="str">
        <x:v>是</x:v>
      </x:c>
      <x:c r="Q406" s="17" t="n">
        <x:v>-4</x:v>
      </x:c>
      <x:c r="R406" s="16" t="n">
        <x:v>2024</x:v>
      </x:c>
      <x:c r="S406" s="4" t="str">
        <x:v>【示意】新案市場樣本；四捨五入；獨立來源1；來源B級</x:v>
      </x:c>
      <x:c r="T406" s="4" t="str">
        <x:v>示意</x:v>
      </x:c>
      <x:c r="U406" s="16" t="n">
        <x:v>1</x:v>
      </x:c>
      <x:c r="V406" s="4" t="str">
        <x:v>低</x:v>
      </x:c>
      <x:c r="W406" s="4" t="str">
        <x:v>PDF P6：七城市 launches412500、sales459600、sales年減4%；P7文字與2024相符，非全國完工。</x:v>
      </x:c>
      <x:c r="X406" s="4" t="str">
        <x:v>依整合協議第4條：單一獨立来源，整合信心低；通過表示網頁數字相符，不代表已完成三角驗證。</x:v>
      </x:c>
      <x:c r="Y406" s="37" t="d">
        <x:v>2026-10-09T00:00:00.000Z</x:v>
      </x:c>
      <x:c r="Z406" s="4" t="str">
        <x:v>turn229view4</x:v>
      </x:c>
    </x:row>
    <x:row r="407" ht="38" customHeight="1">
      <x:c r="A407" s="4" t="str">
        <x:v>M0406</x:v>
      </x:c>
      <x:c r="B407" s="4" t="str">
        <x:v>IN</x:v>
      </x:c>
      <x:c r="C407" s="4" t="str">
        <x:v>Livspace兩房基本預算</x:v>
      </x:c>
      <x:c r="D407" s="17" t="n">
        <x:v>1059000</x:v>
      </x:c>
      <x:c r="E407" s="4" t="str">
        <x:v>INR/案</x:v>
      </x:c>
      <x:c r="F407" s="16" t="n">
        <x:v>2026</x:v>
      </x:c>
      <x:c r="G407" s="4" t="str">
        <x:v>2BHK Essentials廠商示意，面積未一致，非全國均價</x:v>
      </x:c>
      <x:c r="H407" s="4" t="str">
        <x:v>IN04</x:v>
      </x:c>
      <x:c r="I407" s="4" t="str">
        <x:v>https://www.livspace.com/in/magazine/how-much-does-an-interior-designer-charge</x:v>
      </x:c>
      <x:c r="J407" s="4" t="str">
        <x:v>是</x:v>
      </x:c>
      <x:c r="K407" s="4" t="str">
        <x:v>是</x:v>
      </x:c>
      <x:c r="L407" s="4" t="str">
        <x:v>是</x:v>
      </x:c>
      <x:c r="M407" s="4" t="str">
        <x:v>是</x:v>
      </x:c>
      <x:c r="N407" s="4" t="str">
        <x:v>pass</x:v>
      </x:c>
      <x:c r="O407" s="4" t="str">
        <x:v>C</x:v>
      </x:c>
      <x:c r="P407" s="4" t="str">
        <x:v>是</x:v>
      </x:c>
      <x:c r="Q407" s="17" t="n">
        <x:v>1059000</x:v>
      </x:c>
      <x:c r="R407" s="16" t="n">
        <x:v>2026</x:v>
      </x:c>
      <x:c r="S407" s="4" t="str">
        <x:v>【示意】2BHK Essentials廠商示意，面積未一致，非全國均價；獨立來源1；來源C級</x:v>
      </x:c>
      <x:c r="T407" s="4" t="str">
        <x:v>示意</x:v>
      </x:c>
      <x:c r="U407" s="16" t="n">
        <x:v>1</x:v>
      </x:c>
      <x:c r="V407" s="4" t="str">
        <x:v>低</x:v>
      </x:c>
      <x:c r="W407" s="4" t="str">
        <x:v>2026頁面 2BHK 總額表：Essentials1059000、Premium1368000、Luxe1919000 INR；未提供統一面積。</x:v>
      </x:c>
      <x:c r="X407" s="4" t="str">
        <x:v>依整合協議第4條：單一獨立来源，整合信心低；通過表示網頁數字相符，不代表已完成三角驗證。</x:v>
      </x:c>
      <x:c r="Y407" s="37" t="d">
        <x:v>2026-10-09T00:00:00.000Z</x:v>
      </x:c>
      <x:c r="Z407" s="4" t="str">
        <x:v>turn216view8</x:v>
      </x:c>
    </x:row>
    <x:row r="408" ht="38" customHeight="1">
      <x:c r="A408" s="4" t="str">
        <x:v>M0407</x:v>
      </x:c>
      <x:c r="B408" s="4" t="str">
        <x:v>IN</x:v>
      </x:c>
      <x:c r="C408" s="4" t="str">
        <x:v>Livspace兩房中階預算</x:v>
      </x:c>
      <x:c r="D408" s="17" t="n">
        <x:v>1368000</x:v>
      </x:c>
      <x:c r="E408" s="4" t="str">
        <x:v>INR/案</x:v>
      </x:c>
      <x:c r="F408" s="16" t="n">
        <x:v>2026</x:v>
      </x:c>
      <x:c r="G408" s="4" t="str">
        <x:v>2BHK Premium廠商示意</x:v>
      </x:c>
      <x:c r="H408" s="4" t="str">
        <x:v>IN04</x:v>
      </x:c>
      <x:c r="I408" s="4" t="str">
        <x:v>https://www.livspace.com/in/magazine/how-much-does-an-interior-designer-charge</x:v>
      </x:c>
      <x:c r="J408" s="4" t="str">
        <x:v>是</x:v>
      </x:c>
      <x:c r="K408" s="4" t="str">
        <x:v>是</x:v>
      </x:c>
      <x:c r="L408" s="4" t="str">
        <x:v>是</x:v>
      </x:c>
      <x:c r="M408" s="4" t="str">
        <x:v>是</x:v>
      </x:c>
      <x:c r="N408" s="4" t="str">
        <x:v>pass</x:v>
      </x:c>
      <x:c r="O408" s="4" t="str">
        <x:v>C</x:v>
      </x:c>
      <x:c r="P408" s="4" t="str">
        <x:v>是</x:v>
      </x:c>
      <x:c r="Q408" s="17" t="n">
        <x:v>1368000</x:v>
      </x:c>
      <x:c r="R408" s="16" t="n">
        <x:v>2026</x:v>
      </x:c>
      <x:c r="S408" s="4" t="str">
        <x:v>【示意】2BHK Premium廠商示意；獨立來源1；來源C級</x:v>
      </x:c>
      <x:c r="T408" s="4" t="str">
        <x:v>示意</x:v>
      </x:c>
      <x:c r="U408" s="16" t="n">
        <x:v>1</x:v>
      </x:c>
      <x:c r="V408" s="4" t="str">
        <x:v>低</x:v>
      </x:c>
      <x:c r="W408" s="4" t="str">
        <x:v>2026頁面 2BHK 總額表：Essentials1059000、Premium1368000、Luxe1919000 INR；未提供統一面積。</x:v>
      </x:c>
      <x:c r="X408" s="4" t="str">
        <x:v>依整合協議第4條：單一獨立来源，整合信心低；通過表示網頁數字相符，不代表已完成三角驗證。</x:v>
      </x:c>
      <x:c r="Y408" s="37" t="d">
        <x:v>2026-10-09T00:00:00.000Z</x:v>
      </x:c>
      <x:c r="Z408" s="4" t="str">
        <x:v>turn216view8</x:v>
      </x:c>
    </x:row>
    <x:row r="409" ht="38" customHeight="1">
      <x:c r="A409" s="4" t="str">
        <x:v>M0408</x:v>
      </x:c>
      <x:c r="B409" s="4" t="str">
        <x:v>IN</x:v>
      </x:c>
      <x:c r="C409" s="4" t="str">
        <x:v>Livspace兩房高階預算</x:v>
      </x:c>
      <x:c r="D409" s="17" t="n">
        <x:v>1919000</x:v>
      </x:c>
      <x:c r="E409" s="4" t="str">
        <x:v>INR/案</x:v>
      </x:c>
      <x:c r="F409" s="16" t="n">
        <x:v>2026</x:v>
      </x:c>
      <x:c r="G409" s="4" t="str">
        <x:v>2BHK Luxe廠商示意</x:v>
      </x:c>
      <x:c r="H409" s="4" t="str">
        <x:v>IN04</x:v>
      </x:c>
      <x:c r="I409" s="4" t="str">
        <x:v>https://www.livspace.com/in/magazine/how-much-does-an-interior-designer-charge</x:v>
      </x:c>
      <x:c r="J409" s="4" t="str">
        <x:v>是</x:v>
      </x:c>
      <x:c r="K409" s="4" t="str">
        <x:v>是</x:v>
      </x:c>
      <x:c r="L409" s="4" t="str">
        <x:v>是</x:v>
      </x:c>
      <x:c r="M409" s="4" t="str">
        <x:v>是</x:v>
      </x:c>
      <x:c r="N409" s="4" t="str">
        <x:v>pass</x:v>
      </x:c>
      <x:c r="O409" s="4" t="str">
        <x:v>C</x:v>
      </x:c>
      <x:c r="P409" s="4" t="str">
        <x:v>是</x:v>
      </x:c>
      <x:c r="Q409" s="17" t="n">
        <x:v>1919000</x:v>
      </x:c>
      <x:c r="R409" s="16" t="n">
        <x:v>2026</x:v>
      </x:c>
      <x:c r="S409" s="4" t="str">
        <x:v>【示意】2BHK Luxe廠商示意；獨立來源1；來源C級</x:v>
      </x:c>
      <x:c r="T409" s="4" t="str">
        <x:v>示意</x:v>
      </x:c>
      <x:c r="U409" s="16" t="n">
        <x:v>1</x:v>
      </x:c>
      <x:c r="V409" s="4" t="str">
        <x:v>低</x:v>
      </x:c>
      <x:c r="W409" s="4" t="str">
        <x:v>2026頁面 2BHK 總額表：Essentials1059000、Premium1368000、Luxe1919000 INR；未提供統一面積。</x:v>
      </x:c>
      <x:c r="X409" s="4" t="str">
        <x:v>依整合協議第4條：單一獨立来源，整合信心低；通過表示網頁數字相符，不代表已完成三角驗證。</x:v>
      </x:c>
      <x:c r="Y409" s="37" t="d">
        <x:v>2026-10-09T00:00:00.000Z</x:v>
      </x:c>
      <x:c r="Z409" s="4" t="str">
        <x:v>turn216view8</x:v>
      </x:c>
    </x:row>
    <x:row r="410" ht="38" customHeight="1">
      <x:c r="A410" s="4" t="str">
        <x:v>M0409</x:v>
      </x:c>
      <x:c r="B410" s="4" t="str">
        <x:v>IN</x:v>
      </x:c>
      <x:c r="C410" s="4" t="str">
        <x:v>HomeLane標準交付承諾</x:v>
      </x:c>
      <x:c r="D410" s="17" t="n">
        <x:v>45</x:v>
      </x:c>
      <x:c r="E410" s="4" t="str">
        <x:v>天</x:v>
      </x:c>
      <x:c r="F410" s="16" t="str">
        <x:v>2026存取</x:v>
      </x:c>
      <x:c r="G410" s="4" t="str">
        <x:v>All-Set-Go後標準範圍；土建拆除等排除</x:v>
      </x:c>
      <x:c r="H410" s="4" t="str">
        <x:v>IN05</x:v>
      </x:c>
      <x:c r="I410" s="4" t="str">
        <x:v>https://www.homelane.com/homelane-terms-conditions</x:v>
      </x:c>
      <x:c r="J410" s="4" t="str">
        <x:v>是</x:v>
      </x:c>
      <x:c r="K410" s="4" t="str">
        <x:v>是</x:v>
      </x:c>
      <x:c r="L410" s="4" t="str">
        <x:v>是</x:v>
      </x:c>
      <x:c r="M410" s="4" t="str">
        <x:v>是</x:v>
      </x:c>
      <x:c r="N410" s="4" t="str">
        <x:v>pass</x:v>
      </x:c>
      <x:c r="O410" s="4" t="str">
        <x:v>C</x:v>
      </x:c>
      <x:c r="P410" s="4" t="str">
        <x:v>是</x:v>
      </x:c>
      <x:c r="Q410" s="17" t="n">
        <x:v>45</x:v>
      </x:c>
      <x:c r="R410" s="16" t="str">
        <x:v>2026存取</x:v>
      </x:c>
      <x:c r="S410" s="4" t="str">
        <x:v>【示意】All-Set-Go後標準範圍；土建拆除等排除；獨立來源1；來源C級</x:v>
      </x:c>
      <x:c r="T410" s="4" t="str">
        <x:v>示意</x:v>
      </x:c>
      <x:c r="U410" s="16" t="n">
        <x:v>1</x:v>
      </x:c>
      <x:c r="V410" s="4" t="str">
        <x:v>低</x:v>
      </x:c>
      <x:c r="W410" s="4" t="str">
        <x:v>L184 每日延遲補償 INR1000 有上限；L187 Type A 45天，L177–183設計核准、合約與付款前提；多項施工不保證。</x:v>
      </x:c>
      <x:c r="X410" s="4" t="str">
        <x:v>依整合協議第4條：單一獨立来源，整合信心低；通過表示網頁數字相符，不代表已完成三角驗證。</x:v>
      </x:c>
      <x:c r="Y410" s="37" t="d">
        <x:v>2026-10-09T00:00:00.000Z</x:v>
      </x:c>
      <x:c r="Z410" s="4" t="str">
        <x:v>turn229view5</x:v>
      </x:c>
    </x:row>
    <x:row r="411" ht="38" customHeight="1">
      <x:c r="A411" s="4" t="str">
        <x:v>M0410</x:v>
      </x:c>
      <x:c r="B411" s="4" t="str">
        <x:v>IN</x:v>
      </x:c>
      <x:c r="C411" s="4" t="str">
        <x:v>HomeLane有條件延遲補償</x:v>
      </x:c>
      <x:c r="D411" s="17" t="n">
        <x:v>1000</x:v>
      </x:c>
      <x:c r="E411" s="4" t="str">
        <x:v>INR/日</x:v>
      </x:c>
      <x:c r="F411" s="16" t="str">
        <x:v>2026存取</x:v>
      </x:c>
      <x:c r="G411" s="4" t="str">
        <x:v>合約有上限、前提與例外</x:v>
      </x:c>
      <x:c r="H411" s="4" t="str">
        <x:v>IN05</x:v>
      </x:c>
      <x:c r="I411" s="4" t="str">
        <x:v>https://www.homelane.com/homelane-terms-conditions</x:v>
      </x:c>
      <x:c r="J411" s="4" t="str">
        <x:v>是</x:v>
      </x:c>
      <x:c r="K411" s="4" t="str">
        <x:v>是</x:v>
      </x:c>
      <x:c r="L411" s="4" t="str">
        <x:v>是</x:v>
      </x:c>
      <x:c r="M411" s="4" t="str">
        <x:v>是</x:v>
      </x:c>
      <x:c r="N411" s="4" t="str">
        <x:v>pass</x:v>
      </x:c>
      <x:c r="O411" s="4" t="str">
        <x:v>C</x:v>
      </x:c>
      <x:c r="P411" s="4" t="str">
        <x:v>是</x:v>
      </x:c>
      <x:c r="Q411" s="17" t="n">
        <x:v>1000</x:v>
      </x:c>
      <x:c r="R411" s="16" t="str">
        <x:v>2026存取</x:v>
      </x:c>
      <x:c r="S411" s="4" t="str">
        <x:v>【示意】合約有上限、前提與例外；獨立來源1；來源C級</x:v>
      </x:c>
      <x:c r="T411" s="4" t="str">
        <x:v>示意</x:v>
      </x:c>
      <x:c r="U411" s="16" t="n">
        <x:v>1</x:v>
      </x:c>
      <x:c r="V411" s="4" t="str">
        <x:v>低</x:v>
      </x:c>
      <x:c r="W411" s="4" t="str">
        <x:v>L184 每日延遲補償 INR1000 有上限；L187 Type A 45天，L177–183設計核准、合約與付款前提；多項施工不保證。</x:v>
      </x:c>
      <x:c r="X411" s="4" t="str">
        <x:v>依整合協議第4條：單一獨立来源，整合信心低；通過表示網頁數字相符，不代表已完成三角驗證。</x:v>
      </x:c>
      <x:c r="Y411" s="37" t="d">
        <x:v>2026-10-09T00:00:00.000Z</x:v>
      </x:c>
      <x:c r="Z411" s="4" t="str">
        <x:v>turn229view5</x:v>
      </x:c>
    </x:row>
    <x:row r="412" ht="52" customHeight="1">
      <x:c r="A412" s="4" t="str">
        <x:v>M0411</x:v>
      </x:c>
      <x:c r="B412" s="4" t="str">
        <x:v>IN</x:v>
      </x:c>
      <x:c r="C412" s="4" t="str">
        <x:v>Livspace營收</x:v>
      </x:c>
      <x:c r="D412" s="19" t="n">
        <x:v>14.6</x:v>
      </x:c>
      <x:c r="E412" s="4" t="str">
        <x:v>INR billion</x:v>
      </x:c>
      <x:c r="F412" s="16" t="str">
        <x:v>FY25</x:v>
      </x:c>
      <x:c r="G412" s="4" t="str">
        <x:v>公司透過媒體發布，集團含境外不可全算印度</x:v>
      </x:c>
      <x:c r="H412" s="4" t="str">
        <x:v>IN06</x:v>
      </x:c>
      <x:c r="I412" s="4" t="str">
        <x:v>https://economictimes.indiatimes.com/tech/startups/homedecor-startup-livspaces-fy25-revenue-rises-23-to-rs-1460-crore/articleshow/124520597.cms?from=mdr</x:v>
      </x:c>
      <x:c r="J412" s="4" t="str">
        <x:v>是</x:v>
      </x:c>
      <x:c r="K412" s="4" t="str">
        <x:v>是</x:v>
      </x:c>
      <x:c r="L412" s="4" t="str">
        <x:v>是</x:v>
      </x:c>
      <x:c r="M412" s="4" t="str">
        <x:v>是</x:v>
      </x:c>
      <x:c r="N412" s="4" t="str">
        <x:v>pass</x:v>
      </x:c>
      <x:c r="O412" s="4" t="str">
        <x:v>B</x:v>
      </x:c>
      <x:c r="P412" s="4" t="str">
        <x:v>是</x:v>
      </x:c>
      <x:c r="Q412" s="19" t="n">
        <x:v>14.6</x:v>
      </x:c>
      <x:c r="R412" s="16" t="str">
        <x:v>FY25</x:v>
      </x:c>
      <x:c r="S412" s="4" t="str">
        <x:v>【示意】公司透過媒體發布，集團含境外不可全算印度；獨立來源1；來源B級</x:v>
      </x:c>
      <x:c r="T412" s="4" t="str">
        <x:v>示意</x:v>
      </x:c>
      <x:c r="U412" s="16" t="n">
        <x:v>1</x:v>
      </x:c>
      <x:c r="V412" s="4" t="str">
        <x:v>低</x:v>
      </x:c>
      <x:c r="W412" s="4" t="str">
        <x:v>FY25：營收1460 crore、毛利752 crore／51.5%、調整EBITDA before ESOP虧損131 crore；虧損以-1.31 INR十億存值。</x:v>
      </x:c>
      <x:c r="X412" s="4" t="str">
        <x:v>依整合協議第4條：單一獨立来源，整合信心低；通過表示網頁數字相符，不代表已完成三角驗證。</x:v>
      </x:c>
      <x:c r="Y412" s="37" t="d">
        <x:v>2026-10-09T00:00:00.000Z</x:v>
      </x:c>
      <x:c r="Z412" s="4" t="str">
        <x:v>turn234view2</x:v>
      </x:c>
    </x:row>
    <x:row r="413" ht="52" customHeight="1">
      <x:c r="A413" s="4" t="str">
        <x:v>M0412</x:v>
      </x:c>
      <x:c r="B413" s="4" t="str">
        <x:v>IN</x:v>
      </x:c>
      <x:c r="C413" s="4" t="str">
        <x:v>Livspace毛利率</x:v>
      </x:c>
      <x:c r="D413" s="19" t="n">
        <x:v>51.5</x:v>
      </x:c>
      <x:c r="E413" s="4" t="str">
        <x:v>%</x:v>
      </x:c>
      <x:c r="F413" s="16" t="str">
        <x:v>FY25</x:v>
      </x:c>
      <x:c r="G413" s="4" t="str">
        <x:v>公司自報口徑；非每案工程毛利</x:v>
      </x:c>
      <x:c r="H413" s="4" t="str">
        <x:v>IN06</x:v>
      </x:c>
      <x:c r="I413" s="4" t="str">
        <x:v>https://economictimes.indiatimes.com/tech/startups/homedecor-startup-livspaces-fy25-revenue-rises-23-to-rs-1460-crore/articleshow/124520597.cms?from=mdr</x:v>
      </x:c>
      <x:c r="J413" s="4" t="str">
        <x:v>是</x:v>
      </x:c>
      <x:c r="K413" s="4" t="str">
        <x:v>是</x:v>
      </x:c>
      <x:c r="L413" s="4" t="str">
        <x:v>是</x:v>
      </x:c>
      <x:c r="M413" s="4" t="str">
        <x:v>是</x:v>
      </x:c>
      <x:c r="N413" s="4" t="str">
        <x:v>pass</x:v>
      </x:c>
      <x:c r="O413" s="4" t="str">
        <x:v>B</x:v>
      </x:c>
      <x:c r="P413" s="4" t="str">
        <x:v>是</x:v>
      </x:c>
      <x:c r="Q413" s="19" t="n">
        <x:v>51.5</x:v>
      </x:c>
      <x:c r="R413" s="16" t="str">
        <x:v>FY25</x:v>
      </x:c>
      <x:c r="S413" s="4" t="str">
        <x:v>【示意】公司自報口徑；非每案工程毛利；獨立來源1；來源B級</x:v>
      </x:c>
      <x:c r="T413" s="4" t="str">
        <x:v>示意</x:v>
      </x:c>
      <x:c r="U413" s="16" t="n">
        <x:v>1</x:v>
      </x:c>
      <x:c r="V413" s="4" t="str">
        <x:v>低</x:v>
      </x:c>
      <x:c r="W413" s="4" t="str">
        <x:v>FY25：營收1460 crore、毛利752 crore／51.5%、調整EBITDA before ESOP虧損131 crore；虧損以-1.31 INR十億存值。</x:v>
      </x:c>
      <x:c r="X413" s="4" t="str">
        <x:v>依整合協議第4條：單一獨立来源，整合信心低；通過表示網頁數字相符，不代表已完成三角驗證。</x:v>
      </x:c>
      <x:c r="Y413" s="37" t="d">
        <x:v>2026-10-09T00:00:00.000Z</x:v>
      </x:c>
      <x:c r="Z413" s="4" t="str">
        <x:v>turn234view2</x:v>
      </x:c>
    </x:row>
    <x:row r="414" ht="52" customHeight="1">
      <x:c r="A414" s="4" t="str">
        <x:v>M0413</x:v>
      </x:c>
      <x:c r="B414" s="4" t="str">
        <x:v>IN</x:v>
      </x:c>
      <x:c r="C414" s="4" t="str">
        <x:v>Livspace毛利</x:v>
      </x:c>
      <x:c r="D414" s="18" t="n">
        <x:v>7.52</x:v>
      </x:c>
      <x:c r="E414" s="4" t="str">
        <x:v>INR billion</x:v>
      </x:c>
      <x:c r="F414" s="16" t="str">
        <x:v>FY25</x:v>
      </x:c>
      <x:c r="G414" s="4" t="str">
        <x:v>公司自報gross profit</x:v>
      </x:c>
      <x:c r="H414" s="4" t="str">
        <x:v>IN06</x:v>
      </x:c>
      <x:c r="I414" s="4" t="str">
        <x:v>https://economictimes.indiatimes.com/tech/startups/homedecor-startup-livspaces-fy25-revenue-rises-23-to-rs-1460-crore/articleshow/124520597.cms?from=mdr</x:v>
      </x:c>
      <x:c r="J414" s="4" t="str">
        <x:v>是</x:v>
      </x:c>
      <x:c r="K414" s="4" t="str">
        <x:v>是</x:v>
      </x:c>
      <x:c r="L414" s="4" t="str">
        <x:v>是</x:v>
      </x:c>
      <x:c r="M414" s="4" t="str">
        <x:v>是</x:v>
      </x:c>
      <x:c r="N414" s="4" t="str">
        <x:v>pass</x:v>
      </x:c>
      <x:c r="O414" s="4" t="str">
        <x:v>B</x:v>
      </x:c>
      <x:c r="P414" s="4" t="str">
        <x:v>是</x:v>
      </x:c>
      <x:c r="Q414" s="18" t="n">
        <x:v>7.52</x:v>
      </x:c>
      <x:c r="R414" s="16" t="str">
        <x:v>FY25</x:v>
      </x:c>
      <x:c r="S414" s="4" t="str">
        <x:v>【示意】公司自報gross profit；獨立來源1；來源B級</x:v>
      </x:c>
      <x:c r="T414" s="4" t="str">
        <x:v>示意</x:v>
      </x:c>
      <x:c r="U414" s="16" t="n">
        <x:v>1</x:v>
      </x:c>
      <x:c r="V414" s="4" t="str">
        <x:v>低</x:v>
      </x:c>
      <x:c r="W414" s="4" t="str">
        <x:v>FY25：營收1460 crore、毛利752 crore／51.5%、調整EBITDA before ESOP虧損131 crore；虧損以-1.31 INR十億存值。</x:v>
      </x:c>
      <x:c r="X414" s="4" t="str">
        <x:v>依整合協議第4條：單一獨立来源，整合信心低；通過表示網頁數字相符，不代表已完成三角驗證。</x:v>
      </x:c>
      <x:c r="Y414" s="37" t="d">
        <x:v>2026-10-09T00:00:00.000Z</x:v>
      </x:c>
      <x:c r="Z414" s="4" t="str">
        <x:v>turn234view2</x:v>
      </x:c>
    </x:row>
    <x:row r="415" ht="52" customHeight="1">
      <x:c r="A415" s="4" t="str">
        <x:v>M0414</x:v>
      </x:c>
      <x:c r="B415" s="4" t="str">
        <x:v>IN</x:v>
      </x:c>
      <x:c r="C415" s="4" t="str">
        <x:v>Livspace調整EBITDA虧損</x:v>
      </x:c>
      <x:c r="D415" s="18" t="n">
        <x:v>-1.31</x:v>
      </x:c>
      <x:c r="E415" s="4" t="str">
        <x:v>INR billion</x:v>
      </x:c>
      <x:c r="F415" s="16" t="str">
        <x:v>FY25</x:v>
      </x:c>
      <x:c r="G415" s="4" t="str">
        <x:v>排除ESOP等調整，非淨虧損；損益符號統一：虧損記負數</x:v>
      </x:c>
      <x:c r="H415" s="4" t="str">
        <x:v>IN06</x:v>
      </x:c>
      <x:c r="I415" s="4" t="str">
        <x:v>https://economictimes.indiatimes.com/tech/startups/homedecor-startup-livspaces-fy25-revenue-rises-23-to-rs-1460-crore/articleshow/124520597.cms?from=mdr</x:v>
      </x:c>
      <x:c r="J415" s="4" t="str">
        <x:v>是</x:v>
      </x:c>
      <x:c r="K415" s="4" t="str">
        <x:v>是</x:v>
      </x:c>
      <x:c r="L415" s="4" t="str">
        <x:v>是</x:v>
      </x:c>
      <x:c r="M415" s="4" t="str">
        <x:v>是</x:v>
      </x:c>
      <x:c r="N415" s="4" t="str">
        <x:v>pass</x:v>
      </x:c>
      <x:c r="O415" s="4" t="str">
        <x:v>B</x:v>
      </x:c>
      <x:c r="P415" s="4" t="str">
        <x:v>是</x:v>
      </x:c>
      <x:c r="Q415" s="18" t="n">
        <x:v>-1.31</x:v>
      </x:c>
      <x:c r="R415" s="16" t="str">
        <x:v>FY25</x:v>
      </x:c>
      <x:c r="S415" s="4" t="str">
        <x:v>【示意】排除ESOP等調整，非淨虧損；損益符號統一：虧損記負數；獨立來源1；來源B級</x:v>
      </x:c>
      <x:c r="T415" s="4" t="str">
        <x:v>示意</x:v>
      </x:c>
      <x:c r="U415" s="16" t="n">
        <x:v>1</x:v>
      </x:c>
      <x:c r="V415" s="4" t="str">
        <x:v>低</x:v>
      </x:c>
      <x:c r="W415" s="4" t="str">
        <x:v>FY25：營收1460 crore、毛利752 crore／51.5%、調整EBITDA before ESOP虧損131 crore；虧損以-1.31 INR十億存值。</x:v>
      </x:c>
      <x:c r="X415" s="4" t="str">
        <x:v>依整合協議第4條：單一獨立来源，整合信心低；通過表示網頁數字相符，不代表已完成三角驗證。</x:v>
      </x:c>
      <x:c r="Y415" s="37" t="d">
        <x:v>2026-10-09T00:00:00.000Z</x:v>
      </x:c>
      <x:c r="Z415" s="4" t="str">
        <x:v>turn234view2</x:v>
      </x:c>
    </x:row>
    <x:row r="416" ht="52" customHeight="1">
      <x:c r="A416" s="4" t="str">
        <x:v>M0415</x:v>
      </x:c>
      <x:c r="B416" s="4" t="str">
        <x:v>IN</x:v>
      </x:c>
      <x:c r="C416" s="4" t="str">
        <x:v>HomeLane併購同時募資</x:v>
      </x:c>
      <x:c r="D416" s="18" t="n">
        <x:v>2.25</x:v>
      </x:c>
      <x:c r="E416" s="4" t="str">
        <x:v>INR billion</x:v>
      </x:c>
      <x:c r="F416" s="16" t="n">
        <x:v>2024</x:v>
      </x:c>
      <x:c r="G416" s="4" t="str">
        <x:v>225 crore；募資不是營收</x:v>
      </x:c>
      <x:c r="H416" s="4" t="str">
        <x:v>IN07</x:v>
      </x:c>
      <x:c r="I416" s="4" t="str">
        <x:v>https://www.linkedin.com/posts/homelane_growth-acquisition-homeinteriors-activity-7249658945546428416-Bt0D</x:v>
      </x:c>
      <x:c r="J416" s="4" t="str">
        <x:v>是</x:v>
      </x:c>
      <x:c r="K416" s="4" t="str">
        <x:v>是</x:v>
      </x:c>
      <x:c r="L416" s="4" t="str">
        <x:v>未確認</x:v>
      </x:c>
      <x:c r="M416" s="4" t="str">
        <x:v>是</x:v>
      </x:c>
      <x:c r="N416" s="4" t="str">
        <x:v>partial</x:v>
      </x:c>
      <x:c r="O416" s="4" t="str">
        <x:v>C</x:v>
      </x:c>
      <x:c r="P416" s="4" t="str">
        <x:v>是</x:v>
      </x:c>
      <x:c r="Q416" s="18" t="n">
        <x:v>2.25</x:v>
      </x:c>
      <x:c r="R416" s="16" t="n">
        <x:v>2024</x:v>
      </x:c>
      <x:c r="S416" s="4" t="str">
        <x:v>【示意】225 crore；募資不是營收；獨立來源1；來源C級；查核限制：公司公告文字225 crore；頁面日期顯示2y，未提供絕對發布日期，交易律師2024公告支持事件年度但非該數值雙源。</x:v>
      </x:c>
      <x:c r="T416" s="4" t="str">
        <x:v>示意</x:v>
      </x:c>
      <x:c r="U416" s="16" t="n">
        <x:v>1</x:v>
      </x:c>
      <x:c r="V416" s="4" t="str">
        <x:v>低</x:v>
      </x:c>
      <x:c r="W416" s="4" t="str">
        <x:v>公司公告文字225 crore；頁面日期顯示2y，未提供絕對發布日期，交易律師2024公告支持事件年度但非該數值雙源。</x:v>
      </x:c>
      <x:c r="X416" s="4" t="str">
        <x:v>依整合協議第4條：單一獨立来源，整合信心低；通過表示網頁數字相符，不代表已完成三角驗證。 LinkedIn絕對日期未顯示；2024交易時點由IN08旁證，但225crore仍僅一獨立數源。</x:v>
      </x:c>
      <x:c r="Y416" s="37" t="d">
        <x:v>2026-10-09T00:00:00.000Z</x:v>
      </x:c>
      <x:c r="Z416" s="4" t="str">
        <x:v>turn229view1</x:v>
      </x:c>
    </x:row>
    <x:row r="417" ht="52" customHeight="1">
      <x:c r="A417" s="4" t="str">
        <x:v>M0416</x:v>
      </x:c>
      <x:c r="B417" s="4" t="str">
        <x:v>IN</x:v>
      </x:c>
      <x:c r="C417" s="4" t="str">
        <x:v>HomeLane與DesignCafe合併估值</x:v>
      </x:c>
      <x:c r="D417" s="17" t="n">
        <x:v>30</x:v>
      </x:c>
      <x:c r="E417" s="4" t="str">
        <x:v>INR billion</x:v>
      </x:c>
      <x:c r="F417" s="16" t="n">
        <x:v>2024</x:v>
      </x:c>
      <x:c r="G417" s="4" t="str">
        <x:v>法律顧問發布約3000 crore估值，非收購現金對價</x:v>
      </x:c>
      <x:c r="H417" s="4" t="str">
        <x:v>IN08</x:v>
      </x:c>
      <x:c r="I417" s="4" t="str">
        <x:v>https://www.mondaq.com/pressrelease/154532/homelane-acquires-designcafe-raises-primary-funds-from-an-investor-club-consisting-of-hero-enterprise-claypond-capital-partners-westbridge-and-others</x:v>
      </x:c>
      <x:c r="J417" s="4" t="str">
        <x:v>是</x:v>
      </x:c>
      <x:c r="K417" s="4" t="str">
        <x:v>是</x:v>
      </x:c>
      <x:c r="L417" s="4" t="str">
        <x:v>是</x:v>
      </x:c>
      <x:c r="M417" s="4" t="str">
        <x:v>是</x:v>
      </x:c>
      <x:c r="N417" s="4" t="str">
        <x:v>pass</x:v>
      </x:c>
      <x:c r="O417" s="4" t="str">
        <x:v>C</x:v>
      </x:c>
      <x:c r="P417" s="4" t="str">
        <x:v>是</x:v>
      </x:c>
      <x:c r="Q417" s="17" t="n">
        <x:v>30</x:v>
      </x:c>
      <x:c r="R417" s="16" t="n">
        <x:v>2024</x:v>
      </x:c>
      <x:c r="S417" s="4" t="str">
        <x:v>【示意】法律顧問發布約3000 crore估值，非收購現金對價；獨立來源1；來源C級</x:v>
      </x:c>
      <x:c r="T417" s="4" t="str">
        <x:v>示意</x:v>
      </x:c>
      <x:c r="U417" s="16" t="n">
        <x:v>1</x:v>
      </x:c>
      <x:c r="V417" s="4" t="str">
        <x:v>低</x:v>
      </x:c>
      <x:c r="W417" s="4" t="str">
        <x:v>2024-12-18公告：合併估值約3000 crore；取得多數股權，未来全購承諾，估值非對價。</x:v>
      </x:c>
      <x:c r="X417" s="4" t="str">
        <x:v>依整合協議第4條：單一獨立来源，整合信心低；通過表示網頁數字相符，不代表已完成三角驗證。</x:v>
      </x:c>
      <x:c r="Y417" s="37" t="d">
        <x:v>2026-10-09T00:00:00.000Z</x:v>
      </x:c>
      <x:c r="Z417" s="4" t="str">
        <x:v>turn247view0</x:v>
      </x:c>
    </x:row>
    <x:row r="418" ht="38" customHeight="1">
      <x:c r="A418" s="4" t="str">
        <x:v>M0417</x:v>
      </x:c>
      <x:c r="B418" s="4" t="str">
        <x:v>IN</x:v>
      </x:c>
      <x:c r="C418" s="4" t="str">
        <x:v>Livspace Series F募資</x:v>
      </x:c>
      <x:c r="D418" s="17" t="n">
        <x:v>180</x:v>
      </x:c>
      <x:c r="E418" s="4" t="str">
        <x:v>USD million</x:v>
      </x:c>
      <x:c r="F418" s="16" t="n">
        <x:v>2022</x:v>
      </x:c>
      <x:c r="G418" s="4" t="str">
        <x:v>歷史資本來源；不列近三年事件</x:v>
      </x:c>
      <x:c r="H418" s="4" t="str">
        <x:v>IN09</x:v>
      </x:c>
      <x:c r="I418" s="4" t="str">
        <x:v>https://media.kkr.com/rss-feed/news-release?news_id=a4de6b9d-bdf9-44cc-9d56-02e9e632942a</x:v>
      </x:c>
      <x:c r="J418" s="4" t="str">
        <x:v>是</x:v>
      </x:c>
      <x:c r="K418" s="4" t="str">
        <x:v>是</x:v>
      </x:c>
      <x:c r="L418" s="4" t="str">
        <x:v>是</x:v>
      </x:c>
      <x:c r="M418" s="4" t="str">
        <x:v>是</x:v>
      </x:c>
      <x:c r="N418" s="4" t="str">
        <x:v>pass</x:v>
      </x:c>
      <x:c r="O418" s="4" t="str">
        <x:v>C</x:v>
      </x:c>
      <x:c r="P418" s="4" t="str">
        <x:v>是</x:v>
      </x:c>
      <x:c r="Q418" s="17" t="n">
        <x:v>180</x:v>
      </x:c>
      <x:c r="R418" s="16" t="n">
        <x:v>2022</x:v>
      </x:c>
      <x:c r="S418" s="4" t="str">
        <x:v>【示意】歷史資本來源；不列近三年事件；獨立來源1；來源C級</x:v>
      </x:c>
      <x:c r="T418" s="4" t="str">
        <x:v>示意</x:v>
      </x:c>
      <x:c r="U418" s="16" t="n">
        <x:v>1</x:v>
      </x:c>
      <x:c r="V418" s="4" t="str">
        <x:v>低</x:v>
      </x:c>
      <x:c r="W418" s="4" t="str">
        <x:v>KKR 2022-02-07 新闻稿：Series F USD180 million，為歷史事件。</x:v>
      </x:c>
      <x:c r="X418" s="4" t="str">
        <x:v>依整合協議第4條：單一獨立来源，整合信心低；通過表示網頁數字相符，不代表已完成三角驗證。</x:v>
      </x:c>
      <x:c r="Y418" s="37" t="d">
        <x:v>2026-10-09T00:00:00.000Z</x:v>
      </x:c>
      <x:c r="Z418" s="4" t="str">
        <x:v>turn229view3</x:v>
      </x:c>
    </x:row>
    <x:row r="419" ht="38" customHeight="1">
      <x:c r="A419" s="4" t="str">
        <x:v>M0418</x:v>
      </x:c>
      <x:c r="B419" s="4" t="str">
        <x:v>IN</x:v>
      </x:c>
      <x:c r="C419" s="4" t="str">
        <x:v>COA室內建築費率指引</x:v>
      </x:c>
      <x:c r="D419" s="19" t="n">
        <x:v>7.5</x:v>
      </x:c>
      <x:c r="E419" s="4" t="str">
        <x:v>%工程費</x:v>
      </x:c>
      <x:c r="F419" s="16" t="str">
        <x:v>2026存取</x:v>
      </x:c>
      <x:c r="G419" s="4" t="str">
        <x:v>註冊建築師室內建築服務Scale of Charges；非市場成交平均</x:v>
      </x:c>
      <x:c r="H419" s="4" t="str">
        <x:v>IN14</x:v>
      </x:c>
      <x:c r="I419" s="4" t="str">
        <x:v>https://coa.gov.in/index1.php?lang=1&amp;level=2&amp;lid=86&amp;sublinkid=299</x:v>
      </x:c>
      <x:c r="J419" s="4" t="str">
        <x:v>是</x:v>
      </x:c>
      <x:c r="K419" s="4" t="str">
        <x:v>是</x:v>
      </x:c>
      <x:c r="L419" s="4" t="str">
        <x:v>是</x:v>
      </x:c>
      <x:c r="M419" s="4" t="str">
        <x:v>是</x:v>
      </x:c>
      <x:c r="N419" s="4" t="str">
        <x:v>pass</x:v>
      </x:c>
      <x:c r="O419" s="4" t="str">
        <x:v>A</x:v>
      </x:c>
      <x:c r="P419" s="4" t="str">
        <x:v>是</x:v>
      </x:c>
      <x:c r="Q419" s="19" t="n">
        <x:v>7.5</x:v>
      </x:c>
      <x:c r="R419" s="16" t="str">
        <x:v>2026存取</x:v>
      </x:c>
      <x:c r="S419" s="4" t="str">
        <x:v>【示意】註冊建築師室內建築服務Scale of Charges；非市場成交平均；獨立來源1；來源A級</x:v>
      </x:c>
      <x:c r="T419" s="4" t="str">
        <x:v>示意</x:v>
      </x:c>
      <x:c r="U419" s="16" t="n">
        <x:v>1</x:v>
      </x:c>
      <x:c r="V419" s="4" t="str">
        <x:v>低</x:v>
      </x:c>
      <x:c r="W419" s="4" t="str">
        <x:v>費表第3項 interior architecture7.5% of works；第7項文件溝通10% of professional fees。</x:v>
      </x:c>
      <x:c r="X419" s="4" t="str">
        <x:v>依整合協議第4條：單一獨立来源，整合信心低；通過表示網頁數字相符，不代表已完成三角驗證。</x:v>
      </x:c>
      <x:c r="Y419" s="37" t="d">
        <x:v>2026-10-09T00:00:00.000Z</x:v>
      </x:c>
      <x:c r="Z419" s="4" t="str">
        <x:v>turn229view6</x:v>
      </x:c>
    </x:row>
    <x:row r="420" ht="38" customHeight="1">
      <x:c r="A420" s="4" t="str">
        <x:v>M0419</x:v>
      </x:c>
      <x:c r="B420" s="4" t="str">
        <x:v>IN</x:v>
      </x:c>
      <x:c r="C420" s="4" t="str">
        <x:v>COA文件與溝通附加費</x:v>
      </x:c>
      <x:c r="D420" s="17" t="n">
        <x:v>10</x:v>
      </x:c>
      <x:c r="E420" s="4" t="str">
        <x:v>%專業費</x:v>
      </x:c>
      <x:c r="F420" s="16" t="str">
        <x:v>2026存取</x:v>
      </x:c>
      <x:c r="G420" s="4" t="str">
        <x:v>不是工程價10%</x:v>
      </x:c>
      <x:c r="H420" s="4" t="str">
        <x:v>IN14</x:v>
      </x:c>
      <x:c r="I420" s="4" t="str">
        <x:v>https://coa.gov.in/index1.php?lang=1&amp;level=2&amp;lid=86&amp;sublinkid=299</x:v>
      </x:c>
      <x:c r="J420" s="4" t="str">
        <x:v>是</x:v>
      </x:c>
      <x:c r="K420" s="4" t="str">
        <x:v>是</x:v>
      </x:c>
      <x:c r="L420" s="4" t="str">
        <x:v>是</x:v>
      </x:c>
      <x:c r="M420" s="4" t="str">
        <x:v>是</x:v>
      </x:c>
      <x:c r="N420" s="4" t="str">
        <x:v>pass</x:v>
      </x:c>
      <x:c r="O420" s="4" t="str">
        <x:v>A</x:v>
      </x:c>
      <x:c r="P420" s="4" t="str">
        <x:v>是</x:v>
      </x:c>
      <x:c r="Q420" s="17" t="n">
        <x:v>10</x:v>
      </x:c>
      <x:c r="R420" s="16" t="str">
        <x:v>2026存取</x:v>
      </x:c>
      <x:c r="S420" s="4" t="str">
        <x:v>【示意】不是工程價10%；獨立來源1；來源A級</x:v>
      </x:c>
      <x:c r="T420" s="4" t="str">
        <x:v>示意</x:v>
      </x:c>
      <x:c r="U420" s="16" t="n">
        <x:v>1</x:v>
      </x:c>
      <x:c r="V420" s="4" t="str">
        <x:v>低</x:v>
      </x:c>
      <x:c r="W420" s="4" t="str">
        <x:v>費表第3項 interior architecture7.5% of works；第7項文件溝通10% of professional fees。</x:v>
      </x:c>
      <x:c r="X420" s="4" t="str">
        <x:v>依整合協議第4條：單一獨立来源，整合信心低；通過表示網頁數字相符，不代表已完成三角驗證。</x:v>
      </x:c>
      <x:c r="Y420" s="37" t="d">
        <x:v>2026-10-09T00:00:00.000Z</x:v>
      </x:c>
      <x:c r="Z420" s="4" t="str">
        <x:v>turn229view6</x:v>
      </x:c>
    </x:row>
    <x:row r="421" ht="38" customHeight="1">
      <x:c r="A421" s="4" t="str">
        <x:v>M0420</x:v>
      </x:c>
      <x:c r="B421" s="4" t="str">
        <x:v>IN</x:v>
      </x:c>
      <x:c r="C421" s="4" t="str">
        <x:v>人均名目GDP</x:v>
      </x:c>
      <x:c r="D421" s="19" t="n">
        <x:v>2591.5</x:v>
      </x:c>
      <x:c r="E421" s="4" t="str">
        <x:v>USD/人</x:v>
      </x:c>
      <x:c r="F421" s="16" t="str">
        <x:v>2024/25E</x:v>
      </x:c>
      <x:c r="G421" s="4" t="str">
        <x:v>現行世界銀行財政年度估計，不可與曆年2024直接混同比</x:v>
      </x:c>
      <x:c r="H421" s="4" t="str">
        <x:v>IN16</x:v>
      </x:c>
      <x:c r="I421" s="4" t="str">
        <x:v>https://thedocs.worldbank.org/en/doc/ab46b9f05a34cb860d84774b7bfbd77f-0500052021/related/data-ind.pdf</x:v>
      </x:c>
      <x:c r="J421" s="4" t="str">
        <x:v>是</x:v>
      </x:c>
      <x:c r="K421" s="4" t="str">
        <x:v>是</x:v>
      </x:c>
      <x:c r="L421" s="4" t="str">
        <x:v>是</x:v>
      </x:c>
      <x:c r="M421" s="4" t="str">
        <x:v>是</x:v>
      </x:c>
      <x:c r="N421" s="4" t="str">
        <x:v>pass</x:v>
      </x:c>
      <x:c r="O421" s="4" t="str">
        <x:v>A</x:v>
      </x:c>
      <x:c r="P421" s="4" t="str">
        <x:v>是</x:v>
      </x:c>
      <x:c r="Q421" s="19" t="n">
        <x:v>2591.5</x:v>
      </x:c>
      <x:c r="R421" s="16" t="str">
        <x:v>2024/25E</x:v>
      </x:c>
      <x:c r="S421" s="4" t="str">
        <x:v>【預測／示意】現行世界銀行財政年度估計，不可與曆年2024直接混同比；獨立來源1；來源A級</x:v>
      </x:c>
      <x:c r="T421" s="4" t="str">
        <x:v>預測／示意</x:v>
      </x:c>
      <x:c r="U421" s="16" t="n">
        <x:v>1</x:v>
      </x:c>
      <x:c r="V421" s="4" t="str">
        <x:v>低</x:v>
      </x:c>
      <x:c r="W421" s="4" t="str">
        <x:v>PDF P0 GDP per capita名目USD 2591.5 位於2024/25E，為財年估計。</x:v>
      </x:c>
      <x:c r="X421" s="4" t="str">
        <x:v>依整合協議第4條：單一獨立来源，整合信心低；通過表示網頁數字相符，不代表已完成三角驗證。</x:v>
      </x:c>
      <x:c r="Y421" s="37" t="d">
        <x:v>2026-10-09T00:00:00.000Z</x:v>
      </x:c>
      <x:c r="Z421" s="4" t="str">
        <x:v>turn229view7</x:v>
      </x:c>
    </x:row>
    <x:row r="422" ht="38" customHeight="1">
      <x:c r="A422" s="4" t="str">
        <x:v>M0421</x:v>
      </x:c>
      <x:c r="B422" s="4" t="str">
        <x:v>IN</x:v>
      </x:c>
      <x:c r="C422" s="4" t="str">
        <x:v>人均GDP</x:v>
      </x:c>
      <x:c r="D422" s="18" t="n">
        <x:v>2702.48</x:v>
      </x:c>
      <x:c r="E422" s="4" t="str">
        <x:v>USD/人</x:v>
      </x:c>
      <x:c r="F422" s="16" t="n">
        <x:v>2025</x:v>
      </x:c>
      <x:c r="G422" s="4" t="str">
        <x:v>名目、現價美元；WDI 2025歷史數列，可能修訂，非家庭可支配所得</x:v>
      </x:c>
      <x:c r="H422" s="4" t="str">
        <x:v>MIN</x:v>
      </x:c>
      <x:c r="I422" s="4" t="str">
        <x:v>https://data.worldbank.org/country/india</x:v>
      </x:c>
      <x:c r="J422" s="4" t="str">
        <x:v>是</x:v>
      </x:c>
      <x:c r="K422" s="4" t="str">
        <x:v>是</x:v>
      </x:c>
      <x:c r="L422" s="4" t="str">
        <x:v>是</x:v>
      </x:c>
      <x:c r="M422" s="4" t="str">
        <x:v>是</x:v>
      </x:c>
      <x:c r="N422" s="4" t="str">
        <x:v>pass</x:v>
      </x:c>
      <x:c r="O422" s="4" t="str">
        <x:v>A</x:v>
      </x:c>
      <x:c r="P422" s="4" t="str">
        <x:v>是</x:v>
      </x:c>
      <x:c r="Q422" s="18" t="n">
        <x:v>2702.48</x:v>
      </x:c>
      <x:c r="R422" s="16" t="n">
        <x:v>2025</x:v>
      </x:c>
      <x:c r="S422" s="4" t="str">
        <x:v>【示意】名目、現價美元；WDI 2025歷史數列，可能修訂，非家庭可支配所得；獨立來源1；來源A級</x:v>
      </x:c>
      <x:c r="T422" s="4" t="str">
        <x:v>示意</x:v>
      </x:c>
      <x:c r="U422" s="16" t="n">
        <x:v>1</x:v>
      </x:c>
      <x:c r="V422" s="4" t="str">
        <x:v>低</x:v>
      </x:c>
      <x:c r="W422" s="4" t="str">
        <x:v>WDI國家頁Latest value(2025)：人均GDP=2702.48 USD/人；人口=1460000000.0 人；GDP=3960000000000.0 USD。GDP和CN/IN人口按頁面取整，不提高精度。</x:v>
      </x:c>
      <x:c r="X422" s="4" t="str">
        <x:v>單一獨立原始機構，依協議第4條低信心示意；A/B來源等級不等於已三角驗證。</x:v>
      </x:c>
      <x:c r="Y422" s="37" t="d">
        <x:v>2026-10-09T00:00:00.000Z</x:v>
      </x:c>
      <x:c r="Z422" s="4" t="str">
        <x:v>turn244view4</x:v>
      </x:c>
    </x:row>
    <x:row r="423" ht="38" customHeight="1">
      <x:c r="A423" s="4" t="str">
        <x:v>M0422</x:v>
      </x:c>
      <x:c r="B423" s="4" t="str">
        <x:v>IN</x:v>
      </x:c>
      <x:c r="C423" s="4" t="str">
        <x:v>人口</x:v>
      </x:c>
      <x:c r="D423" s="17" t="n">
        <x:v>1460000000</x:v>
      </x:c>
      <x:c r="E423" s="4" t="str">
        <x:v>人</x:v>
      </x:c>
      <x:c r="F423" s="16" t="n">
        <x:v>2025</x:v>
      </x:c>
      <x:c r="G423" s="4" t="str">
        <x:v>WDI 2025；CN、IN為頁面billion顯示的四捨五入值，其餘依顯示人數</x:v>
      </x:c>
      <x:c r="H423" s="4" t="str">
        <x:v>MIN</x:v>
      </x:c>
      <x:c r="I423" s="4" t="str">
        <x:v>https://data.worldbank.org/country/india</x:v>
      </x:c>
      <x:c r="J423" s="4" t="str">
        <x:v>是</x:v>
      </x:c>
      <x:c r="K423" s="4" t="str">
        <x:v>是</x:v>
      </x:c>
      <x:c r="L423" s="4" t="str">
        <x:v>是</x:v>
      </x:c>
      <x:c r="M423" s="4" t="str">
        <x:v>是</x:v>
      </x:c>
      <x:c r="N423" s="4" t="str">
        <x:v>pass</x:v>
      </x:c>
      <x:c r="O423" s="4" t="str">
        <x:v>A</x:v>
      </x:c>
      <x:c r="P423" s="4" t="str">
        <x:v>是</x:v>
      </x:c>
      <x:c r="Q423" s="17" t="n">
        <x:v>1460000000</x:v>
      </x:c>
      <x:c r="R423" s="16" t="n">
        <x:v>2025</x:v>
      </x:c>
      <x:c r="S423" s="4" t="str">
        <x:v>【示意】WDI 2025；CN、IN為頁面billion顯示的四捨五入值，其餘依顯示人數；獨立來源1；來源A級</x:v>
      </x:c>
      <x:c r="T423" s="4" t="str">
        <x:v>示意</x:v>
      </x:c>
      <x:c r="U423" s="16" t="n">
        <x:v>1</x:v>
      </x:c>
      <x:c r="V423" s="4" t="str">
        <x:v>低</x:v>
      </x:c>
      <x:c r="W423" s="4" t="str">
        <x:v>WDI國家頁Latest value(2025)：人均GDP=2702.48 USD/人；人口=1460000000.0 人；GDP=3960000000000.0 USD。GDP和CN/IN人口按頁面取整，不提高精度。</x:v>
      </x:c>
      <x:c r="X423" s="4" t="str">
        <x:v>單一獨立原始機構，依協議第4條低信心示意；A/B來源等級不等於已三角驗證。</x:v>
      </x:c>
      <x:c r="Y423" s="37" t="d">
        <x:v>2026-10-09T00:00:00.000Z</x:v>
      </x:c>
      <x:c r="Z423" s="4" t="str">
        <x:v>turn244view4</x:v>
      </x:c>
    </x:row>
    <x:row r="424" ht="38" customHeight="1">
      <x:c r="A424" s="4" t="str">
        <x:v>M0423</x:v>
      </x:c>
      <x:c r="B424" s="4" t="str">
        <x:v>IN</x:v>
      </x:c>
      <x:c r="C424" s="4" t="str">
        <x:v>GDP</x:v>
      </x:c>
      <x:c r="D424" s="17" t="n">
        <x:v>3960000000000</x:v>
      </x:c>
      <x:c r="E424" s="4" t="str">
        <x:v>USD</x:v>
      </x:c>
      <x:c r="F424" s="16" t="n">
        <x:v>2025</x:v>
      </x:c>
      <x:c r="G424" s="4" t="str">
        <x:v>WDI 2025現價；頁面billion/trillion四捨五入值</x:v>
      </x:c>
      <x:c r="H424" s="4" t="str">
        <x:v>MIN</x:v>
      </x:c>
      <x:c r="I424" s="4" t="str">
        <x:v>https://data.worldbank.org/country/india</x:v>
      </x:c>
      <x:c r="J424" s="4" t="str">
        <x:v>是</x:v>
      </x:c>
      <x:c r="K424" s="4" t="str">
        <x:v>是</x:v>
      </x:c>
      <x:c r="L424" s="4" t="str">
        <x:v>是</x:v>
      </x:c>
      <x:c r="M424" s="4" t="str">
        <x:v>是</x:v>
      </x:c>
      <x:c r="N424" s="4" t="str">
        <x:v>pass</x:v>
      </x:c>
      <x:c r="O424" s="4" t="str">
        <x:v>A</x:v>
      </x:c>
      <x:c r="P424" s="4" t="str">
        <x:v>是</x:v>
      </x:c>
      <x:c r="Q424" s="17" t="n">
        <x:v>3960000000000</x:v>
      </x:c>
      <x:c r="R424" s="16" t="n">
        <x:v>2025</x:v>
      </x:c>
      <x:c r="S424" s="4" t="str">
        <x:v>【示意】WDI 2025現價；頁面billion/trillion四捨五入值；獨立來源1；來源A級</x:v>
      </x:c>
      <x:c r="T424" s="4" t="str">
        <x:v>示意</x:v>
      </x:c>
      <x:c r="U424" s="16" t="n">
        <x:v>1</x:v>
      </x:c>
      <x:c r="V424" s="4" t="str">
        <x:v>低</x:v>
      </x:c>
      <x:c r="W424" s="4" t="str">
        <x:v>WDI國家頁Latest value(2025)：人均GDP=2702.48 USD/人；人口=1460000000.0 人；GDP=3960000000000.0 USD。GDP和CN/IN人口按頁面取整，不提高精度。</x:v>
      </x:c>
      <x:c r="X424" s="4" t="str">
        <x:v>單一獨立原始機構，依協議第4條低信心示意；A/B來源等級不等於已三角驗證。</x:v>
      </x:c>
      <x:c r="Y424" s="37" t="d">
        <x:v>2026-10-09T00:00:00.000Z</x:v>
      </x:c>
      <x:c r="Z424" s="4" t="str">
        <x:v>turn244view4</x:v>
      </x:c>
    </x:row>
    <x:row r="425" ht="38" customHeight="1">
      <x:c r="A425" s="4" t="str">
        <x:v>M0424</x:v>
      </x:c>
      <x:c r="B425" s="4" t="str">
        <x:v>IN</x:v>
      </x:c>
      <x:c r="C425" s="4" t="str">
        <x:v>孟買商辦裝修成本</x:v>
      </x:c>
      <x:c r="D425" s="20" t="n">
        <x:v>785.7654604198096</x:v>
      </x:c>
      <x:c r="E425" s="4" t="str">
        <x:v>USD/m²</x:v>
      </x:c>
      <x:c r="F425" s="16" t="n">
        <x:v>2026</x:v>
      </x:c>
      <x:c r="G425" s="4" t="str">
        <x:v>C&amp;W 2026商辦fit-out，價格基準2025年12月；USD/ft²÷0.09290304，非住宅報價，報告自身匯率</x:v>
      </x:c>
      <x:c r="H425" s="4" t="str">
        <x:v>X02</x:v>
      </x:c>
      <x:c r="I425" s="4" t="str">
        <x:v>https://digital.cushmanwakefield.com/fitoutcostguide-03-2026-apac-regional-en-content-pds-office/30-31/</x:v>
      </x:c>
      <x:c r="J425" s="4" t="str">
        <x:v>是</x:v>
      </x:c>
      <x:c r="K425" s="4" t="str">
        <x:v>是</x:v>
      </x:c>
      <x:c r="L425" s="4" t="str">
        <x:v>是</x:v>
      </x:c>
      <x:c r="M425" s="4" t="str">
        <x:v>是</x:v>
      </x:c>
      <x:c r="N425" s="4" t="str">
        <x:v>pass</x:v>
      </x:c>
      <x:c r="O425" s="4" t="str">
        <x:v>B</x:v>
      </x:c>
      <x:c r="P425" s="4" t="str">
        <x:v>是</x:v>
      </x:c>
      <x:c r="Q425" s="20" t="n">
        <x:v>785.7654604198096</x:v>
      </x:c>
      <x:c r="R425" s="16" t="n">
        <x:v>2026</x:v>
      </x:c>
      <x:c r="S425" s="4" t="str">
        <x:v>【示意】C&amp;W 2026商辦fit-out，價格基準2025年12月；USD/ft²÷0.09290304，非住宅報價，報告自身匯率；獨立來源1；來源B級</x:v>
      </x:c>
      <x:c r="T425" s="4" t="str">
        <x:v>示意</x:v>
      </x:c>
      <x:c r="U425" s="16" t="n">
        <x:v>1</x:v>
      </x:c>
      <x:c r="V425" s="4" t="str">
        <x:v>低</x:v>
      </x:c>
      <x:c r="W425" s="4" t="str">
        <x:v>成本頁逐城讀USD/ft²；配合X11方法頁確定價格2025-12，報告2026。 孟買=73USD/ft²，除0.09290304得785.7654604198096USD/m²；原幣6567INR/ft²。</x:v>
      </x:c>
      <x:c r="X425" s="4" t="str">
        <x:v>單一獨立原始機構，依協議第4條低信心示意；A/B來源等級不等於已三角驗證。</x:v>
      </x:c>
      <x:c r="Y425" s="37" t="d">
        <x:v>2026-10-09T00:00:00.000Z</x:v>
      </x:c>
      <x:c r="Z425" s="4" t="str">
        <x:v>turn202view1</x:v>
      </x:c>
    </x:row>
    <x:row r="426" ht="38" customHeight="1">
      <x:c r="A426" s="4" t="str">
        <x:v>M0425</x:v>
      </x:c>
      <x:c r="B426" s="4" t="str">
        <x:v>GLOBAL</x:v>
      </x:c>
      <x:c r="C426" s="4" t="str">
        <x:v>Inter IKEA營收</x:v>
      </x:c>
      <x:c r="D426" s="17" t="n">
        <x:v>26306</x:v>
      </x:c>
      <x:c r="E426" s="4" t="str">
        <x:v>百萬EUR</x:v>
      </x:c>
      <x:c r="F426" s="16" t="str">
        <x:v>FY2025</x:v>
      </x:c>
      <x:c r="G426" s="4" t="str">
        <x:v>全球Inter IKEA批發／授權體系，非加盟商零售總額；表內損益值；費率為加盟商淨銷售額之比例</x:v>
      </x:c>
      <x:c r="H426" s="4" t="str">
        <x:v>X05</x:v>
      </x:c>
      <x:c r="I426" s="4" t="str">
        <x:v>https://www.inter.ikea.com/en/performance/fy25-financial-results</x:v>
      </x:c>
      <x:c r="J426" s="4" t="str">
        <x:v>是</x:v>
      </x:c>
      <x:c r="K426" s="4" t="str">
        <x:v>是</x:v>
      </x:c>
      <x:c r="L426" s="4" t="str">
        <x:v>是</x:v>
      </x:c>
      <x:c r="M426" s="4" t="str">
        <x:v>是</x:v>
      </x:c>
      <x:c r="N426" s="4" t="str">
        <x:v>pass</x:v>
      </x:c>
      <x:c r="O426" s="4" t="str">
        <x:v>C</x:v>
      </x:c>
      <x:c r="P426" s="4" t="str">
        <x:v>是</x:v>
      </x:c>
      <x:c r="Q426" s="17" t="n">
        <x:v>26306</x:v>
      </x:c>
      <x:c r="R426" s="16" t="str">
        <x:v>FY2025</x:v>
      </x:c>
      <x:c r="S426" s="4" t="str">
        <x:v>【示意】全球Inter IKEA批發／授權體系，非加盟商零售總額；表內損益值；費率為加盟商淨銷售額之比例；獨立來源1；來源C級</x:v>
      </x:c>
      <x:c r="T426" s="4" t="str">
        <x:v>示意</x:v>
      </x:c>
      <x:c r="U426" s="16" t="n">
        <x:v>1</x:v>
      </x:c>
      <x:c r="V426" s="4" t="str">
        <x:v>低</x:v>
      </x:c>
      <x:c r="W426" s="4" t="str">
        <x:v>表FY25單位million EUR：revenue26306、grossprofit4978、operating1725、net1496；加盟費一般為淨銷售3%。卡片14.2%與表算18.92%毛利率不一致。</x:v>
      </x:c>
      <x:c r="X426" s="4" t="str">
        <x:v>單一獨立原始機構，依協議第4條低信心示意；A/B來源等級不等於已三角驗證。</x:v>
      </x:c>
      <x:c r="Y426" s="37" t="d">
        <x:v>2026-10-09T00:00:00.000Z</x:v>
      </x:c>
      <x:c r="Z426" s="4" t="str">
        <x:v>turn202view2</x:v>
      </x:c>
    </x:row>
    <x:row r="427" ht="38" customHeight="1">
      <x:c r="A427" s="4" t="str">
        <x:v>M0426</x:v>
      </x:c>
      <x:c r="B427" s="4" t="str">
        <x:v>GLOBAL</x:v>
      </x:c>
      <x:c r="C427" s="4" t="str">
        <x:v>Inter IKEA毛利</x:v>
      </x:c>
      <x:c r="D427" s="17" t="n">
        <x:v>4978</x:v>
      </x:c>
      <x:c r="E427" s="4" t="str">
        <x:v>百萬EUR</x:v>
      </x:c>
      <x:c r="F427" s="16" t="str">
        <x:v>FY2025</x:v>
      </x:c>
      <x:c r="G427" s="4" t="str">
        <x:v>全球Inter IKEA批發／授權體系，非加盟商零售總額；表內損益值；費率為加盟商淨銷售額之比例</x:v>
      </x:c>
      <x:c r="H427" s="4" t="str">
        <x:v>X05</x:v>
      </x:c>
      <x:c r="I427" s="4" t="str">
        <x:v>https://www.inter.ikea.com/en/performance/fy25-financial-results</x:v>
      </x:c>
      <x:c r="J427" s="4" t="str">
        <x:v>是</x:v>
      </x:c>
      <x:c r="K427" s="4" t="str">
        <x:v>是</x:v>
      </x:c>
      <x:c r="L427" s="4" t="str">
        <x:v>是</x:v>
      </x:c>
      <x:c r="M427" s="4" t="str">
        <x:v>是</x:v>
      </x:c>
      <x:c r="N427" s="4" t="str">
        <x:v>pass</x:v>
      </x:c>
      <x:c r="O427" s="4" t="str">
        <x:v>C</x:v>
      </x:c>
      <x:c r="P427" s="4" t="str">
        <x:v>是</x:v>
      </x:c>
      <x:c r="Q427" s="17" t="n">
        <x:v>4978</x:v>
      </x:c>
      <x:c r="R427" s="16" t="str">
        <x:v>FY2025</x:v>
      </x:c>
      <x:c r="S427" s="4" t="str">
        <x:v>【示意】全球Inter IKEA批發／授權體系，非加盟商零售總額；表內損益值；費率為加盟商淨銷售額之比例；獨立來源1；來源C級</x:v>
      </x:c>
      <x:c r="T427" s="4" t="str">
        <x:v>示意</x:v>
      </x:c>
      <x:c r="U427" s="16" t="n">
        <x:v>1</x:v>
      </x:c>
      <x:c r="V427" s="4" t="str">
        <x:v>低</x:v>
      </x:c>
      <x:c r="W427" s="4" t="str">
        <x:v>表FY25單位million EUR：revenue26306、grossprofit4978、operating1725、net1496；加盟費一般為淨銷售3%。卡片14.2%與表算18.92%毛利率不一致。</x:v>
      </x:c>
      <x:c r="X427" s="4" t="str">
        <x:v>單一獨立原始機構，依協議第4條低信心示意；A/B來源等級不等於已三角驗證。</x:v>
      </x:c>
      <x:c r="Y427" s="37" t="d">
        <x:v>2026-10-09T00:00:00.000Z</x:v>
      </x:c>
      <x:c r="Z427" s="4" t="str">
        <x:v>turn202view2</x:v>
      </x:c>
    </x:row>
    <x:row r="428" ht="38" customHeight="1">
      <x:c r="A428" s="4" t="str">
        <x:v>M0427</x:v>
      </x:c>
      <x:c r="B428" s="4" t="str">
        <x:v>GLOBAL</x:v>
      </x:c>
      <x:c r="C428" s="4" t="str">
        <x:v>Inter IKEA營業利益</x:v>
      </x:c>
      <x:c r="D428" s="17" t="n">
        <x:v>1725</x:v>
      </x:c>
      <x:c r="E428" s="4" t="str">
        <x:v>百萬EUR</x:v>
      </x:c>
      <x:c r="F428" s="16" t="str">
        <x:v>FY2025</x:v>
      </x:c>
      <x:c r="G428" s="4" t="str">
        <x:v>全球Inter IKEA批發／授權體系，非加盟商零售總額；表內損益值；費率為加盟商淨銷售額之比例</x:v>
      </x:c>
      <x:c r="H428" s="4" t="str">
        <x:v>X05</x:v>
      </x:c>
      <x:c r="I428" s="4" t="str">
        <x:v>https://www.inter.ikea.com/en/performance/fy25-financial-results</x:v>
      </x:c>
      <x:c r="J428" s="4" t="str">
        <x:v>是</x:v>
      </x:c>
      <x:c r="K428" s="4" t="str">
        <x:v>是</x:v>
      </x:c>
      <x:c r="L428" s="4" t="str">
        <x:v>是</x:v>
      </x:c>
      <x:c r="M428" s="4" t="str">
        <x:v>是</x:v>
      </x:c>
      <x:c r="N428" s="4" t="str">
        <x:v>pass</x:v>
      </x:c>
      <x:c r="O428" s="4" t="str">
        <x:v>C</x:v>
      </x:c>
      <x:c r="P428" s="4" t="str">
        <x:v>是</x:v>
      </x:c>
      <x:c r="Q428" s="17" t="n">
        <x:v>1725</x:v>
      </x:c>
      <x:c r="R428" s="16" t="str">
        <x:v>FY2025</x:v>
      </x:c>
      <x:c r="S428" s="4" t="str">
        <x:v>【示意】全球Inter IKEA批發／授權體系，非加盟商零售總額；表內損益值；費率為加盟商淨銷售額之比例；獨立來源1；來源C級</x:v>
      </x:c>
      <x:c r="T428" s="4" t="str">
        <x:v>示意</x:v>
      </x:c>
      <x:c r="U428" s="16" t="n">
        <x:v>1</x:v>
      </x:c>
      <x:c r="V428" s="4" t="str">
        <x:v>低</x:v>
      </x:c>
      <x:c r="W428" s="4" t="str">
        <x:v>表FY25單位million EUR：revenue26306、grossprofit4978、operating1725、net1496；加盟費一般為淨銷售3%。卡片14.2%與表算18.92%毛利率不一致。</x:v>
      </x:c>
      <x:c r="X428" s="4" t="str">
        <x:v>單一獨立原始機構，依協議第4條低信心示意；A/B來源等級不等於已三角驗證。</x:v>
      </x:c>
      <x:c r="Y428" s="37" t="d">
        <x:v>2026-10-09T00:00:00.000Z</x:v>
      </x:c>
      <x:c r="Z428" s="4" t="str">
        <x:v>turn202view2</x:v>
      </x:c>
    </x:row>
    <x:row r="429" ht="38" customHeight="1">
      <x:c r="A429" s="4" t="str">
        <x:v>M0428</x:v>
      </x:c>
      <x:c r="B429" s="4" t="str">
        <x:v>GLOBAL</x:v>
      </x:c>
      <x:c r="C429" s="4" t="str">
        <x:v>Inter IKEA淨利</x:v>
      </x:c>
      <x:c r="D429" s="17" t="n">
        <x:v>1496</x:v>
      </x:c>
      <x:c r="E429" s="4" t="str">
        <x:v>百萬EUR</x:v>
      </x:c>
      <x:c r="F429" s="16" t="str">
        <x:v>FY2025</x:v>
      </x:c>
      <x:c r="G429" s="4" t="str">
        <x:v>全球Inter IKEA批發／授權體系，非加盟商零售總額；表內損益值；費率為加盟商淨銷售額之比例</x:v>
      </x:c>
      <x:c r="H429" s="4" t="str">
        <x:v>X05</x:v>
      </x:c>
      <x:c r="I429" s="4" t="str">
        <x:v>https://www.inter.ikea.com/en/performance/fy25-financial-results</x:v>
      </x:c>
      <x:c r="J429" s="4" t="str">
        <x:v>是</x:v>
      </x:c>
      <x:c r="K429" s="4" t="str">
        <x:v>是</x:v>
      </x:c>
      <x:c r="L429" s="4" t="str">
        <x:v>是</x:v>
      </x:c>
      <x:c r="M429" s="4" t="str">
        <x:v>是</x:v>
      </x:c>
      <x:c r="N429" s="4" t="str">
        <x:v>pass</x:v>
      </x:c>
      <x:c r="O429" s="4" t="str">
        <x:v>C</x:v>
      </x:c>
      <x:c r="P429" s="4" t="str">
        <x:v>是</x:v>
      </x:c>
      <x:c r="Q429" s="17" t="n">
        <x:v>1496</x:v>
      </x:c>
      <x:c r="R429" s="16" t="str">
        <x:v>FY2025</x:v>
      </x:c>
      <x:c r="S429" s="4" t="str">
        <x:v>【示意】全球Inter IKEA批發／授權體系，非加盟商零售總額；表內損益值；費率為加盟商淨銷售額之比例；獨立來源1；來源C級</x:v>
      </x:c>
      <x:c r="T429" s="4" t="str">
        <x:v>示意</x:v>
      </x:c>
      <x:c r="U429" s="16" t="n">
        <x:v>1</x:v>
      </x:c>
      <x:c r="V429" s="4" t="str">
        <x:v>低</x:v>
      </x:c>
      <x:c r="W429" s="4" t="str">
        <x:v>表FY25單位million EUR：revenue26306、grossprofit4978、operating1725、net1496；加盟費一般為淨銷售3%。卡片14.2%與表算18.92%毛利率不一致。</x:v>
      </x:c>
      <x:c r="X429" s="4" t="str">
        <x:v>單一獨立原始機構，依協議第4條低信心示意；A/B來源等級不等於已三角驗證。</x:v>
      </x:c>
      <x:c r="Y429" s="37" t="d">
        <x:v>2026-10-09T00:00:00.000Z</x:v>
      </x:c>
      <x:c r="Z429" s="4" t="str">
        <x:v>turn202view2</x:v>
      </x:c>
    </x:row>
    <x:row r="430" ht="38" customHeight="1">
      <x:c r="A430" s="4" t="str">
        <x:v>M0429</x:v>
      </x:c>
      <x:c r="B430" s="4" t="str">
        <x:v>GLOBAL</x:v>
      </x:c>
      <x:c r="C430" s="4" t="str">
        <x:v>Inter IKEA標準加盟費率</x:v>
      </x:c>
      <x:c r="D430" s="17" t="n">
        <x:v>3</x:v>
      </x:c>
      <x:c r="E430" s="4" t="str">
        <x:v>%</x:v>
      </x:c>
      <x:c r="F430" s="16" t="str">
        <x:v>FY2025</x:v>
      </x:c>
      <x:c r="G430" s="4" t="str">
        <x:v>全球Inter IKEA批發／授權體系，非加盟商零售總額；表內損益值；費率為加盟商淨銷售額之比例</x:v>
      </x:c>
      <x:c r="H430" s="4" t="str">
        <x:v>X05</x:v>
      </x:c>
      <x:c r="I430" s="4" t="str">
        <x:v>https://www.inter.ikea.com/en/performance/fy25-financial-results</x:v>
      </x:c>
      <x:c r="J430" s="4" t="str">
        <x:v>是</x:v>
      </x:c>
      <x:c r="K430" s="4" t="str">
        <x:v>是</x:v>
      </x:c>
      <x:c r="L430" s="4" t="str">
        <x:v>是</x:v>
      </x:c>
      <x:c r="M430" s="4" t="str">
        <x:v>是</x:v>
      </x:c>
      <x:c r="N430" s="4" t="str">
        <x:v>pass</x:v>
      </x:c>
      <x:c r="O430" s="4" t="str">
        <x:v>C</x:v>
      </x:c>
      <x:c r="P430" s="4" t="str">
        <x:v>是</x:v>
      </x:c>
      <x:c r="Q430" s="17" t="n">
        <x:v>3</x:v>
      </x:c>
      <x:c r="R430" s="16" t="str">
        <x:v>FY2025</x:v>
      </x:c>
      <x:c r="S430" s="4" t="str">
        <x:v>【示意】全球Inter IKEA批發／授權體系，非加盟商零售總額；表內損益值；費率為加盟商淨銷售額之比例；獨立來源1；來源C級</x:v>
      </x:c>
      <x:c r="T430" s="4" t="str">
        <x:v>示意</x:v>
      </x:c>
      <x:c r="U430" s="16" t="n">
        <x:v>1</x:v>
      </x:c>
      <x:c r="V430" s="4" t="str">
        <x:v>低</x:v>
      </x:c>
      <x:c r="W430" s="4" t="str">
        <x:v>表FY25單位million EUR：revenue26306、grossprofit4978、operating1725、net1496；加盟費一般為淨銷售3%。卡片14.2%與表算18.92%毛利率不一致。</x:v>
      </x:c>
      <x:c r="X430" s="4" t="str">
        <x:v>單一獨立原始機構，依協議第4條低信心示意；A/B來源等級不等於已三角驗證。</x:v>
      </x:c>
      <x:c r="Y430" s="37" t="d">
        <x:v>2026-10-09T00:00:00.000Z</x:v>
      </x:c>
      <x:c r="Z430" s="4" t="str">
        <x:v>turn202view2</x:v>
      </x:c>
    </x:row>
    <x:row r="431" ht="38" customHeight="1">
      <x:c r="A431" s="4" t="str">
        <x:v>M0430</x:v>
      </x:c>
      <x:c r="B431" s="4" t="str">
        <x:v>TW</x:v>
      </x:c>
      <x:c r="C431" s="4" t="str">
        <x:v>住宅使用執照宅數_約數</x:v>
      </x:c>
      <x:c r="D431" s="17" t="n">
        <x:v>142000</x:v>
      </x:c>
      <x:c r="E431" s="4" t="str">
        <x:v>宅約</x:v>
      </x:c>
      <x:c r="F431" s="16" t="n">
        <x:v>2025</x:v>
      </x:c>
      <x:c r="G431" s="4" t="str">
        <x:v>官方新聞稿約數；住宅使照，非全建物第一次登記</x:v>
      </x:c>
      <x:c r="H431" s="4" t="str">
        <x:v>TW04</x:v>
      </x:c>
      <x:c r="I431" s="4" t="str">
        <x:v>https://www.moi.gov.tw/News_Content.aspx?n=2905&amp;s=339707</x:v>
      </x:c>
      <x:c r="J431" s="4" t="str">
        <x:v>是</x:v>
      </x:c>
      <x:c r="K431" s="4" t="str">
        <x:v>是</x:v>
      </x:c>
      <x:c r="L431" s="4" t="str">
        <x:v>是</x:v>
      </x:c>
      <x:c r="M431" s="4" t="str">
        <x:v>是</x:v>
      </x:c>
      <x:c r="N431" s="4" t="str">
        <x:v>pass</x:v>
      </x:c>
      <x:c r="O431" s="4" t="str">
        <x:v>A</x:v>
      </x:c>
      <x:c r="P431" s="4" t="str">
        <x:v>是</x:v>
      </x:c>
      <x:c r="Q431" s="17" t="n">
        <x:v>142000</x:v>
      </x:c>
      <x:c r="R431" s="16" t="n">
        <x:v>2025</x:v>
      </x:c>
      <x:c r="S431" s="4" t="str">
        <x:v>【示意】官方新聞稿約數；住宅使照，非全建物第一次登記；獨立來源1；來源A級</x:v>
      </x:c>
      <x:c r="T431" s="4" t="str">
        <x:v>示意</x:v>
      </x:c>
      <x:c r="U431" s="16" t="n">
        <x:v>1</x:v>
      </x:c>
      <x:c r="V431" s="4" t="str">
        <x:v>低</x:v>
      </x:c>
      <x:c r="W431" s="4" t="str">
        <x:v>L297–305：2025下半年低度用電住宅894,582宅、9.4%；2025住宅使用執照約14.2萬宅；2025Q4新建餘屋待售112,501宅、臺北4,710、宜蘭2,685宅。</x:v>
      </x:c>
      <x:c r="X431" s="4" t="str">
        <x:v>依整合協議：單一獨立機構，confidence改為低；來源品質與三角驗證分開。</x:v>
      </x:c>
      <x:c r="Y431" s="37" t="d">
        <x:v>2026-10-09T00:00:00.000Z</x:v>
      </x:c>
      <x:c r="Z431" s="4" t="str">
        <x:v>turn163view1</x:v>
      </x:c>
    </x:row>
    <x:row r="432" ht="38" customHeight="1">
      <x:c r="A432" s="4" t="str">
        <x:v>M0431</x:v>
      </x:c>
      <x:c r="B432" s="4" t="str">
        <x:v>TW</x:v>
      </x:c>
      <x:c r="C432" s="4" t="str">
        <x:v>新建餘屋待售住宅</x:v>
      </x:c>
      <x:c r="D432" s="17" t="n">
        <x:v>112501</x:v>
      </x:c>
      <x:c r="E432" s="4" t="str">
        <x:v>宅</x:v>
      </x:c>
      <x:c r="F432" s="16" t="str">
        <x:v>2025Q4</x:v>
      </x:c>
      <x:c r="G432" s="4" t="str">
        <x:v>新建餘屋待售住宅存量；非全部空屋</x:v>
      </x:c>
      <x:c r="H432" s="4" t="str">
        <x:v>TW04</x:v>
      </x:c>
      <x:c r="I432" s="4" t="str">
        <x:v>https://www.moi.gov.tw/News_Content.aspx?n=2905&amp;s=339707</x:v>
      </x:c>
      <x:c r="J432" s="4" t="str">
        <x:v>是</x:v>
      </x:c>
      <x:c r="K432" s="4" t="str">
        <x:v>是</x:v>
      </x:c>
      <x:c r="L432" s="4" t="str">
        <x:v>是</x:v>
      </x:c>
      <x:c r="M432" s="4" t="str">
        <x:v>是</x:v>
      </x:c>
      <x:c r="N432" s="4" t="str">
        <x:v>pass</x:v>
      </x:c>
      <x:c r="O432" s="4" t="str">
        <x:v>A</x:v>
      </x:c>
      <x:c r="P432" s="4" t="str">
        <x:v>是</x:v>
      </x:c>
      <x:c r="Q432" s="17" t="n">
        <x:v>112501</x:v>
      </x:c>
      <x:c r="R432" s="16" t="str">
        <x:v>2025Q4</x:v>
      </x:c>
      <x:c r="S432" s="4" t="str">
        <x:v>【示意】新建餘屋待售住宅存量；非全部空屋；獨立來源1；來源A級</x:v>
      </x:c>
      <x:c r="T432" s="4" t="str">
        <x:v>示意</x:v>
      </x:c>
      <x:c r="U432" s="16" t="n">
        <x:v>1</x:v>
      </x:c>
      <x:c r="V432" s="4" t="str">
        <x:v>低</x:v>
      </x:c>
      <x:c r="W432" s="4" t="str">
        <x:v>L297–305：2025下半年低度用電住宅894,582宅、9.4%；2025住宅使用執照約14.2萬宅；2025Q4新建餘屋待售112,501宅、臺北4,710、宜蘭2,685宅。</x:v>
      </x:c>
      <x:c r="X432" s="4" t="str">
        <x:v>依整合協議：單一獨立機構，confidence改為低；來源品質與三角驗證分開。</x:v>
      </x:c>
      <x:c r="Y432" s="37" t="d">
        <x:v>2026-10-09T00:00:00.000Z</x:v>
      </x:c>
      <x:c r="Z432" s="4" t="str">
        <x:v>turn163view1</x:v>
      </x:c>
    </x:row>
    <x:row r="433" ht="38" customHeight="1">
      <x:c r="A433" s="4" t="str">
        <x:v>M0432</x:v>
      </x:c>
      <x:c r="B433" s="4" t="str">
        <x:v>TW</x:v>
      </x:c>
      <x:c r="C433" s="4" t="str">
        <x:v>臺北市新建餘屋待售住宅</x:v>
      </x:c>
      <x:c r="D433" s="17" t="n">
        <x:v>4710</x:v>
      </x:c>
      <x:c r="E433" s="4" t="str">
        <x:v>宅</x:v>
      </x:c>
      <x:c r="F433" s="16" t="str">
        <x:v>2025Q4</x:v>
      </x:c>
      <x:c r="G433" s="4" t="str">
        <x:v>同一新建餘屋待售住宅指標，行政市範圍</x:v>
      </x:c>
      <x:c r="H433" s="4" t="str">
        <x:v>TW04</x:v>
      </x:c>
      <x:c r="I433" s="4" t="str">
        <x:v>https://www.moi.gov.tw/News_Content.aspx?n=2905&amp;s=339707</x:v>
      </x:c>
      <x:c r="J433" s="4" t="str">
        <x:v>是</x:v>
      </x:c>
      <x:c r="K433" s="4" t="str">
        <x:v>是</x:v>
      </x:c>
      <x:c r="L433" s="4" t="str">
        <x:v>是</x:v>
      </x:c>
      <x:c r="M433" s="4" t="str">
        <x:v>是</x:v>
      </x:c>
      <x:c r="N433" s="4" t="str">
        <x:v>pass</x:v>
      </x:c>
      <x:c r="O433" s="4" t="str">
        <x:v>A</x:v>
      </x:c>
      <x:c r="P433" s="4" t="str">
        <x:v>是</x:v>
      </x:c>
      <x:c r="Q433" s="17" t="n">
        <x:v>4710</x:v>
      </x:c>
      <x:c r="R433" s="16" t="str">
        <x:v>2025Q4</x:v>
      </x:c>
      <x:c r="S433" s="4" t="str">
        <x:v>【示意】同一新建餘屋待售住宅指標，行政市範圍；獨立來源1；來源A級</x:v>
      </x:c>
      <x:c r="T433" s="4" t="str">
        <x:v>示意</x:v>
      </x:c>
      <x:c r="U433" s="16" t="n">
        <x:v>1</x:v>
      </x:c>
      <x:c r="V433" s="4" t="str">
        <x:v>低</x:v>
      </x:c>
      <x:c r="W433" s="4" t="str">
        <x:v>L297–305：2025下半年低度用電住宅894,582宅、9.4%；2025住宅使用執照約14.2萬宅；2025Q4新建餘屋待售112,501宅、臺北4,710、宜蘭2,685宅。</x:v>
      </x:c>
      <x:c r="X433" s="4" t="str">
        <x:v>依整合協議：單一獨立機構，confidence改為低；來源品質與三角驗證分開。</x:v>
      </x:c>
      <x:c r="Y433" s="37" t="d">
        <x:v>2026-10-09T00:00:00.000Z</x:v>
      </x:c>
      <x:c r="Z433" s="4" t="str">
        <x:v>turn163view1</x:v>
      </x:c>
    </x:row>
    <x:row r="434" ht="38" customHeight="1">
      <x:c r="A434" s="4" t="str">
        <x:v>M0433</x:v>
      </x:c>
      <x:c r="B434" s="4" t="str">
        <x:v>TW</x:v>
      </x:c>
      <x:c r="C434" s="4" t="str">
        <x:v>宜蘭縣新建餘屋待售住宅</x:v>
      </x:c>
      <x:c r="D434" s="17" t="n">
        <x:v>2685</x:v>
      </x:c>
      <x:c r="E434" s="4" t="str">
        <x:v>宅</x:v>
      </x:c>
      <x:c r="F434" s="16" t="str">
        <x:v>2025Q4</x:v>
      </x:c>
      <x:c r="G434" s="4" t="str">
        <x:v>同一新建餘屋待售住宅指標，行政縣範圍</x:v>
      </x:c>
      <x:c r="H434" s="4" t="str">
        <x:v>TW04</x:v>
      </x:c>
      <x:c r="I434" s="4" t="str">
        <x:v>https://www.moi.gov.tw/News_Content.aspx?n=2905&amp;s=339707</x:v>
      </x:c>
      <x:c r="J434" s="4" t="str">
        <x:v>是</x:v>
      </x:c>
      <x:c r="K434" s="4" t="str">
        <x:v>是</x:v>
      </x:c>
      <x:c r="L434" s="4" t="str">
        <x:v>是</x:v>
      </x:c>
      <x:c r="M434" s="4" t="str">
        <x:v>是</x:v>
      </x:c>
      <x:c r="N434" s="4" t="str">
        <x:v>pass</x:v>
      </x:c>
      <x:c r="O434" s="4" t="str">
        <x:v>A</x:v>
      </x:c>
      <x:c r="P434" s="4" t="str">
        <x:v>是</x:v>
      </x:c>
      <x:c r="Q434" s="17" t="n">
        <x:v>2685</x:v>
      </x:c>
      <x:c r="R434" s="16" t="str">
        <x:v>2025Q4</x:v>
      </x:c>
      <x:c r="S434" s="4" t="str">
        <x:v>【示意】同一新建餘屋待售住宅指標，行政縣範圍；獨立來源1；來源A級</x:v>
      </x:c>
      <x:c r="T434" s="4" t="str">
        <x:v>示意</x:v>
      </x:c>
      <x:c r="U434" s="16" t="n">
        <x:v>1</x:v>
      </x:c>
      <x:c r="V434" s="4" t="str">
        <x:v>低</x:v>
      </x:c>
      <x:c r="W434" s="4" t="str">
        <x:v>L297–305：2025下半年低度用電住宅894,582宅、9.4%；2025住宅使用執照約14.2萬宅；2025Q4新建餘屋待售112,501宅、臺北4,710、宜蘭2,685宅。</x:v>
      </x:c>
      <x:c r="X434" s="4" t="str">
        <x:v>依整合協議：單一獨立機構，confidence改為低；來源品質與三角驗證分開。</x:v>
      </x:c>
      <x:c r="Y434" s="37" t="d">
        <x:v>2026-10-09T00:00:00.000Z</x:v>
      </x:c>
      <x:c r="Z434" s="4" t="str">
        <x:v>turn163view1</x:v>
      </x:c>
    </x:row>
    <x:row r="435" ht="30" customHeight="1">
      <x:c r="A435" s="4" t="str">
        <x:v>M0434</x:v>
      </x:c>
      <x:c r="B435" s="4" t="str">
        <x:v>TW</x:v>
      </x:c>
      <x:c r="C435" s="4" t="str">
        <x:v>潤德年度累積月營收</x:v>
      </x:c>
      <x:c r="D435" s="17" t="n">
        <x:v>2464505000</x:v>
      </x:c>
      <x:c r="E435" s="4" t="str">
        <x:v>TWD</x:v>
      </x:c>
      <x:c r="F435" s="16" t="n">
        <x:v>2025</x:v>
      </x:c>
      <x:c r="G435" s="4" t="str">
        <x:v>官網月營收千元累計表；住宅與商用未分，不是住宅市占</x:v>
      </x:c>
      <x:c r="H435" s="4" t="str">
        <x:v>TW13</x:v>
      </x:c>
      <x:c r="I435" s="4" t="str">
        <x:v>https://rd.ruentex.com.tw/zh/financial-information/monthly-revenue</x:v>
      </x:c>
      <x:c r="J435" s="4" t="str">
        <x:v>是</x:v>
      </x:c>
      <x:c r="K435" s="4" t="str">
        <x:v>是</x:v>
      </x:c>
      <x:c r="L435" s="4" t="str">
        <x:v>是</x:v>
      </x:c>
      <x:c r="M435" s="4" t="str">
        <x:v>是</x:v>
      </x:c>
      <x:c r="N435" s="4" t="str">
        <x:v>pass</x:v>
      </x:c>
      <x:c r="O435" s="4" t="str">
        <x:v>A</x:v>
      </x:c>
      <x:c r="P435" s="4" t="str">
        <x:v>是</x:v>
      </x:c>
      <x:c r="Q435" s="17" t="n">
        <x:v>2464505000</x:v>
      </x:c>
      <x:c r="R435" s="16" t="n">
        <x:v>2025</x:v>
      </x:c>
      <x:c r="S435" s="4" t="str">
        <x:v>【示意】官網月營收千元累計表；住宅與商用未分，不是住宅市占；獨立來源1；來源A級</x:v>
      </x:c>
      <x:c r="T435" s="4" t="str">
        <x:v>示意</x:v>
      </x:c>
      <x:c r="U435" s="16" t="n">
        <x:v>1</x:v>
      </x:c>
      <x:c r="V435" s="4" t="str">
        <x:v>低</x:v>
      </x:c>
      <x:c r="W435" s="4" t="str">
        <x:v>2025月營收表L77–92：仟元、12月累積2,464,505；不含住宅與商用分割。</x:v>
      </x:c>
      <x:c r="X435" s="4" t="str">
        <x:v>依整合協議：單一獨立機構，confidence改為低；來源品質與三角驗證分開。</x:v>
      </x:c>
      <x:c r="Y435" s="37" t="d">
        <x:v>2026-10-09T00:00:00.000Z</x:v>
      </x:c>
      <x:c r="Z435" s="4" t="str">
        <x:v>turn168view3</x:v>
      </x:c>
    </x:row>
    <x:row r="436" ht="38" customHeight="1">
      <x:c r="A436" s="4" t="str">
        <x:v>M0435</x:v>
      </x:c>
      <x:c r="B436" s="4" t="str">
        <x:v>TW</x:v>
      </x:c>
      <x:c r="C436" s="4" t="str">
        <x:v>特力集團營業利益_簡表圓整</x:v>
      </x:c>
      <x:c r="D436" s="17" t="n">
        <x:v>625000000</x:v>
      </x:c>
      <x:c r="E436" s="4" t="str">
        <x:v>TWD</x:v>
      </x:c>
      <x:c r="F436" s="16" t="n">
        <x:v>2024</x:v>
      </x:c>
      <x:c r="G436" s="4" t="str">
        <x:v>年報百萬元簡表625；集團口徑包含零售與貿易，不是室裝工程毛利</x:v>
      </x:c>
      <x:c r="H436" s="4" t="str">
        <x:v>TW12</x:v>
      </x:c>
      <x:c r="I436" s="4" t="str">
        <x:v>https://www.testritegroup.com/uploads/2024_069db0ff1f.pdf</x:v>
      </x:c>
      <x:c r="J436" s="4" t="str">
        <x:v>是</x:v>
      </x:c>
      <x:c r="K436" s="4" t="str">
        <x:v>是</x:v>
      </x:c>
      <x:c r="L436" s="4" t="str">
        <x:v>是</x:v>
      </x:c>
      <x:c r="M436" s="4" t="str">
        <x:v>是</x:v>
      </x:c>
      <x:c r="N436" s="4" t="str">
        <x:v>pass</x:v>
      </x:c>
      <x:c r="O436" s="4" t="str">
        <x:v>A</x:v>
      </x:c>
      <x:c r="P436" s="4" t="str">
        <x:v>是</x:v>
      </x:c>
      <x:c r="Q436" s="17" t="n">
        <x:v>625000000</x:v>
      </x:c>
      <x:c r="R436" s="16" t="n">
        <x:v>2024</x:v>
      </x:c>
      <x:c r="S436" s="4" t="str">
        <x:v>【示意】年報百萬元簡表625；集團口徑包含零售與貿易，不是室裝工程毛利；獨立來源1；來源A級</x:v>
      </x:c>
      <x:c r="T436" s="4" t="str">
        <x:v>示意</x:v>
      </x:c>
      <x:c r="U436" s="16" t="n">
        <x:v>1</x:v>
      </x:c>
      <x:c r="V436" s="4" t="str">
        <x:v>低</x:v>
      </x:c>
      <x:c r="W436" s="4" t="str">
        <x:v>原URL直接HTTP下載3166638 bytes，pdftotext -layout讀PDF印刷第1–2頁；2024百萬元表：營收36,832、毛利9,477；第1頁台灣零售137.2億元；大型店28、社區店35、和樂25。</x:v>
      </x:c>
      <x:c r="X436" s="4" t="str">
        <x:v>依整合協議：單一獨立機構，confidence改為低；來源品質與三角驗證分開。</x:v>
      </x:c>
      <x:c r="Y436" s="37" t="d">
        <x:v>2026-10-09T00:00:00.000Z</x:v>
      </x:c>
      <x:c r="Z436" s="4" t="str">
        <x:v>local-download:TW12.pdf;turn163view6</x:v>
      </x:c>
    </x:row>
    <x:row r="437" ht="38" customHeight="1">
      <x:c r="A437" s="4" t="str">
        <x:v>M0436</x:v>
      </x:c>
      <x:c r="B437" s="4" t="str">
        <x:v>TW</x:v>
      </x:c>
      <x:c r="C437" s="4" t="str">
        <x:v>30年以上住宅存量占比_官方方向值</x:v>
      </x:c>
      <x:c r="D437" s="14" t="str">
        <x:v>&gt;50</x:v>
      </x:c>
      <x:c r="E437" s="4" t="str">
        <x:v>%</x:v>
      </x:c>
      <x:c r="F437" s="16" t="str">
        <x:v>2025-02發布</x:v>
      </x:c>
      <x:c r="G437" s="4" t="str">
        <x:v>官方新聞稿約數；原始統計基期與分母未載，不當作精確占比</x:v>
      </x:c>
      <x:c r="H437" s="4" t="str">
        <x:v>TW21</x:v>
      </x:c>
      <x:c r="I437" s="4" t="str">
        <x:v>https://www.moi.gov.tw/News_Content.aspx?n=4&amp;s=325449</x:v>
      </x:c>
      <x:c r="J437" s="4" t="str">
        <x:v>是</x:v>
      </x:c>
      <x:c r="K437" s="4" t="str">
        <x:v>是</x:v>
      </x:c>
      <x:c r="L437" s="4" t="str">
        <x:v>是</x:v>
      </x:c>
      <x:c r="M437" s="4" t="str">
        <x:v>是</x:v>
      </x:c>
      <x:c r="N437" s="4" t="str">
        <x:v>pass</x:v>
      </x:c>
      <x:c r="O437" s="4" t="str">
        <x:v>A</x:v>
      </x:c>
      <x:c r="P437" s="4" t="str">
        <x:v>是</x:v>
      </x:c>
      <x:c r="Q437" s="14" t="str">
        <x:v>&gt;50</x:v>
      </x:c>
      <x:c r="R437" s="16" t="str">
        <x:v>2025-02發布</x:v>
      </x:c>
      <x:c r="S437" s="4" t="str">
        <x:v>【示意】官方新聞稿約數；原始統計基期與分母未載，不當作精確占比；獨立來源1；來源A級</x:v>
      </x:c>
      <x:c r="T437" s="4" t="str">
        <x:v>示意</x:v>
      </x:c>
      <x:c r="U437" s="16" t="n">
        <x:v>1</x:v>
      </x:c>
      <x:c r="V437" s="4" t="str">
        <x:v>低</x:v>
      </x:c>
      <x:c r="W437" s="4" t="str">
        <x:v>L245–249，2025-02-06公告：30年以上老宅約500萬戶，超過整體住宅存量半數；新聞稿約數，未提供原始統計期與分母。</x:v>
      </x:c>
      <x:c r="X437" s="4" t="str">
        <x:v>依整合協議：單一獨立機構，confidence改為低；來源品質與三角驗證分開。</x:v>
      </x:c>
      <x:c r="Y437" s="37" t="d">
        <x:v>2026-10-09T00:00:00.000Z</x:v>
      </x:c>
      <x:c r="Z437" s="4" t="str">
        <x:v>turn265view0</x:v>
      </x:c>
    </x:row>
    <x:row r="438" ht="38" customHeight="1">
      <x:c r="A438" s="4" t="str">
        <x:v>M0437</x:v>
      </x:c>
      <x:c r="B438" s="4" t="str">
        <x:v>JP</x:v>
      </x:c>
      <x:c r="C438" s="4" t="str">
        <x:v>住まいるダイヤル新規相談總數</x:v>
      </x:c>
      <x:c r="D438" s="17" t="n">
        <x:v>30812</x:v>
      </x:c>
      <x:c r="E438" s="4" t="str">
        <x:v>件</x:v>
      </x:c>
      <x:c r="F438" s="16" t="str">
        <x:v>2024年度</x:v>
      </x:c>
      <x:c r="G438" s="4" t="str">
        <x:v>2025年報的諮詢服務記錄，不代表全國投訴、確認違法或獨立受害人數</x:v>
      </x:c>
      <x:c r="H438" s="4" t="str">
        <x:v>JP09</x:v>
      </x:c>
      <x:c r="I438" s="4" t="str">
        <x:v>https://www.chord.or.jp/assets/NP2025_web..pdf</x:v>
      </x:c>
      <x:c r="J438" s="4" t="str">
        <x:v>是</x:v>
      </x:c>
      <x:c r="K438" s="4" t="str">
        <x:v>是</x:v>
      </x:c>
      <x:c r="L438" s="4" t="str">
        <x:v>是</x:v>
      </x:c>
      <x:c r="M438" s="4" t="str">
        <x:v>是</x:v>
      </x:c>
      <x:c r="N438" s="4" t="str">
        <x:v>pass</x:v>
      </x:c>
      <x:c r="O438" s="4" t="str">
        <x:v>B</x:v>
      </x:c>
      <x:c r="P438" s="4" t="str">
        <x:v>是</x:v>
      </x:c>
      <x:c r="Q438" s="17" t="n">
        <x:v>30812</x:v>
      </x:c>
      <x:c r="R438" s="16" t="str">
        <x:v>2024年度</x:v>
      </x:c>
      <x:c r="S438" s="4" t="str">
        <x:v>【示意】2025年報的諮詢服務記錄，不代表全國投訴、確認違法或獨立受害人數；獨立來源1；來源B級</x:v>
      </x:c>
      <x:c r="T438" s="4" t="str">
        <x:v>示意</x:v>
      </x:c>
      <x:c r="U438" s="16" t="n">
        <x:v>1</x:v>
      </x:c>
      <x:c r="V438" s="4" t="str">
        <x:v>低</x:v>
      </x:c>
      <x:c r="W438" s="4" t="str">
        <x:v>2025年報PDF印刷p10，統計2024年度新規相談30,812、リフォーム11,920；不等同確認違法或全國客訴。</x:v>
      </x:c>
      <x:c r="X438" s="4" t="str">
        <x:v>依整合協議：單一獨立機構，confidence改為低；來源品質與三角驗證分開。</x:v>
      </x:c>
      <x:c r="Y438" s="37" t="d">
        <x:v>2026-10-09T00:00:00.000Z</x:v>
      </x:c>
      <x:c r="Z438" s="4" t="str">
        <x:v>turn236view5</x:v>
      </x:c>
    </x:row>
    <x:row r="439" ht="38" customHeight="1">
      <x:c r="A439" s="4" t="str">
        <x:v>M0438</x:v>
      </x:c>
      <x:c r="B439" s="4" t="str">
        <x:v>JP</x:v>
      </x:c>
      <x:c r="C439" s="4" t="str">
        <x:v>住まいるダイヤル翻修相談</x:v>
      </x:c>
      <x:c r="D439" s="17" t="n">
        <x:v>11920</x:v>
      </x:c>
      <x:c r="E439" s="4" t="str">
        <x:v>件</x:v>
      </x:c>
      <x:c r="F439" s="16" t="str">
        <x:v>2024年度</x:v>
      </x:c>
      <x:c r="G439" s="4" t="str">
        <x:v>2025年報リフォーム諮詢分類；不是全國糾紛率</x:v>
      </x:c>
      <x:c r="H439" s="4" t="str">
        <x:v>JP09</x:v>
      </x:c>
      <x:c r="I439" s="4" t="str">
        <x:v>https://www.chord.or.jp/assets/NP2025_web..pdf</x:v>
      </x:c>
      <x:c r="J439" s="4" t="str">
        <x:v>是</x:v>
      </x:c>
      <x:c r="K439" s="4" t="str">
        <x:v>是</x:v>
      </x:c>
      <x:c r="L439" s="4" t="str">
        <x:v>是</x:v>
      </x:c>
      <x:c r="M439" s="4" t="str">
        <x:v>是</x:v>
      </x:c>
      <x:c r="N439" s="4" t="str">
        <x:v>pass</x:v>
      </x:c>
      <x:c r="O439" s="4" t="str">
        <x:v>B</x:v>
      </x:c>
      <x:c r="P439" s="4" t="str">
        <x:v>是</x:v>
      </x:c>
      <x:c r="Q439" s="17" t="n">
        <x:v>11920</x:v>
      </x:c>
      <x:c r="R439" s="16" t="str">
        <x:v>2024年度</x:v>
      </x:c>
      <x:c r="S439" s="4" t="str">
        <x:v>【示意】2025年報リフォーム諮詢分類；不是全國糾紛率；獨立來源1；來源B級</x:v>
      </x:c>
      <x:c r="T439" s="4" t="str">
        <x:v>示意</x:v>
      </x:c>
      <x:c r="U439" s="16" t="n">
        <x:v>1</x:v>
      </x:c>
      <x:c r="V439" s="4" t="str">
        <x:v>低</x:v>
      </x:c>
      <x:c r="W439" s="4" t="str">
        <x:v>2025年報PDF印刷p10，統計2024年度新規相談30,812、リフォーム11,920；不等同確認違法或全國客訴。</x:v>
      </x:c>
      <x:c r="X439" s="4" t="str">
        <x:v>依整合協議：單一獨立機構，confidence改為低；來源品質與三角驗證分開。</x:v>
      </x:c>
      <x:c r="Y439" s="37" t="d">
        <x:v>2026-10-09T00:00:00.000Z</x:v>
      </x:c>
      <x:c r="Z439" s="4" t="str">
        <x:v>turn236view5</x:v>
      </x:c>
    </x:row>
    <x:row r="440" ht="52" customHeight="1">
      <x:c r="A440" s="4" t="str">
        <x:v>M0439</x:v>
      </x:c>
      <x:c r="B440" s="4" t="str">
        <x:v>SG</x:v>
      </x:c>
      <x:c r="C440" s="4" t="str">
        <x:v>住宅翻修市場（研究商估計）</x:v>
      </x:c>
      <x:c r="D440" s="19" t="n">
        <x:v>1638.7</x:v>
      </x:c>
      <x:c r="E440" s="4" t="str">
        <x:v>百萬SGD</x:v>
      </x:c>
      <x:c r="F440" s="16" t="n">
        <x:v>2022</x:v>
      </x:c>
      <x:c r="G440" s="4" t="str">
        <x:v>Frost &amp; Sullivan，2024簡報第17頁住宅 renovation 分桶；排除另列 A&amp;A、新建與重建；非官方實績，細部方法未公開。</x:v>
      </x:c>
      <x:c r="H440" s="4" t="str">
        <x:v>SG21</x:v>
      </x:c>
      <x:c r="I440" s="4" t="str">
        <x:v>https://www.sec.gov/Archives/edgar/data/2002236/000121390024045316/image_017.jpg</x:v>
      </x:c>
      <x:c r="J440" s="4" t="str">
        <x:v>是</x:v>
      </x:c>
      <x:c r="K440" s="4" t="str">
        <x:v>是</x:v>
      </x:c>
      <x:c r="L440" s="4" t="str">
        <x:v>是</x:v>
      </x:c>
      <x:c r="M440" s="4" t="str">
        <x:v>是</x:v>
      </x:c>
      <x:c r="N440" s="4" t="str">
        <x:v>pass</x:v>
      </x:c>
      <x:c r="O440" s="4" t="str">
        <x:v>B</x:v>
      </x:c>
      <x:c r="P440" s="4" t="str">
        <x:v>是</x:v>
      </x:c>
      <x:c r="Q440" s="19" t="n">
        <x:v>1638.7</x:v>
      </x:c>
      <x:c r="R440" s="16" t="n">
        <x:v>2022</x:v>
      </x:c>
      <x:c r="S440" s="4" t="str">
        <x:v>【示意】Frost &amp; Sullivan，2024簡報第17頁住宅 renovation 分桶；排除另列 A&amp;A、新建與重建；非官方實績，細部方法未公開。；獨立來源1；來源B級</x:v>
      </x:c>
      <x:c r="T440" s="4" t="str">
        <x:v>示意</x:v>
      </x:c>
      <x:c r="U440" s="16" t="n">
        <x:v>1</x:v>
      </x:c>
      <x:c r="V440" s="4" t="str">
        <x:v>低</x:v>
      </x:c>
      <x:c r="W440" s="4" t="str">
        <x:v>已以web開圖及本地view_image視讀圖例：Renovation住宅2022 1,638.7、2024E 1,771.5、2025E 1,847.5、2027E 2,048.5 百萬SGD；同SG11文件，不增獨立來源數。 逐列核對值：1638.7 百萬SGD；原單位換算見定義。</x:v>
      </x:c>
      <x:c r="X440" s="4" t="str">
        <x:v>數字核對通過不等於三角驗證；單一原始機構，按協議低信心示意。</x:v>
      </x:c>
      <x:c r="Y440" s="37" t="d">
        <x:v>2026-10-09T00:00:00.000Z</x:v>
      </x:c>
      <x:c r="Z440" s="4" t="str">
        <x:v>turn237view0</x:v>
      </x:c>
    </x:row>
    <x:row r="441" ht="52" customHeight="1">
      <x:c r="A441" s="4" t="str">
        <x:v>M0440</x:v>
      </x:c>
      <x:c r="B441" s="4" t="str">
        <x:v>SG</x:v>
      </x:c>
      <x:c r="C441" s="4" t="str">
        <x:v>住宅翻修市場（事前預測）</x:v>
      </x:c>
      <x:c r="D441" s="19" t="n">
        <x:v>1771.5</x:v>
      </x:c>
      <x:c r="E441" s="4" t="str">
        <x:v>百萬SGD</x:v>
      </x:c>
      <x:c r="F441" s="16" t="str">
        <x:v>2024E</x:v>
      </x:c>
      <x:c r="G441" s="4" t="str">
        <x:v>Frost &amp; Sullivan，2024簡報第17頁住宅 renovation 分桶；排除另列 A&amp;A、新建與重建；非官方實績，細部方法未公開。</x:v>
      </x:c>
      <x:c r="H441" s="4" t="str">
        <x:v>SG21</x:v>
      </x:c>
      <x:c r="I441" s="4" t="str">
        <x:v>https://www.sec.gov/Archives/edgar/data/2002236/000121390024045316/image_017.jpg</x:v>
      </x:c>
      <x:c r="J441" s="4" t="str">
        <x:v>是</x:v>
      </x:c>
      <x:c r="K441" s="4" t="str">
        <x:v>是</x:v>
      </x:c>
      <x:c r="L441" s="4" t="str">
        <x:v>是</x:v>
      </x:c>
      <x:c r="M441" s="4" t="str">
        <x:v>是</x:v>
      </x:c>
      <x:c r="N441" s="4" t="str">
        <x:v>pass</x:v>
      </x:c>
      <x:c r="O441" s="4" t="str">
        <x:v>B</x:v>
      </x:c>
      <x:c r="P441" s="4" t="str">
        <x:v>是</x:v>
      </x:c>
      <x:c r="Q441" s="19" t="n">
        <x:v>1771.5</x:v>
      </x:c>
      <x:c r="R441" s="16" t="str">
        <x:v>2024E</x:v>
      </x:c>
      <x:c r="S441" s="4" t="str">
        <x:v>【預測／示意】Frost &amp; Sullivan，2024簡報第17頁住宅 renovation 分桶；排除另列 A&amp;A、新建與重建；非官方實績，細部方法未公開。；獨立來源1；來源B級</x:v>
      </x:c>
      <x:c r="T441" s="4" t="str">
        <x:v>預測／示意</x:v>
      </x:c>
      <x:c r="U441" s="16" t="n">
        <x:v>1</x:v>
      </x:c>
      <x:c r="V441" s="4" t="str">
        <x:v>低</x:v>
      </x:c>
      <x:c r="W441" s="4" t="str">
        <x:v>已以web開圖及本地view_image視讀圖例：Renovation住宅2022 1,638.7、2024E 1,771.5、2025E 1,847.5、2027E 2,048.5 百萬SGD；同SG11文件，不增獨立來源數。 逐列核對值：1771.5 百萬SGD；原單位換算見定義。</x:v>
      </x:c>
      <x:c r="X441" s="4" t="str">
        <x:v>數字核對通過不等於三角驗證；單一原始機構，按協議低信心示意。</x:v>
      </x:c>
      <x:c r="Y441" s="37" t="d">
        <x:v>2026-10-09T00:00:00.000Z</x:v>
      </x:c>
      <x:c r="Z441" s="4" t="str">
        <x:v>turn237view0</x:v>
      </x:c>
    </x:row>
    <x:row r="442" ht="52" customHeight="1">
      <x:c r="A442" s="4" t="str">
        <x:v>M0441</x:v>
      </x:c>
      <x:c r="B442" s="4" t="str">
        <x:v>SG</x:v>
      </x:c>
      <x:c r="C442" s="4" t="str">
        <x:v>住宅翻修市場（事前預測）</x:v>
      </x:c>
      <x:c r="D442" s="19" t="n">
        <x:v>1847.5</x:v>
      </x:c>
      <x:c r="E442" s="4" t="str">
        <x:v>百萬SGD</x:v>
      </x:c>
      <x:c r="F442" s="16" t="str">
        <x:v>2025E</x:v>
      </x:c>
      <x:c r="G442" s="4" t="str">
        <x:v>Frost &amp; Sullivan，2024簡報第17頁住宅 renovation 分桶；排除另列 A&amp;A、新建與重建；非官方實績，細部方法未公開。</x:v>
      </x:c>
      <x:c r="H442" s="4" t="str">
        <x:v>SG21</x:v>
      </x:c>
      <x:c r="I442" s="4" t="str">
        <x:v>https://www.sec.gov/Archives/edgar/data/2002236/000121390024045316/image_017.jpg</x:v>
      </x:c>
      <x:c r="J442" s="4" t="str">
        <x:v>是</x:v>
      </x:c>
      <x:c r="K442" s="4" t="str">
        <x:v>是</x:v>
      </x:c>
      <x:c r="L442" s="4" t="str">
        <x:v>是</x:v>
      </x:c>
      <x:c r="M442" s="4" t="str">
        <x:v>是</x:v>
      </x:c>
      <x:c r="N442" s="4" t="str">
        <x:v>pass</x:v>
      </x:c>
      <x:c r="O442" s="4" t="str">
        <x:v>B</x:v>
      </x:c>
      <x:c r="P442" s="4" t="str">
        <x:v>是</x:v>
      </x:c>
      <x:c r="Q442" s="19" t="n">
        <x:v>1847.5</x:v>
      </x:c>
      <x:c r="R442" s="16" t="str">
        <x:v>2025E</x:v>
      </x:c>
      <x:c r="S442" s="4" t="str">
        <x:v>【預測／示意】Frost &amp; Sullivan，2024簡報第17頁住宅 renovation 分桶；排除另列 A&amp;A、新建與重建；非官方實績，細部方法未公開。；獨立來源1；來源B級</x:v>
      </x:c>
      <x:c r="T442" s="4" t="str">
        <x:v>預測／示意</x:v>
      </x:c>
      <x:c r="U442" s="16" t="n">
        <x:v>1</x:v>
      </x:c>
      <x:c r="V442" s="4" t="str">
        <x:v>低</x:v>
      </x:c>
      <x:c r="W442" s="4" t="str">
        <x:v>已以web開圖及本地view_image視讀圖例：Renovation住宅2022 1,638.7、2024E 1,771.5、2025E 1,847.5、2027E 2,048.5 百萬SGD；同SG11文件，不增獨立來源數。 逐列核對值：1847.5 百萬SGD；原單位換算見定義。</x:v>
      </x:c>
      <x:c r="X442" s="4" t="str">
        <x:v>數字核對通過不等於三角驗證；單一原始機構，按協議低信心示意。</x:v>
      </x:c>
      <x:c r="Y442" s="37" t="d">
        <x:v>2026-10-09T00:00:00.000Z</x:v>
      </x:c>
      <x:c r="Z442" s="4" t="str">
        <x:v>turn237view0</x:v>
      </x:c>
    </x:row>
    <x:row r="443" ht="52" customHeight="1">
      <x:c r="A443" s="4" t="str">
        <x:v>M0442</x:v>
      </x:c>
      <x:c r="B443" s="4" t="str">
        <x:v>SG</x:v>
      </x:c>
      <x:c r="C443" s="4" t="str">
        <x:v>住宅翻修市場（事前預測）</x:v>
      </x:c>
      <x:c r="D443" s="19" t="n">
        <x:v>2048.5</x:v>
      </x:c>
      <x:c r="E443" s="4" t="str">
        <x:v>百萬SGD</x:v>
      </x:c>
      <x:c r="F443" s="16" t="str">
        <x:v>2027E</x:v>
      </x:c>
      <x:c r="G443" s="4" t="str">
        <x:v>Frost &amp; Sullivan，2024簡報第17頁住宅 renovation 分桶；排除另列 A&amp;A、新建與重建；非官方實績，細部方法未公開。</x:v>
      </x:c>
      <x:c r="H443" s="4" t="str">
        <x:v>SG21</x:v>
      </x:c>
      <x:c r="I443" s="4" t="str">
        <x:v>https://www.sec.gov/Archives/edgar/data/2002236/000121390024045316/image_017.jpg</x:v>
      </x:c>
      <x:c r="J443" s="4" t="str">
        <x:v>是</x:v>
      </x:c>
      <x:c r="K443" s="4" t="str">
        <x:v>是</x:v>
      </x:c>
      <x:c r="L443" s="4" t="str">
        <x:v>是</x:v>
      </x:c>
      <x:c r="M443" s="4" t="str">
        <x:v>是</x:v>
      </x:c>
      <x:c r="N443" s="4" t="str">
        <x:v>pass</x:v>
      </x:c>
      <x:c r="O443" s="4" t="str">
        <x:v>B</x:v>
      </x:c>
      <x:c r="P443" s="4" t="str">
        <x:v>是</x:v>
      </x:c>
      <x:c r="Q443" s="19" t="n">
        <x:v>2048.5</x:v>
      </x:c>
      <x:c r="R443" s="16" t="str">
        <x:v>2027E</x:v>
      </x:c>
      <x:c r="S443" s="4" t="str">
        <x:v>【預測／示意】Frost &amp; Sullivan，2024簡報第17頁住宅 renovation 分桶；排除另列 A&amp;A、新建與重建；非官方實績，細部方法未公開。；獨立來源1；來源B級</x:v>
      </x:c>
      <x:c r="T443" s="4" t="str">
        <x:v>預測／示意</x:v>
      </x:c>
      <x:c r="U443" s="16" t="n">
        <x:v>1</x:v>
      </x:c>
      <x:c r="V443" s="4" t="str">
        <x:v>低</x:v>
      </x:c>
      <x:c r="W443" s="4" t="str">
        <x:v>已以web開圖及本地view_image視讀圖例：Renovation住宅2022 1,638.7、2024E 1,771.5、2025E 1,847.5、2027E 2,048.5 百萬SGD；同SG11文件，不增獨立來源數。 逐列核對值：2048.5 百萬SGD；原單位換算見定義。</x:v>
      </x:c>
      <x:c r="X443" s="4" t="str">
        <x:v>數字核對通過不等於三角驗證；單一原始機構，按協議低信心示意。</x:v>
      </x:c>
      <x:c r="Y443" s="37" t="d">
        <x:v>2026-10-09T00:00:00.000Z</x:v>
      </x:c>
      <x:c r="Z443" s="4" t="str">
        <x:v>turn237view0</x:v>
      </x:c>
    </x:row>
    <x:row r="444" ht="38" customHeight="1">
      <x:c r="A444" s="4" t="str">
        <x:v>M0443</x:v>
      </x:c>
      <x:c r="B444" s="4" t="str">
        <x:v>SG</x:v>
      </x:c>
      <x:c r="C444" s="4" t="str">
        <x:v>CaseTrust認證方案工藝保固</x:v>
      </x:c>
      <x:c r="D444" s="17" t="n">
        <x:v>12</x:v>
      </x:c>
      <x:c r="E444" s="4" t="str">
        <x:v>月</x:v>
      </x:c>
      <x:c r="F444" s="16" t="str">
        <x:v>查閱2026</x:v>
      </x:c>
      <x:c r="G444" s="4" t="str">
        <x:v>完工起算，依認證方案契約；不是全部裝修法定統一保固。</x:v>
      </x:c>
      <x:c r="H444" s="4" t="str">
        <x:v>SG16</x:v>
      </x:c>
      <x:c r="I444" s="4" t="str">
        <x:v>https://www.case.org.sg/casetrust/casetrust-accreditation-for-renovation-businesses/</x:v>
      </x:c>
      <x:c r="J444" s="4" t="str">
        <x:v>是</x:v>
      </x:c>
      <x:c r="K444" s="4" t="str">
        <x:v>是</x:v>
      </x:c>
      <x:c r="L444" s="4" t="str">
        <x:v>是</x:v>
      </x:c>
      <x:c r="M444" s="4" t="str">
        <x:v>是</x:v>
      </x:c>
      <x:c r="N444" s="4" t="str">
        <x:v>pass</x:v>
      </x:c>
      <x:c r="O444" s="4" t="str">
        <x:v>B</x:v>
      </x:c>
      <x:c r="P444" s="4" t="str">
        <x:v>是</x:v>
      </x:c>
      <x:c r="Q444" s="17" t="n">
        <x:v>12</x:v>
      </x:c>
      <x:c r="R444" s="16" t="str">
        <x:v>查閱2026</x:v>
      </x:c>
      <x:c r="S444" s="4" t="str">
        <x:v>【示意】完工起算，依認證方案契約；不是全部裝修法定統一保固。；獨立來源1；來源B級</x:v>
      </x:c>
      <x:c r="T444" s="4" t="str">
        <x:v>示意</x:v>
      </x:c>
      <x:c r="U444" s="16" t="n">
        <x:v>1</x:v>
      </x:c>
      <x:c r="V444" s="4" t="str">
        <x:v>低</x:v>
      </x:c>
      <x:c r="W444" s="4" t="str">
        <x:v>L49–72：認證者須訂金履約保障、標準契約、12個月工藝保固、初始訂金上限20%；屬認證方案條件，非全部業者法定義務。 逐列核對值：12 月；原單位換算見定義。</x:v>
      </x:c>
      <x:c r="X444" s="4" t="str">
        <x:v>數字核對通過不等於三角驗證；單一原始機構，按協議低信心示意。</x:v>
      </x:c>
      <x:c r="Y444" s="37" t="d">
        <x:v>2026-10-09T00:00:00.000Z</x:v>
      </x:c>
      <x:c r="Z444" s="4" t="str">
        <x:v>turn220view2</x:v>
      </x:c>
    </x:row>
    <x:row r="445" ht="38" customHeight="1">
      <x:c r="A445" s="4" t="str">
        <x:v>M0444</x:v>
      </x:c>
      <x:c r="B445" s="4" t="str">
        <x:v>SG</x:v>
      </x:c>
      <x:c r="C445" s="4" t="str">
        <x:v>CaseTrust認證方案初始訂金上限</x:v>
      </x:c>
      <x:c r="D445" s="17" t="n">
        <x:v>20</x:v>
      </x:c>
      <x:c r="E445" s="4" t="str">
        <x:v>%</x:v>
      </x:c>
      <x:c r="F445" s="16" t="str">
        <x:v>查閱2026</x:v>
      </x:c>
      <x:c r="G445" s="4" t="str">
        <x:v>認證方案條件，非所有承包商法定上限。</x:v>
      </x:c>
      <x:c r="H445" s="4" t="str">
        <x:v>SG16</x:v>
      </x:c>
      <x:c r="I445" s="4" t="str">
        <x:v>https://www.case.org.sg/casetrust/casetrust-accreditation-for-renovation-businesses/</x:v>
      </x:c>
      <x:c r="J445" s="4" t="str">
        <x:v>是</x:v>
      </x:c>
      <x:c r="K445" s="4" t="str">
        <x:v>是</x:v>
      </x:c>
      <x:c r="L445" s="4" t="str">
        <x:v>是</x:v>
      </x:c>
      <x:c r="M445" s="4" t="str">
        <x:v>是</x:v>
      </x:c>
      <x:c r="N445" s="4" t="str">
        <x:v>pass</x:v>
      </x:c>
      <x:c r="O445" s="4" t="str">
        <x:v>B</x:v>
      </x:c>
      <x:c r="P445" s="4" t="str">
        <x:v>是</x:v>
      </x:c>
      <x:c r="Q445" s="17" t="n">
        <x:v>20</x:v>
      </x:c>
      <x:c r="R445" s="16" t="str">
        <x:v>查閱2026</x:v>
      </x:c>
      <x:c r="S445" s="4" t="str">
        <x:v>【示意】認證方案條件，非所有承包商法定上限。；獨立來源1；來源B級</x:v>
      </x:c>
      <x:c r="T445" s="4" t="str">
        <x:v>示意</x:v>
      </x:c>
      <x:c r="U445" s="16" t="n">
        <x:v>1</x:v>
      </x:c>
      <x:c r="V445" s="4" t="str">
        <x:v>低</x:v>
      </x:c>
      <x:c r="W445" s="4" t="str">
        <x:v>L49–72：認證者須訂金履約保障、標準契約、12個月工藝保固、初始訂金上限20%；屬認證方案條件，非全部業者法定義務。 逐列核對值：20 %；原單位換算見定義。</x:v>
      </x:c>
      <x:c r="X445" s="4" t="str">
        <x:v>數字核對通過不等於三角驗證；單一原始機構，按協議低信心示意。</x:v>
      </x:c>
      <x:c r="Y445" s="37" t="d">
        <x:v>2026-10-09T00:00:00.000Z</x:v>
      </x:c>
      <x:c r="Z445" s="4" t="str">
        <x:v>turn220view2</x:v>
      </x:c>
    </x:row>
    <x:row r="446" ht="38" customHeight="1">
      <x:c r="A446" s="4" t="str">
        <x:v>M0445</x:v>
      </x:c>
      <x:c r="B446" s="4" t="str">
        <x:v>SG</x:v>
      </x:c>
      <x:c r="C446" s="4" t="str">
        <x:v>非金融業EP最低月薪（年齡23歲以下）</x:v>
      </x:c>
      <x:c r="D446" s="17" t="n">
        <x:v>5600</x:v>
      </x:c>
      <x:c r="E446" s="4" t="str">
        <x:v>SGD／月</x:v>
      </x:c>
      <x:c r="F446" s="16" t="str">
        <x:v>查閱2026</x:v>
      </x:c>
      <x:c r="G446" s="4" t="str">
        <x:v>非金融業且年齡23歲以下；隨年齡提高，另受COMPASS等條件約束；不是設計師市場薪資。</x:v>
      </x:c>
      <x:c r="H446" s="4" t="str">
        <x:v>SG19</x:v>
      </x:c>
      <x:c r="I446" s="4" t="str">
        <x:v>https://www.mom.gov.sg/passes-and-permits/employment-pass/eligibility</x:v>
      </x:c>
      <x:c r="J446" s="4" t="str">
        <x:v>是</x:v>
      </x:c>
      <x:c r="K446" s="4" t="str">
        <x:v>是</x:v>
      </x:c>
      <x:c r="L446" s="4" t="str">
        <x:v>是</x:v>
      </x:c>
      <x:c r="M446" s="4" t="str">
        <x:v>是</x:v>
      </x:c>
      <x:c r="N446" s="4" t="str">
        <x:v>pass</x:v>
      </x:c>
      <x:c r="O446" s="4" t="str">
        <x:v>A</x:v>
      </x:c>
      <x:c r="P446" s="4" t="str">
        <x:v>是</x:v>
      </x:c>
      <x:c r="Q446" s="17" t="n">
        <x:v>5600</x:v>
      </x:c>
      <x:c r="R446" s="16" t="str">
        <x:v>查閱2026</x:v>
      </x:c>
      <x:c r="S446" s="4" t="str">
        <x:v>【示意】非金融業且年齡23歲以下；隨年齡提高，另受COMPASS等條件約束；不是設計師市場薪資。；獨立來源1；來源A級</x:v>
      </x:c>
      <x:c r="T446" s="4" t="str">
        <x:v>示意</x:v>
      </x:c>
      <x:c r="U446" s="16" t="n">
        <x:v>1</x:v>
      </x:c>
      <x:c r="V446" s="4" t="str">
        <x:v>低</x:v>
      </x:c>
      <x:c r="W446" s="4" t="str">
        <x:v>L60–100；非金融業現最低 SGD5,600，隨年齡提高；2027新申請提高至6,000。薪資以外還有COMPASS等。 逐列核對值：5600 SGD／月；原單位換算見定義。</x:v>
      </x:c>
      <x:c r="X446" s="4" t="str">
        <x:v>數字核對通過不等於三角驗證；單一原始機構，按協議低信心示意。</x:v>
      </x:c>
      <x:c r="Y446" s="37" t="d">
        <x:v>2026-10-09T00:00:00.000Z</x:v>
      </x:c>
      <x:c r="Z446" s="4" t="str">
        <x:v>turn231view0</x:v>
      </x:c>
    </x:row>
    <x:row r="447" ht="38" customHeight="1">
      <x:c r="A447" s="4" t="str">
        <x:v>M0446</x:v>
      </x:c>
      <x:c r="B447" s="4" t="str">
        <x:v>SG</x:v>
      </x:c>
      <x:c r="C447" s="4" t="str">
        <x:v>非金融業EP最低月薪（2027新申請規則）</x:v>
      </x:c>
      <x:c r="D447" s="17" t="n">
        <x:v>6000</x:v>
      </x:c>
      <x:c r="E447" s="4" t="str">
        <x:v>SGD／月</x:v>
      </x:c>
      <x:c r="F447" s="16" t="str">
        <x:v>2027-01-01</x:v>
      </x:c>
      <x:c r="G447" s="4" t="str">
        <x:v>研究日已公告、尚未生效的未來規則；適用年齡23歲以下，隨年齡提高；不是市場薪資預測。</x:v>
      </x:c>
      <x:c r="H447" s="4" t="str">
        <x:v>SG19</x:v>
      </x:c>
      <x:c r="I447" s="4" t="str">
        <x:v>https://www.mom.gov.sg/passes-and-permits/employment-pass/eligibility</x:v>
      </x:c>
      <x:c r="J447" s="4" t="str">
        <x:v>是</x:v>
      </x:c>
      <x:c r="K447" s="4" t="str">
        <x:v>是</x:v>
      </x:c>
      <x:c r="L447" s="4" t="str">
        <x:v>是</x:v>
      </x:c>
      <x:c r="M447" s="4" t="str">
        <x:v>是</x:v>
      </x:c>
      <x:c r="N447" s="4" t="str">
        <x:v>pass</x:v>
      </x:c>
      <x:c r="O447" s="4" t="str">
        <x:v>A</x:v>
      </x:c>
      <x:c r="P447" s="4" t="str">
        <x:v>是</x:v>
      </x:c>
      <x:c r="Q447" s="17" t="n">
        <x:v>6000</x:v>
      </x:c>
      <x:c r="R447" s="16" t="str">
        <x:v>2027-01-01</x:v>
      </x:c>
      <x:c r="S447" s="4" t="str">
        <x:v>【示意】研究日已公告、尚未生效的未來規則；適用年齡23歲以下，隨年齡提高；不是市場薪資預測。；獨立來源1；來源A級</x:v>
      </x:c>
      <x:c r="T447" s="4" t="str">
        <x:v>示意</x:v>
      </x:c>
      <x:c r="U447" s="16" t="n">
        <x:v>1</x:v>
      </x:c>
      <x:c r="V447" s="4" t="str">
        <x:v>低</x:v>
      </x:c>
      <x:c r="W447" s="4" t="str">
        <x:v>L60–100；非金融業現最低 SGD5,600，隨年齡提高；2027新申請提高至6,000。薪資以外還有COMPASS等。 逐列核對值：6000 SGD／月；原單位換算見定義。</x:v>
      </x:c>
      <x:c r="X447" s="4" t="str">
        <x:v>數字核對通過不等於三角驗證；單一原始機構，按協議低信心示意。</x:v>
      </x:c>
      <x:c r="Y447" s="37" t="d">
        <x:v>2026-10-09T00:00:00.000Z</x:v>
      </x:c>
      <x:c r="Z447" s="4" t="str">
        <x:v>turn231view0</x:v>
      </x:c>
    </x:row>
    <x:row r="448" ht="38" customHeight="1">
      <x:c r="A448" s="4" t="str">
        <x:v>M0447</x:v>
      </x:c>
      <x:c r="B448" s="4" t="str">
        <x:v>CN</x:v>
      </x:c>
      <x:c r="C448" s="4" t="str">
        <x:v>住宅竣工面積</x:v>
      </x:c>
      <x:c r="D448" s="17" t="n">
        <x:v>14798</x:v>
      </x:c>
      <x:c r="E448" s="4" t="str">
        <x:v>萬m²</x:v>
      </x:c>
      <x:c r="F448" s="16" t="str">
        <x:v>2026年1–8月</x:v>
      </x:c>
      <x:c r="G448" s="4" t="str">
        <x:v>全國房地產開發企业2026年1–8月累計；非沿海翻修市場</x:v>
      </x:c>
      <x:c r="H448" s="4" t="str">
        <x:v>CN15</x:v>
      </x:c>
      <x:c r="I448" s="4" t="str">
        <x:v>https://www.stats.gov.cn/sj/zxfb/202609/t20260915_1965310.html</x:v>
      </x:c>
      <x:c r="J448" s="4" t="str">
        <x:v>是</x:v>
      </x:c>
      <x:c r="K448" s="4" t="str">
        <x:v>是</x:v>
      </x:c>
      <x:c r="L448" s="4" t="str">
        <x:v>是</x:v>
      </x:c>
      <x:c r="M448" s="4" t="str">
        <x:v>是</x:v>
      </x:c>
      <x:c r="N448" s="4" t="str">
        <x:v>pass</x:v>
      </x:c>
      <x:c r="O448" s="4" t="str">
        <x:v>A</x:v>
      </x:c>
      <x:c r="P448" s="4" t="str">
        <x:v>是</x:v>
      </x:c>
      <x:c r="Q448" s="17" t="n">
        <x:v>14798</x:v>
      </x:c>
      <x:c r="R448" s="16" t="str">
        <x:v>2026年1–8月</x:v>
      </x:c>
      <x:c r="S448" s="4" t="str">
        <x:v>【示意】全國房地產開發企业2026年1–8月累計；非沿海翻修市場；獨立來源1；來源A級</x:v>
      </x:c>
      <x:c r="T448" s="4" t="str">
        <x:v>示意</x:v>
      </x:c>
      <x:c r="U448" s="16" t="n">
        <x:v>1</x:v>
      </x:c>
      <x:c r="V448" s="4" t="str">
        <x:v>低</x:v>
      </x:c>
      <x:c r="W448" s="4" t="str">
        <x:v>國家統計局2026年1–8月房地產公告L51、59及指標附註；原頁日期2026-09-15。</x:v>
      </x:c>
      <x:c r="X448" s="4" t="str">
        <x:v>單一獨立來源；歷史期間統計但整合標籤仍為示意；二手房面積不是二手住宅套數。</x:v>
      </x:c>
      <x:c r="Y448" s="37" t="d">
        <x:v>2026-10-09T00:00:00.000Z</x:v>
      </x:c>
      <x:c r="Z448" s="4" t="str">
        <x:v>turn208view4</x:v>
      </x:c>
    </x:row>
    <x:row r="449" ht="38" customHeight="1">
      <x:c r="A449" s="4" t="str">
        <x:v>M0448</x:v>
      </x:c>
      <x:c r="B449" s="4" t="str">
        <x:v>CN</x:v>
      </x:c>
      <x:c r="C449" s="4" t="str">
        <x:v>住宅竣工面積年變動</x:v>
      </x:c>
      <x:c r="D449" s="19" t="n">
        <x:v>-25.4</x:v>
      </x:c>
      <x:c r="E449" s="4" t="str">
        <x:v>%</x:v>
      </x:c>
      <x:c r="F449" s="16" t="str">
        <x:v>2026年1–8月</x:v>
      </x:c>
      <x:c r="G449" s="4" t="str">
        <x:v>2026年1–8月累計年增減；按可比口徑</x:v>
      </x:c>
      <x:c r="H449" s="4" t="str">
        <x:v>CN15</x:v>
      </x:c>
      <x:c r="I449" s="4" t="str">
        <x:v>https://www.stats.gov.cn/sj/zxfb/202609/t20260915_1965310.html</x:v>
      </x:c>
      <x:c r="J449" s="4" t="str">
        <x:v>是</x:v>
      </x:c>
      <x:c r="K449" s="4" t="str">
        <x:v>是</x:v>
      </x:c>
      <x:c r="L449" s="4" t="str">
        <x:v>是</x:v>
      </x:c>
      <x:c r="M449" s="4" t="str">
        <x:v>是</x:v>
      </x:c>
      <x:c r="N449" s="4" t="str">
        <x:v>pass</x:v>
      </x:c>
      <x:c r="O449" s="4" t="str">
        <x:v>A</x:v>
      </x:c>
      <x:c r="P449" s="4" t="str">
        <x:v>是</x:v>
      </x:c>
      <x:c r="Q449" s="19" t="n">
        <x:v>-25.4</x:v>
      </x:c>
      <x:c r="R449" s="16" t="str">
        <x:v>2026年1–8月</x:v>
      </x:c>
      <x:c r="S449" s="4" t="str">
        <x:v>【示意】2026年1–8月累計年增減；按可比口徑；獨立來源1；來源A級</x:v>
      </x:c>
      <x:c r="T449" s="4" t="str">
        <x:v>示意</x:v>
      </x:c>
      <x:c r="U449" s="16" t="n">
        <x:v>1</x:v>
      </x:c>
      <x:c r="V449" s="4" t="str">
        <x:v>低</x:v>
      </x:c>
      <x:c r="W449" s="4" t="str">
        <x:v>國家統計局2026年1–8月房地產公告L51、59及指標附註；原頁日期2026-09-15。</x:v>
      </x:c>
      <x:c r="X449" s="4" t="str">
        <x:v>單一獨立來源；歷史期間統計但整合標籤仍為示意；二手房面積不是二手住宅套數。</x:v>
      </x:c>
      <x:c r="Y449" s="37" t="d">
        <x:v>2026-10-09T00:00:00.000Z</x:v>
      </x:c>
      <x:c r="Z449" s="4" t="str">
        <x:v>turn208view4</x:v>
      </x:c>
    </x:row>
    <x:row r="450" ht="38" customHeight="1">
      <x:c r="A450" s="4" t="str">
        <x:v>M0449</x:v>
      </x:c>
      <x:c r="B450" s="4" t="str">
        <x:v>CN</x:v>
      </x:c>
      <x:c r="C450" s="4" t="str">
        <x:v>住宅新開工面積</x:v>
      </x:c>
      <x:c r="D450" s="17" t="n">
        <x:v>21840</x:v>
      </x:c>
      <x:c r="E450" s="4" t="str">
        <x:v>萬m²</x:v>
      </x:c>
      <x:c r="F450" s="16" t="str">
        <x:v>2026年1–8月</x:v>
      </x:c>
      <x:c r="G450" s="4" t="str">
        <x:v>全國房地產開發企業2026年1–8月累計</x:v>
      </x:c>
      <x:c r="H450" s="4" t="str">
        <x:v>CN15</x:v>
      </x:c>
      <x:c r="I450" s="4" t="str">
        <x:v>https://www.stats.gov.cn/sj/zxfb/202609/t20260915_1965310.html</x:v>
      </x:c>
      <x:c r="J450" s="4" t="str">
        <x:v>是</x:v>
      </x:c>
      <x:c r="K450" s="4" t="str">
        <x:v>是</x:v>
      </x:c>
      <x:c r="L450" s="4" t="str">
        <x:v>是</x:v>
      </x:c>
      <x:c r="M450" s="4" t="str">
        <x:v>是</x:v>
      </x:c>
      <x:c r="N450" s="4" t="str">
        <x:v>pass</x:v>
      </x:c>
      <x:c r="O450" s="4" t="str">
        <x:v>A</x:v>
      </x:c>
      <x:c r="P450" s="4" t="str">
        <x:v>是</x:v>
      </x:c>
      <x:c r="Q450" s="17" t="n">
        <x:v>21840</x:v>
      </x:c>
      <x:c r="R450" s="16" t="str">
        <x:v>2026年1–8月</x:v>
      </x:c>
      <x:c r="S450" s="4" t="str">
        <x:v>【示意】全國房地產開發企業2026年1–8月累計；獨立來源1；來源A級</x:v>
      </x:c>
      <x:c r="T450" s="4" t="str">
        <x:v>示意</x:v>
      </x:c>
      <x:c r="U450" s="16" t="n">
        <x:v>1</x:v>
      </x:c>
      <x:c r="V450" s="4" t="str">
        <x:v>低</x:v>
      </x:c>
      <x:c r="W450" s="4" t="str">
        <x:v>國家統計局2026年1–8月房地產公告L51、59及指標附註；原頁日期2026-09-15。</x:v>
      </x:c>
      <x:c r="X450" s="4" t="str">
        <x:v>單一獨立來源；歷史期間統計但整合標籤仍為示意；二手房面積不是二手住宅套數。</x:v>
      </x:c>
      <x:c r="Y450" s="37" t="d">
        <x:v>2026-10-09T00:00:00.000Z</x:v>
      </x:c>
      <x:c r="Z450" s="4" t="str">
        <x:v>turn208view4</x:v>
      </x:c>
    </x:row>
    <x:row r="451" ht="38" customHeight="1">
      <x:c r="A451" s="4" t="str">
        <x:v>M0450</x:v>
      </x:c>
      <x:c r="B451" s="4" t="str">
        <x:v>CN</x:v>
      </x:c>
      <x:c r="C451" s="4" t="str">
        <x:v>新建商品住宅銷售面積年變動</x:v>
      </x:c>
      <x:c r="D451" s="17" t="n">
        <x:v>-13</x:v>
      </x:c>
      <x:c r="E451" s="4" t="str">
        <x:v>%</x:v>
      </x:c>
      <x:c r="F451" s="16" t="str">
        <x:v>2026年1–8月</x:v>
      </x:c>
      <x:c r="G451" s="4" t="str">
        <x:v>2026年1–8月累計年增減；按可比口徑</x:v>
      </x:c>
      <x:c r="H451" s="4" t="str">
        <x:v>CN15</x:v>
      </x:c>
      <x:c r="I451" s="4" t="str">
        <x:v>https://www.stats.gov.cn/sj/zxfb/202609/t20260915_1965310.html</x:v>
      </x:c>
      <x:c r="J451" s="4" t="str">
        <x:v>是</x:v>
      </x:c>
      <x:c r="K451" s="4" t="str">
        <x:v>是</x:v>
      </x:c>
      <x:c r="L451" s="4" t="str">
        <x:v>是</x:v>
      </x:c>
      <x:c r="M451" s="4" t="str">
        <x:v>是</x:v>
      </x:c>
      <x:c r="N451" s="4" t="str">
        <x:v>pass</x:v>
      </x:c>
      <x:c r="O451" s="4" t="str">
        <x:v>A</x:v>
      </x:c>
      <x:c r="P451" s="4" t="str">
        <x:v>是</x:v>
      </x:c>
      <x:c r="Q451" s="17" t="n">
        <x:v>-13</x:v>
      </x:c>
      <x:c r="R451" s="16" t="str">
        <x:v>2026年1–8月</x:v>
      </x:c>
      <x:c r="S451" s="4" t="str">
        <x:v>【示意】2026年1–8月累計年增減；按可比口徑；獨立來源1；來源A級</x:v>
      </x:c>
      <x:c r="T451" s="4" t="str">
        <x:v>示意</x:v>
      </x:c>
      <x:c r="U451" s="16" t="n">
        <x:v>1</x:v>
      </x:c>
      <x:c r="V451" s="4" t="str">
        <x:v>低</x:v>
      </x:c>
      <x:c r="W451" s="4" t="str">
        <x:v>國家統計局2026年1–8月房地產公告L51、59及指標附註；原頁日期2026-09-15。</x:v>
      </x:c>
      <x:c r="X451" s="4" t="str">
        <x:v>單一獨立來源；歷史期間統計但整合標籤仍為示意；二手房面積不是二手住宅套數。</x:v>
      </x:c>
      <x:c r="Y451" s="37" t="d">
        <x:v>2026-10-09T00:00:00.000Z</x:v>
      </x:c>
      <x:c r="Z451" s="4" t="str">
        <x:v>turn208view4</x:v>
      </x:c>
    </x:row>
    <x:row r="452" ht="38" customHeight="1">
      <x:c r="A452" s="4" t="str">
        <x:v>M0451</x:v>
      </x:c>
      <x:c r="B452" s="4" t="str">
        <x:v>CN</x:v>
      </x:c>
      <x:c r="C452" s="4" t="str">
        <x:v>二手房交易網簽面積</x:v>
      </x:c>
      <x:c r="D452" s="17" t="n">
        <x:v>54923</x:v>
      </x:c>
      <x:c r="E452" s="4" t="str">
        <x:v>萬m²</x:v>
      </x:c>
      <x:c r="F452" s="16" t="str">
        <x:v>2026年1–8月</x:v>
      </x:c>
      <x:c r="G452" s="4" t="str">
        <x:v>國統引用住建部資料；城鎮二手房合同總面積，未單列住宅，不能直接作住宅中古占比</x:v>
      </x:c>
      <x:c r="H452" s="4" t="str">
        <x:v>CN15</x:v>
      </x:c>
      <x:c r="I452" s="4" t="str">
        <x:v>https://www.stats.gov.cn/sj/zxfb/202609/t20260915_1965310.html</x:v>
      </x:c>
      <x:c r="J452" s="4" t="str">
        <x:v>是</x:v>
      </x:c>
      <x:c r="K452" s="4" t="str">
        <x:v>是</x:v>
      </x:c>
      <x:c r="L452" s="4" t="str">
        <x:v>是</x:v>
      </x:c>
      <x:c r="M452" s="4" t="str">
        <x:v>是</x:v>
      </x:c>
      <x:c r="N452" s="4" t="str">
        <x:v>pass</x:v>
      </x:c>
      <x:c r="O452" s="4" t="str">
        <x:v>A</x:v>
      </x:c>
      <x:c r="P452" s="4" t="str">
        <x:v>是</x:v>
      </x:c>
      <x:c r="Q452" s="17" t="n">
        <x:v>54923</x:v>
      </x:c>
      <x:c r="R452" s="16" t="str">
        <x:v>2026年1–8月</x:v>
      </x:c>
      <x:c r="S452" s="4" t="str">
        <x:v>【示意】國統引用住建部資料；城鎮二手房合同總面積，未單列住宅，不能直接作住宅中古占比；獨立來源1；來源A級</x:v>
      </x:c>
      <x:c r="T452" s="4" t="str">
        <x:v>示意</x:v>
      </x:c>
      <x:c r="U452" s="16" t="n">
        <x:v>1</x:v>
      </x:c>
      <x:c r="V452" s="4" t="str">
        <x:v>低</x:v>
      </x:c>
      <x:c r="W452" s="4" t="str">
        <x:v>國家統計局2026年1–8月房地產公告L51、59及指標附註；原頁日期2026-09-15。</x:v>
      </x:c>
      <x:c r="X452" s="4" t="str">
        <x:v>單一獨立來源；歷史期間統計但整合標籤仍為示意；二手房面積不是二手住宅套數。</x:v>
      </x:c>
      <x:c r="Y452" s="37" t="d">
        <x:v>2026-10-09T00:00:00.000Z</x:v>
      </x:c>
      <x:c r="Z452" s="4" t="str">
        <x:v>turn208view4</x:v>
      </x:c>
    </x:row>
    <x:row r="453" ht="38" customHeight="1">
      <x:c r="A453" s="4" t="str">
        <x:v>M0452</x:v>
      </x:c>
      <x:c r="B453" s="4" t="str">
        <x:v>CN</x:v>
      </x:c>
      <x:c r="C453" s="4" t="str">
        <x:v>二手房交易網簽面積年變動</x:v>
      </x:c>
      <x:c r="D453" s="19" t="n">
        <x:v>10.6</x:v>
      </x:c>
      <x:c r="E453" s="4" t="str">
        <x:v>%</x:v>
      </x:c>
      <x:c r="F453" s="16" t="str">
        <x:v>2026年1–8月</x:v>
      </x:c>
      <x:c r="G453" s="4" t="str">
        <x:v>國統引用住建部；2026年1–8月累計；非住宅裝修年增率</x:v>
      </x:c>
      <x:c r="H453" s="4" t="str">
        <x:v>CN15</x:v>
      </x:c>
      <x:c r="I453" s="4" t="str">
        <x:v>https://www.stats.gov.cn/sj/zxfb/202609/t20260915_1965310.html</x:v>
      </x:c>
      <x:c r="J453" s="4" t="str">
        <x:v>是</x:v>
      </x:c>
      <x:c r="K453" s="4" t="str">
        <x:v>是</x:v>
      </x:c>
      <x:c r="L453" s="4" t="str">
        <x:v>是</x:v>
      </x:c>
      <x:c r="M453" s="4" t="str">
        <x:v>是</x:v>
      </x:c>
      <x:c r="N453" s="4" t="str">
        <x:v>pass</x:v>
      </x:c>
      <x:c r="O453" s="4" t="str">
        <x:v>A</x:v>
      </x:c>
      <x:c r="P453" s="4" t="str">
        <x:v>是</x:v>
      </x:c>
      <x:c r="Q453" s="19" t="n">
        <x:v>10.6</x:v>
      </x:c>
      <x:c r="R453" s="16" t="str">
        <x:v>2026年1–8月</x:v>
      </x:c>
      <x:c r="S453" s="4" t="str">
        <x:v>【示意】國統引用住建部；2026年1–8月累計；非住宅裝修年增率；獨立來源1；來源A級</x:v>
      </x:c>
      <x:c r="T453" s="4" t="str">
        <x:v>示意</x:v>
      </x:c>
      <x:c r="U453" s="16" t="n">
        <x:v>1</x:v>
      </x:c>
      <x:c r="V453" s="4" t="str">
        <x:v>低</x:v>
      </x:c>
      <x:c r="W453" s="4" t="str">
        <x:v>國家統計局2026年1–8月房地產公告L51、59及指標附註；原頁日期2026-09-15。</x:v>
      </x:c>
      <x:c r="X453" s="4" t="str">
        <x:v>單一獨立來源；歷史期間統計但整合標籤仍為示意；二手房面積不是二手住宅套數。</x:v>
      </x:c>
      <x:c r="Y453" s="37" t="d">
        <x:v>2026-10-09T00:00:00.000Z</x:v>
      </x:c>
      <x:c r="Z453" s="4" t="str">
        <x:v>turn208view4</x:v>
      </x:c>
    </x:row>
    <x:row r="454" ht="38" customHeight="1">
      <x:c r="A454" s="4" t="str">
        <x:v>M0453</x:v>
      </x:c>
      <x:c r="B454" s="4" t="str">
        <x:v>MY</x:v>
      </x:c>
      <x:c r="C454" s="4" t="str">
        <x:v>住宅改善商品市場</x:v>
      </x:c>
      <x:c r="D454" s="18" t="n">
        <x:v>47.73</x:v>
      </x:c>
      <x:c r="E454" s="4" t="str">
        <x:v>十億MYR</x:v>
      </x:c>
      <x:c r="F454" s="16" t="n">
        <x:v>2024</x:v>
      </x:c>
      <x:c r="G454" s="4" t="str">
        <x:v>Protégé估計商品銷售；行業範圍含製造／批零／相關服務，但此規模表明列products sales；非純施工</x:v>
      </x:c>
      <x:c r="H454" s="4" t="str">
        <x:v>MY24</x:v>
      </x:c>
      <x:c r="I454" s="4" t="str">
        <x:v>https://anns.sgp1.cdn.digitaloceanspaces.com/3629602.pdf</x:v>
      </x:c>
      <x:c r="J454" s="4" t="str">
        <x:v>是</x:v>
      </x:c>
      <x:c r="K454" s="4" t="str">
        <x:v>是</x:v>
      </x:c>
      <x:c r="L454" s="4" t="str">
        <x:v>是</x:v>
      </x:c>
      <x:c r="M454" s="4" t="str">
        <x:v>是</x:v>
      </x:c>
      <x:c r="N454" s="4" t="str">
        <x:v>pass</x:v>
      </x:c>
      <x:c r="O454" s="4" t="str">
        <x:v>A</x:v>
      </x:c>
      <x:c r="P454" s="4" t="str">
        <x:v>是</x:v>
      </x:c>
      <x:c r="Q454" s="18" t="n">
        <x:v>47.73</x:v>
      </x:c>
      <x:c r="R454" s="16" t="n">
        <x:v>2024</x:v>
      </x:c>
      <x:c r="S454" s="4" t="str">
        <x:v>【示意】Protégé估計商品銷售；行業範圍含製造／批零／相關服務，但此規模表明列products sales；非純施工；獨立來源1；來源A級</x:v>
      </x:c>
      <x:c r="T454" s="4" t="str">
        <x:v>示意</x:v>
      </x:c>
      <x:c r="U454" s="16" t="n">
        <x:v>1</x:v>
      </x:c>
      <x:c r="V454" s="4" t="str">
        <x:v>低</x:v>
      </x:c>
      <x:c r="W454" s="4" t="str">
        <x:v>招股書PDF第233頁圖6：2024 47.73、2025e 49.64、2029f 59.19（十億MYR）；表註e估計f預測、商品銷售。</x:v>
      </x:c>
      <x:c r="X454" s="4" t="str">
        <x:v>替代失效URL；相同資料不增加獨立來源數。</x:v>
      </x:c>
      <x:c r="Y454" s="37" t="d">
        <x:v>2026-10-09T00:00:00.000Z</x:v>
      </x:c>
      <x:c r="Z454" s="4" t="str">
        <x:v>turn256view0</x:v>
      </x:c>
    </x:row>
    <x:row r="455" ht="38" customHeight="1">
      <x:c r="A455" s="4" t="str">
        <x:v>M0454</x:v>
      </x:c>
      <x:c r="B455" s="4" t="str">
        <x:v>MY</x:v>
      </x:c>
      <x:c r="C455" s="4" t="str">
        <x:v>住宅改善商品市場估計</x:v>
      </x:c>
      <x:c r="D455" s="18" t="n">
        <x:v>49.64</x:v>
      </x:c>
      <x:c r="E455" s="4" t="str">
        <x:v>十億MYR</x:v>
      </x:c>
      <x:c r="F455" s="16" t="n">
        <x:v>2025</x:v>
      </x:c>
      <x:c r="G455" s="4" t="str">
        <x:v>招股書標e估計；非2025官方實績</x:v>
      </x:c>
      <x:c r="H455" s="4" t="str">
        <x:v>MY24</x:v>
      </x:c>
      <x:c r="I455" s="4" t="str">
        <x:v>https://anns.sgp1.cdn.digitaloceanspaces.com/3629602.pdf</x:v>
      </x:c>
      <x:c r="J455" s="4" t="str">
        <x:v>是</x:v>
      </x:c>
      <x:c r="K455" s="4" t="str">
        <x:v>是</x:v>
      </x:c>
      <x:c r="L455" s="4" t="str">
        <x:v>是</x:v>
      </x:c>
      <x:c r="M455" s="4" t="str">
        <x:v>是</x:v>
      </x:c>
      <x:c r="N455" s="4" t="str">
        <x:v>pass</x:v>
      </x:c>
      <x:c r="O455" s="4" t="str">
        <x:v>A</x:v>
      </x:c>
      <x:c r="P455" s="4" t="str">
        <x:v>是</x:v>
      </x:c>
      <x:c r="Q455" s="18" t="n">
        <x:v>49.64</x:v>
      </x:c>
      <x:c r="R455" s="16" t="n">
        <x:v>2025</x:v>
      </x:c>
      <x:c r="S455" s="4" t="str">
        <x:v>【示意】招股書標e估計；非2025官方實績；獨立來源1；來源A級</x:v>
      </x:c>
      <x:c r="T455" s="4" t="str">
        <x:v>示意</x:v>
      </x:c>
      <x:c r="U455" s="16" t="n">
        <x:v>1</x:v>
      </x:c>
      <x:c r="V455" s="4" t="str">
        <x:v>低</x:v>
      </x:c>
      <x:c r="W455" s="4" t="str">
        <x:v>招股書PDF第233頁圖6：2024 47.73、2025e 49.64、2029f 59.19（十億MYR）；表註e估計f預測、商品銷售。</x:v>
      </x:c>
      <x:c r="X455" s="4" t="str">
        <x:v>替代失效URL；相同資料不增加獨立來源數。</x:v>
      </x:c>
      <x:c r="Y455" s="37" t="d">
        <x:v>2026-10-09T00:00:00.000Z</x:v>
      </x:c>
      <x:c r="Z455" s="4" t="str">
        <x:v>turn256view0</x:v>
      </x:c>
    </x:row>
    <x:row r="456" ht="38" customHeight="1">
      <x:c r="A456" s="4" t="str">
        <x:v>M0455</x:v>
      </x:c>
      <x:c r="B456" s="4" t="str">
        <x:v>MY</x:v>
      </x:c>
      <x:c r="C456" s="4" t="str">
        <x:v>住宅改善商品市場預測</x:v>
      </x:c>
      <x:c r="D456" s="18" t="n">
        <x:v>59.19</x:v>
      </x:c>
      <x:c r="E456" s="4" t="str">
        <x:v>十億MYR</x:v>
      </x:c>
      <x:c r="F456" s="16" t="n">
        <x:v>2029</x:v>
      </x:c>
      <x:c r="G456" s="4" t="str">
        <x:v>招股書標f預測，不是2030實績</x:v>
      </x:c>
      <x:c r="H456" s="4" t="str">
        <x:v>MY24</x:v>
      </x:c>
      <x:c r="I456" s="4" t="str">
        <x:v>https://anns.sgp1.cdn.digitaloceanspaces.com/3629602.pdf</x:v>
      </x:c>
      <x:c r="J456" s="4" t="str">
        <x:v>是</x:v>
      </x:c>
      <x:c r="K456" s="4" t="str">
        <x:v>是</x:v>
      </x:c>
      <x:c r="L456" s="4" t="str">
        <x:v>是</x:v>
      </x:c>
      <x:c r="M456" s="4" t="str">
        <x:v>是</x:v>
      </x:c>
      <x:c r="N456" s="4" t="str">
        <x:v>pass</x:v>
      </x:c>
      <x:c r="O456" s="4" t="str">
        <x:v>A</x:v>
      </x:c>
      <x:c r="P456" s="4" t="str">
        <x:v>是</x:v>
      </x:c>
      <x:c r="Q456" s="18" t="n">
        <x:v>59.19</x:v>
      </x:c>
      <x:c r="R456" s="16" t="n">
        <x:v>2029</x:v>
      </x:c>
      <x:c r="S456" s="4" t="str">
        <x:v>【預測／示意】招股書標f預測，不是2030實績；獨立來源1；來源A級</x:v>
      </x:c>
      <x:c r="T456" s="4" t="str">
        <x:v>預測／示意</x:v>
      </x:c>
      <x:c r="U456" s="16" t="n">
        <x:v>1</x:v>
      </x:c>
      <x:c r="V456" s="4" t="str">
        <x:v>低</x:v>
      </x:c>
      <x:c r="W456" s="4" t="str">
        <x:v>招股書PDF第233頁圖6：2024 47.73、2025e 49.64、2029f 59.19（十億MYR）；表註e估計f預測、商品銷售。</x:v>
      </x:c>
      <x:c r="X456" s="4" t="str">
        <x:v>替代失效URL；相同資料不增加獨立來源數。</x:v>
      </x:c>
      <x:c r="Y456" s="37" t="d">
        <x:v>2026-10-09T00:00:00.000Z</x:v>
      </x:c>
      <x:c r="Z456" s="4" t="str">
        <x:v>turn256view0</x:v>
      </x:c>
    </x:row>
    <x:row r="457" ht="192" customHeight="1">
      <x:c r="A457" s="4" t="str">
        <x:v>M0456</x:v>
      </x:c>
      <x:c r="B457" s="4" t="str">
        <x:v>TH</x:v>
      </x:c>
      <x:c r="C457" s="4" t="str">
        <x:v>最低日薪下限</x:v>
      </x:c>
      <x:c r="D457" s="17" t="n">
        <x:v>337</x:v>
      </x:c>
      <x:c r="E457" s="4" t="str">
        <x:v>THB/日</x:v>
      </x:c>
      <x:c r="F457" s="16" t="str">
        <x:v>2025-07-01起</x:v>
      </x:c>
      <x:c r="G457" s="4" t="str">
        <x:v>依區域／行業；非熟練師傅市場行情</x:v>
      </x:c>
      <x:c r="H457" s="4" t="str">
        <x:v>TH25</x:v>
      </x:c>
      <x:c r="I457" s="4" t="str">
        <x:v>https://www.mol.go.th/news/%E0%B9%80%E0%B8%A3%E0%B8%B4%E0%B9%88%E0%B8%A1-1-%E0%B8%81%E0%B8%A3%E0%B8%81%E0%B8%8E%E0%B8%B2%E0%B8%84%E0%B8%A1%E0%B8%99%E0%B8%B5%E0%B9%89-%E0%B8%81%E0%B8%A3%E0%B8%B0%E0%B8%97%E0%B8%A3%E0%B8%A7%E0%B8%87%E0%B9%81%E0%B8%A3%E0%B8%87%E0%B8%87%E0%B8%B2%E0%B8%99-%E0%B8%9B%E0%B8%A3%E0%B8%B1%E0%B8%9A%E0%B9%83%E0%B8%AB%E0%B8%A1%E0%B9%88%E0%B8%84%E0%B9%88%E0%B8%B2%E0%B9%81%E0%B8%A3%E0%B8%87%E0%B8%82%E0%B8%B1%E0%B9%89%E0%B8%99%E0%B8%95%E0%B9%88%E0%B8%B3-%E0%B8%AA%E0%B8%AD%E0%B8%94%E0%B8%A3%E0%B8%B1%E0%B8%9A%E0%B9%80%E0%B8%A8%E0%B8%A3%E0%B8%A9%E0%B8%90%E0%B8%81%E0%B8%B4%E0%B8%88-%E0%B8%A2%E0%B8%81%E0%B8%A3%E0%B8%B0%E0%B8%94%E0%B8%B1%E0%B8%9A%E0%B8%84%E0%B8%B8%E0%B8%93%E0%B8%A0%E0%B8%B2%E0%B8%9E%E0%B8%8A%E0%B8%B5%E0%B8%A7%E0%B8%B4%E0%B8%95%E0%B9%81%E0%B8%A3%E0%B8%87%E0%B8%87%E0%B8%B2%E0%B8%99</x:v>
      </x:c>
      <x:c r="J457" s="4" t="str">
        <x:v>是</x:v>
      </x:c>
      <x:c r="K457" s="4" t="str">
        <x:v>是</x:v>
      </x:c>
      <x:c r="L457" s="4" t="str">
        <x:v>是</x:v>
      </x:c>
      <x:c r="M457" s="4" t="str">
        <x:v>是</x:v>
      </x:c>
      <x:c r="N457" s="4" t="str">
        <x:v>pass</x:v>
      </x:c>
      <x:c r="O457" s="4" t="str">
        <x:v>A</x:v>
      </x:c>
      <x:c r="P457" s="4" t="str">
        <x:v>是</x:v>
      </x:c>
      <x:c r="Q457" s="17" t="n">
        <x:v>337</x:v>
      </x:c>
      <x:c r="R457" s="16" t="str">
        <x:v>2025-07-01起</x:v>
      </x:c>
      <x:c r="S457" s="4" t="str">
        <x:v>【示意】依區域／行業；非熟練師傅市場行情；獨立來源1；來源A級</x:v>
      </x:c>
      <x:c r="T457" s="4" t="str">
        <x:v>示意</x:v>
      </x:c>
      <x:c r="U457" s="16" t="n">
        <x:v>1</x:v>
      </x:c>
      <x:c r="V457" s="4" t="str">
        <x:v>低</x:v>
      </x:c>
      <x:c r="W457" s="4" t="str">
        <x:v>勞動部2025-07-01公告第37–63行：曼谷所有行業400 THB/日；三南部府最低337 THB/日。</x:v>
      </x:c>
      <x:c r="X457" s="4" t="str">
        <x:v>替代失效URL；相同資料不增加獨立來源數。</x:v>
      </x:c>
      <x:c r="Y457" s="37" t="d">
        <x:v>2026-10-09T00:00:00.000Z</x:v>
      </x:c>
      <x:c r="Z457" s="4" t="str">
        <x:v>turn258view0</x:v>
      </x:c>
    </x:row>
    <x:row r="458" ht="192" customHeight="1">
      <x:c r="A458" s="4" t="str">
        <x:v>M0457</x:v>
      </x:c>
      <x:c r="B458" s="4" t="str">
        <x:v>TH</x:v>
      </x:c>
      <x:c r="C458" s="4" t="str">
        <x:v>曼谷最低日薪</x:v>
      </x:c>
      <x:c r="D458" s="17" t="n">
        <x:v>400</x:v>
      </x:c>
      <x:c r="E458" s="4" t="str">
        <x:v>THB/日</x:v>
      </x:c>
      <x:c r="F458" s="16" t="str">
        <x:v>2025-07-01起</x:v>
      </x:c>
      <x:c r="G458" s="4" t="str">
        <x:v>法定門檻，不是木工／水電報價</x:v>
      </x:c>
      <x:c r="H458" s="4" t="str">
        <x:v>TH25</x:v>
      </x:c>
      <x:c r="I458" s="4" t="str">
        <x:v>https://www.mol.go.th/news/%E0%B9%80%E0%B8%A3%E0%B8%B4%E0%B9%88%E0%B8%A1-1-%E0%B8%81%E0%B8%A3%E0%B8%81%E0%B8%8E%E0%B8%B2%E0%B8%84%E0%B8%A1%E0%B8%99%E0%B8%B5%E0%B9%89-%E0%B8%81%E0%B8%A3%E0%B8%B0%E0%B8%97%E0%B8%A3%E0%B8%A7%E0%B8%87%E0%B9%81%E0%B8%A3%E0%B8%87%E0%B8%87%E0%B8%B2%E0%B8%99-%E0%B8%9B%E0%B8%A3%E0%B8%B1%E0%B8%9A%E0%B9%83%E0%B8%AB%E0%B8%A1%E0%B9%88%E0%B8%84%E0%B9%88%E0%B8%B2%E0%B9%81%E0%B8%A3%E0%B8%87%E0%B8%82%E0%B8%B1%E0%B9%89%E0%B8%99%E0%B8%95%E0%B9%88%E0%B8%B3-%E0%B8%AA%E0%B8%AD%E0%B8%94%E0%B8%A3%E0%B8%B1%E0%B8%9A%E0%B9%80%E0%B8%A8%E0%B8%A3%E0%B8%A9%E0%B8%90%E0%B8%81%E0%B8%B4%E0%B8%88-%E0%B8%A2%E0%B8%81%E0%B8%A3%E0%B8%B0%E0%B8%94%E0%B8%B1%E0%B8%9A%E0%B8%84%E0%B8%B8%E0%B8%93%E0%B8%A0%E0%B8%B2%E0%B8%9E%E0%B8%8A%E0%B8%B5%E0%B8%A7%E0%B8%B4%E0%B8%95%E0%B9%81%E0%B8%A3%E0%B8%87%E0%B8%87%E0%B8%B2%E0%B8%99</x:v>
      </x:c>
      <x:c r="J458" s="4" t="str">
        <x:v>是</x:v>
      </x:c>
      <x:c r="K458" s="4" t="str">
        <x:v>是</x:v>
      </x:c>
      <x:c r="L458" s="4" t="str">
        <x:v>是</x:v>
      </x:c>
      <x:c r="M458" s="4" t="str">
        <x:v>是</x:v>
      </x:c>
      <x:c r="N458" s="4" t="str">
        <x:v>pass</x:v>
      </x:c>
      <x:c r="O458" s="4" t="str">
        <x:v>A</x:v>
      </x:c>
      <x:c r="P458" s="4" t="str">
        <x:v>是</x:v>
      </x:c>
      <x:c r="Q458" s="17" t="n">
        <x:v>400</x:v>
      </x:c>
      <x:c r="R458" s="16" t="str">
        <x:v>2025-07-01起</x:v>
      </x:c>
      <x:c r="S458" s="4" t="str">
        <x:v>【示意】法定門檻，不是木工／水電報價；獨立來源1；來源A級</x:v>
      </x:c>
      <x:c r="T458" s="4" t="str">
        <x:v>示意</x:v>
      </x:c>
      <x:c r="U458" s="16" t="n">
        <x:v>1</x:v>
      </x:c>
      <x:c r="V458" s="4" t="str">
        <x:v>低</x:v>
      </x:c>
      <x:c r="W458" s="4" t="str">
        <x:v>勞動部2025-07-01公告第37–63行：曼谷所有行業400 THB/日；三南部府最低337 THB/日。</x:v>
      </x:c>
      <x:c r="X458" s="4" t="str">
        <x:v>替代失效URL；相同資料不增加獨立來源數。</x:v>
      </x:c>
      <x:c r="Y458" s="37" t="d">
        <x:v>2026-10-09T00:00:00.000Z</x:v>
      </x:c>
      <x:c r="Z458" s="4" t="str">
        <x:v>turn258view0</x:v>
      </x:c>
    </x:row>
    <x:row r="459" ht="30" customHeight="1">
      <x:c r="A459" s="4" t="str">
        <x:v>M0458</x:v>
      </x:c>
      <x:c r="B459" s="4" t="str">
        <x:v>MY</x:v>
      </x:c>
      <x:c r="C459" s="4" t="str">
        <x:v>Qanvast基本住宅裝修平台參考價</x:v>
      </x:c>
      <x:c r="D459" s="14" t="str">
        <x:v>20–40</x:v>
      </x:c>
      <x:c r="E459" s="4" t="str">
        <x:v>MYR/平方英尺</x:v>
      </x:c>
      <x:c r="F459" s="16" t="str">
        <x:v>2026查閱</x:v>
      </x:c>
      <x:c r="G459" s="4" t="str">
        <x:v>平台FAQ範圍；樣本、面積、税項未披露；非全國基本級調查</x:v>
      </x:c>
      <x:c r="H459" s="4" t="str">
        <x:v>MY10</x:v>
      </x:c>
      <x:c r="I459" s="4" t="str">
        <x:v>https://qanvast.com/my/interior-designers</x:v>
      </x:c>
      <x:c r="J459" s="4" t="str">
        <x:v>是</x:v>
      </x:c>
      <x:c r="K459" s="4" t="str">
        <x:v>是</x:v>
      </x:c>
      <x:c r="L459" s="4" t="str">
        <x:v>是</x:v>
      </x:c>
      <x:c r="M459" s="4" t="str">
        <x:v>是</x:v>
      </x:c>
      <x:c r="N459" s="4" t="str">
        <x:v>pass</x:v>
      </x:c>
      <x:c r="O459" s="4" t="str">
        <x:v>C</x:v>
      </x:c>
      <x:c r="P459" s="4" t="str">
        <x:v>是</x:v>
      </x:c>
      <x:c r="Q459" s="14" t="str">
        <x:v>20–40</x:v>
      </x:c>
      <x:c r="R459" s="16" t="str">
        <x:v>2026查閱</x:v>
      </x:c>
      <x:c r="S459" s="4" t="str">
        <x:v>【示意】平台FAQ範圍；樣本、面積、税項未披露；非全國基本級調查；獨立來源1；來源C級</x:v>
      </x:c>
      <x:c r="T459" s="4" t="str">
        <x:v>示意</x:v>
      </x:c>
      <x:c r="U459" s="16" t="n">
        <x:v>1</x:v>
      </x:c>
      <x:c r="V459" s="4" t="str">
        <x:v>低</x:v>
      </x:c>
      <x:c r="W459" s="4" t="str">
        <x:v>Qanvast FAQ第289、293及300行；頁面未揭樣本年度，僅標本輪查閱年。</x:v>
      </x:c>
      <x:c r="X459" s="4" t="str">
        <x:v>平台自報單源，補充範圍但不填成國家實際行情。</x:v>
      </x:c>
      <x:c r="Y459" s="37" t="d">
        <x:v>2026-10-09T00:00:00.000Z</x:v>
      </x:c>
      <x:c r="Z459" s="4" t="str">
        <x:v>turn221view9</x:v>
      </x:c>
    </x:row>
    <x:row r="460" ht="30" customHeight="1">
      <x:c r="A460" s="4" t="str">
        <x:v>M0459</x:v>
      </x:c>
      <x:c r="B460" s="4" t="str">
        <x:v>MY</x:v>
      </x:c>
      <x:c r="C460" s="4" t="str">
        <x:v>Qanvast中階住宅裝修平台參考價</x:v>
      </x:c>
      <x:c r="D460" s="14" t="str">
        <x:v>40–70</x:v>
      </x:c>
      <x:c r="E460" s="4" t="str">
        <x:v>MYR/平方英尺</x:v>
      </x:c>
      <x:c r="F460" s="16" t="str">
        <x:v>2026查閱</x:v>
      </x:c>
      <x:c r="G460" s="4" t="str">
        <x:v>平台FAQ範圍；非同規格全國中階行情</x:v>
      </x:c>
      <x:c r="H460" s="4" t="str">
        <x:v>MY10</x:v>
      </x:c>
      <x:c r="I460" s="4" t="str">
        <x:v>https://qanvast.com/my/interior-designers</x:v>
      </x:c>
      <x:c r="J460" s="4" t="str">
        <x:v>是</x:v>
      </x:c>
      <x:c r="K460" s="4" t="str">
        <x:v>是</x:v>
      </x:c>
      <x:c r="L460" s="4" t="str">
        <x:v>是</x:v>
      </x:c>
      <x:c r="M460" s="4" t="str">
        <x:v>是</x:v>
      </x:c>
      <x:c r="N460" s="4" t="str">
        <x:v>pass</x:v>
      </x:c>
      <x:c r="O460" s="4" t="str">
        <x:v>C</x:v>
      </x:c>
      <x:c r="P460" s="4" t="str">
        <x:v>是</x:v>
      </x:c>
      <x:c r="Q460" s="14" t="str">
        <x:v>40–70</x:v>
      </x:c>
      <x:c r="R460" s="16" t="str">
        <x:v>2026查閱</x:v>
      </x:c>
      <x:c r="S460" s="4" t="str">
        <x:v>【示意】平台FAQ範圍；非同規格全國中階行情；獨立來源1；來源C級</x:v>
      </x:c>
      <x:c r="T460" s="4" t="str">
        <x:v>示意</x:v>
      </x:c>
      <x:c r="U460" s="16" t="n">
        <x:v>1</x:v>
      </x:c>
      <x:c r="V460" s="4" t="str">
        <x:v>低</x:v>
      </x:c>
      <x:c r="W460" s="4" t="str">
        <x:v>Qanvast FAQ第289、293及300行；頁面未揭樣本年度，僅標本輪查閱年。</x:v>
      </x:c>
      <x:c r="X460" s="4" t="str">
        <x:v>平台自報單源，補充範圍但不填成國家實際行情。</x:v>
      </x:c>
      <x:c r="Y460" s="37" t="d">
        <x:v>2026-10-09T00:00:00.000Z</x:v>
      </x:c>
      <x:c r="Z460" s="4" t="str">
        <x:v>turn221view9</x:v>
      </x:c>
    </x:row>
    <x:row r="461" ht="30" customHeight="1">
      <x:c r="A461" s="4" t="str">
        <x:v>M0460</x:v>
      </x:c>
      <x:c r="B461" s="4" t="str">
        <x:v>MY</x:v>
      </x:c>
      <x:c r="C461" s="4" t="str">
        <x:v>Qanvast高階住宅裝修平台參考價</x:v>
      </x:c>
      <x:c r="D461" s="14" t="str">
        <x:v>70–150+</x:v>
      </x:c>
      <x:c r="E461" s="4" t="str">
        <x:v>MYR/平方英尺</x:v>
      </x:c>
      <x:c r="F461" s="16" t="str">
        <x:v>2026查閱</x:v>
      </x:c>
      <x:c r="G461" s="4" t="str">
        <x:v>平台FAQ高階飾面；上端另有+，不能當封頂價</x:v>
      </x:c>
      <x:c r="H461" s="4" t="str">
        <x:v>MY10</x:v>
      </x:c>
      <x:c r="I461" s="4" t="str">
        <x:v>https://qanvast.com/my/interior-designers</x:v>
      </x:c>
      <x:c r="J461" s="4" t="str">
        <x:v>是</x:v>
      </x:c>
      <x:c r="K461" s="4" t="str">
        <x:v>是</x:v>
      </x:c>
      <x:c r="L461" s="4" t="str">
        <x:v>是</x:v>
      </x:c>
      <x:c r="M461" s="4" t="str">
        <x:v>是</x:v>
      </x:c>
      <x:c r="N461" s="4" t="str">
        <x:v>pass</x:v>
      </x:c>
      <x:c r="O461" s="4" t="str">
        <x:v>C</x:v>
      </x:c>
      <x:c r="P461" s="4" t="str">
        <x:v>是</x:v>
      </x:c>
      <x:c r="Q461" s="14" t="str">
        <x:v>70–150+</x:v>
      </x:c>
      <x:c r="R461" s="16" t="str">
        <x:v>2026查閱</x:v>
      </x:c>
      <x:c r="S461" s="4" t="str">
        <x:v>【示意】平台FAQ高階飾面；上端另有+，不能當封頂價；獨立來源1；來源C級</x:v>
      </x:c>
      <x:c r="T461" s="4" t="str">
        <x:v>示意</x:v>
      </x:c>
      <x:c r="U461" s="16" t="n">
        <x:v>1</x:v>
      </x:c>
      <x:c r="V461" s="4" t="str">
        <x:v>低</x:v>
      </x:c>
      <x:c r="W461" s="4" t="str">
        <x:v>Qanvast FAQ第289、293及300行；頁面未揭樣本年度，僅標本輪查閱年。</x:v>
      </x:c>
      <x:c r="X461" s="4" t="str">
        <x:v>平台自報單源，補充範圍但不填成國家實際行情。</x:v>
      </x:c>
      <x:c r="Y461" s="37" t="d">
        <x:v>2026-10-09T00:00:00.000Z</x:v>
      </x:c>
      <x:c r="Z461" s="4" t="str">
        <x:v>turn221view9</x:v>
      </x:c>
    </x:row>
    <x:row r="462" ht="38" customHeight="1">
      <x:c r="A462" s="4" t="str">
        <x:v>M0461</x:v>
      </x:c>
      <x:c r="B462" s="4" t="str">
        <x:v>MY</x:v>
      </x:c>
      <x:c r="C462" s="4" t="str">
        <x:v>Qanvast設計及管理費平台参考比例</x:v>
      </x:c>
      <x:c r="D462" s="14" t="str">
        <x:v>8–12</x:v>
      </x:c>
      <x:c r="E462" s="4" t="str">
        <x:v>%</x:v>
      </x:c>
      <x:c r="F462" s="16" t="str">
        <x:v>2026查閱</x:v>
      </x:c>
      <x:c r="G462" s="4" t="str">
        <x:v>分母總翻修預算；含規劃、3D、選材、管理，不等於純設計費/工程費</x:v>
      </x:c>
      <x:c r="H462" s="4" t="str">
        <x:v>MY10</x:v>
      </x:c>
      <x:c r="I462" s="4" t="str">
        <x:v>https://qanvast.com/my/interior-designers</x:v>
      </x:c>
      <x:c r="J462" s="4" t="str">
        <x:v>是</x:v>
      </x:c>
      <x:c r="K462" s="4" t="str">
        <x:v>是</x:v>
      </x:c>
      <x:c r="L462" s="4" t="str">
        <x:v>是</x:v>
      </x:c>
      <x:c r="M462" s="4" t="str">
        <x:v>是</x:v>
      </x:c>
      <x:c r="N462" s="4" t="str">
        <x:v>pass</x:v>
      </x:c>
      <x:c r="O462" s="4" t="str">
        <x:v>C</x:v>
      </x:c>
      <x:c r="P462" s="4" t="str">
        <x:v>是</x:v>
      </x:c>
      <x:c r="Q462" s="14" t="str">
        <x:v>8–12</x:v>
      </x:c>
      <x:c r="R462" s="16" t="str">
        <x:v>2026查閱</x:v>
      </x:c>
      <x:c r="S462" s="4" t="str">
        <x:v>【示意】分母總翻修預算；含規劃、3D、選材、管理，不等於純設計費/工程費；獨立來源1；來源C級</x:v>
      </x:c>
      <x:c r="T462" s="4" t="str">
        <x:v>示意</x:v>
      </x:c>
      <x:c r="U462" s="16" t="n">
        <x:v>1</x:v>
      </x:c>
      <x:c r="V462" s="4" t="str">
        <x:v>低</x:v>
      </x:c>
      <x:c r="W462" s="4" t="str">
        <x:v>Qanvast FAQ第289、293及300行；頁面未揭樣本年度，僅標本輪查閱年。</x:v>
      </x:c>
      <x:c r="X462" s="4" t="str">
        <x:v>平台自報單源，補充範圍但不填成國家實際行情。</x:v>
      </x:c>
      <x:c r="Y462" s="37" t="d">
        <x:v>2026-10-09T00:00:00.000Z</x:v>
      </x:c>
      <x:c r="Z462" s="4" t="str">
        <x:v>turn221view9</x:v>
      </x:c>
    </x:row>
    <x:row r="463" ht="30" customHeight="1">
      <x:c r="A463" s="4" t="str">
        <x:v>M0462</x:v>
      </x:c>
      <x:c r="B463" s="4" t="str">
        <x:v>MY</x:v>
      </x:c>
      <x:c r="C463" s="4" t="str">
        <x:v>Qanvast設計施工平台参考工期</x:v>
      </x:c>
      <x:c r="D463" s="14" t="str">
        <x:v>8–16</x:v>
      </x:c>
      <x:c r="E463" s="4" t="str">
        <x:v>週</x:v>
      </x:c>
      <x:c r="F463" s="16" t="str">
        <x:v>2026查閱</x:v>
      </x:c>
      <x:c r="G463" s="4" t="str">
        <x:v>平台典型全流程範圍；非成交樣本工期分布</x:v>
      </x:c>
      <x:c r="H463" s="4" t="str">
        <x:v>MY10</x:v>
      </x:c>
      <x:c r="I463" s="4" t="str">
        <x:v>https://qanvast.com/my/interior-designers</x:v>
      </x:c>
      <x:c r="J463" s="4" t="str">
        <x:v>是</x:v>
      </x:c>
      <x:c r="K463" s="4" t="str">
        <x:v>是</x:v>
      </x:c>
      <x:c r="L463" s="4" t="str">
        <x:v>是</x:v>
      </x:c>
      <x:c r="M463" s="4" t="str">
        <x:v>是</x:v>
      </x:c>
      <x:c r="N463" s="4" t="str">
        <x:v>pass</x:v>
      </x:c>
      <x:c r="O463" s="4" t="str">
        <x:v>C</x:v>
      </x:c>
      <x:c r="P463" s="4" t="str">
        <x:v>是</x:v>
      </x:c>
      <x:c r="Q463" s="14" t="str">
        <x:v>8–16</x:v>
      </x:c>
      <x:c r="R463" s="16" t="str">
        <x:v>2026查閱</x:v>
      </x:c>
      <x:c r="S463" s="4" t="str">
        <x:v>【示意】平台典型全流程範圍；非成交樣本工期分布；獨立來源1；來源C級</x:v>
      </x:c>
      <x:c r="T463" s="4" t="str">
        <x:v>示意</x:v>
      </x:c>
      <x:c r="U463" s="16" t="n">
        <x:v>1</x:v>
      </x:c>
      <x:c r="V463" s="4" t="str">
        <x:v>低</x:v>
      </x:c>
      <x:c r="W463" s="4" t="str">
        <x:v>Qanvast FAQ第289、293及300行；頁面未揭樣本年度，僅標本輪查閱年。</x:v>
      </x:c>
      <x:c r="X463" s="4" t="str">
        <x:v>平台自報單源，補充範圍但不填成國家實際行情。</x:v>
      </x:c>
      <x:c r="Y463" s="37" t="d">
        <x:v>2026-10-09T00:00:00.000Z</x:v>
      </x:c>
      <x:c r="Z463" s="4" t="str">
        <x:v>turn221view9</x:v>
      </x:c>
    </x:row>
  </x:sheetData>
  <x:conditionalFormatting sqref="N2:N463">
    <x:cfRule type="containsText" dxfId="2" priority="1" operator="containsText" text="fail"/>
    <x:cfRule type="containsText" dxfId="3" priority="2" operator="containsText" text="partial"/>
  </x:conditionalFormatting>
  <x:conditionalFormatting sqref="J2:M463">
    <x:cfRule type="containsText" dxfId="4" priority="3" operator="containsText" text="未確認"/>
  </x:conditionalFormatting>
  <x:conditionalFormatting sqref="P2:P463">
    <x:cfRule type="containsText" dxfId="5" priority="4" operator="containsText" text="否"/>
  </x:conditionalFormatting>
  <x:pageMargins left="0.7" right="0.7" top="0.75" bottom="0.75" header="0.3" footer="0.3"/>
  <x:tableParts count="1">
    <x:tablePart xmlns:r="http://schemas.openxmlformats.org/officeDocument/2006/relationships" r:id="Rc8a4da6fe7784dd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1.670000076293945" hidden="0" customWidth="1"/>
    <x:col min="2" max="2" width="42.220001220703125" hidden="0" customWidth="1"/>
    <x:col min="3" max="3" width="26.670000076293945" hidden="0" customWidth="1"/>
    <x:col min="4" max="4" width="16.670000076293945" hidden="0" customWidth="1"/>
    <x:col min="5" max="5" width="20" hidden="0" customWidth="1"/>
    <x:col min="6" max="6" width="11.670000076293945" hidden="0" customWidth="1"/>
    <x:col min="7" max="7" width="11.109999656677246" hidden="0" customWidth="1"/>
    <x:col min="8" max="8" width="19.440000534057617" hidden="0" customWidth="1"/>
    <x:col min="9" max="9" width="18.329999923706055" hidden="0" customWidth="1"/>
    <x:col min="10" max="10" width="14.4399995803833" hidden="0" customWidth="1"/>
    <x:col min="11" max="11" width="47.779998779296875" hidden="0" customWidth="1"/>
    <x:col min="12" max="12" width="62.220001220703125" hidden="0" customWidth="1"/>
    <x:col min="13" max="13" width="25.559999465942383" hidden="0" customWidth="1"/>
    <x:col min="14" max="14" width="28.889999389648438" hidden="0" customWidth="1"/>
  </x:cols>
  <x:sheetData>
    <x:row r="1" ht="32" customHeight="1">
      <x:c r="A1" s="10" t="str">
        <x:v>來源編號</x:v>
      </x:c>
      <x:c r="B1" s="11" t="str">
        <x:v>標題</x:v>
      </x:c>
      <x:c r="C1" s="11" t="str">
        <x:v>機構／作者</x:v>
      </x:c>
      <x:c r="D1" s="11" t="str">
        <x:v>年份</x:v>
      </x:c>
      <x:c r="E1" s="11" t="str">
        <x:v>語言</x:v>
      </x:c>
      <x:c r="F1" s="11" t="str">
        <x:v>在地市場</x:v>
      </x:c>
      <x:c r="G1" s="11" t="str">
        <x:v>來源分級</x:v>
      </x:c>
      <x:c r="H1" s="11" t="str">
        <x:v>開頁狀態</x:v>
      </x:c>
      <x:c r="I1" s="11" t="str">
        <x:v>閱讀狀態</x:v>
      </x:c>
      <x:c r="J1" s="11" t="str">
        <x:v>有實質內容</x:v>
      </x:c>
      <x:c r="K1" s="11" t="str">
        <x:v>來源 URL</x:v>
      </x:c>
      <x:c r="L1" s="11" t="str">
        <x:v>查核證據與限制</x:v>
      </x:c>
      <x:c r="M1" s="11" t="str">
        <x:v>證據定位</x:v>
      </x:c>
      <x:c r="N1" s="12" t="str">
        <x:v>獨立發布機構</x:v>
      </x:c>
    </x:row>
    <x:row r="2" ht="30" customHeight="1">
      <x:c r="A2" s="4" t="str">
        <x:v>TW01</x:v>
      </x:c>
      <x:c r="B2" s="4" t="str">
        <x:v>114年第4季國民所得初步統計</x:v>
      </x:c>
      <x:c r="C2" s="4" t="str">
        <x:v>行政院主計總處</x:v>
      </x:c>
      <x:c r="D2" s="15" t="n">
        <x:v>2026</x:v>
      </x:c>
      <x:c r="E2" s="4" t="str">
        <x:v>繁體中文</x:v>
      </x:c>
      <x:c r="F2" s="4" t="str">
        <x:v>TW</x:v>
      </x:c>
      <x:c r="G2" s="4" t="str">
        <x:v>A</x:v>
      </x:c>
      <x:c r="H2" s="4" t="str">
        <x:v>open</x:v>
      </x:c>
      <x:c r="I2" s="4" t="str"/>
      <x:c r="J2" s="4" t="str">
        <x:v>未記錄</x:v>
      </x:c>
      <x:c r="K2" s="24" t="str">
        <x:v>https://www.dgbas.gov.tw/News_Content.aspx?n=3602&amp;s=235719</x:v>
      </x:c>
      <x:c r="L2" s="4" t="str">
        <x:v>L261–292：2025全年每人GDP 39,492美元，2026-02-13發布，初步統計。</x:v>
      </x:c>
      <x:c r="M2" s="4" t="str">
        <x:v>turn160view0</x:v>
      </x:c>
      <x:c r="N2" s="4" t="str">
        <x:v>行政院主計總處</x:v>
      </x:c>
    </x:row>
    <x:row r="3" ht="30" customHeight="1">
      <x:c r="A3" s="4" t="str">
        <x:v>TW02</x:v>
      </x:c>
      <x:c r="B3" s="4" t="str">
        <x:v>民國114年12月戶口統計資料分析</x:v>
      </x:c>
      <x:c r="C3" s="4" t="str">
        <x:v>內政部戶政司</x:v>
      </x:c>
      <x:c r="D3" s="15" t="n">
        <x:v>2026</x:v>
      </x:c>
      <x:c r="E3" s="4" t="str">
        <x:v>繁體中文</x:v>
      </x:c>
      <x:c r="F3" s="4" t="str">
        <x:v>TW</x:v>
      </x:c>
      <x:c r="G3" s="4" t="str">
        <x:v>A</x:v>
      </x:c>
      <x:c r="H3" s="4" t="str">
        <x:v>open</x:v>
      </x:c>
      <x:c r="I3" s="4" t="str"/>
      <x:c r="J3" s="4" t="str">
        <x:v>未記錄</x:v>
      </x:c>
      <x:c r="K3" s="24" t="str">
        <x:v>https://www.moi.gov.tw/News_Content.aspx?n=2&amp;s=335870&amp;sms=9009</x:v>
      </x:c>
      <x:c r="L3" s="4" t="str">
        <x:v>L248–262：2025年12月底戶數9,851,532、人口23,299,132、戶量2.37、65歲以上20.06%。</x:v>
      </x:c>
      <x:c r="M3" s="4" t="str">
        <x:v>turn162view0;turn163view0</x:v>
      </x:c>
      <x:c r="N3" s="4" t="str">
        <x:v>內政部戶政司</x:v>
      </x:c>
    </x:row>
    <x:row r="4" ht="30" customHeight="1">
      <x:c r="A4" s="4" t="str">
        <x:v>TW03</x:v>
      </x:c>
      <x:c r="B4" s="4" t="str">
        <x:v>114年建物所有權第一次登記17.7萬棟、買賣26.1萬棟</x:v>
      </x:c>
      <x:c r="C4" s="4" t="str">
        <x:v>內政部</x:v>
      </x:c>
      <x:c r="D4" s="15" t="n">
        <x:v>2026</x:v>
      </x:c>
      <x:c r="E4" s="4" t="str">
        <x:v>繁體中文</x:v>
      </x:c>
      <x:c r="F4" s="4" t="str">
        <x:v>TW</x:v>
      </x:c>
      <x:c r="G4" s="4" t="str">
        <x:v>A</x:v>
      </x:c>
      <x:c r="H4" s="4" t="str">
        <x:v>open</x:v>
      </x:c>
      <x:c r="I4" s="4" t="str"/>
      <x:c r="J4" s="4" t="str">
        <x:v>未記錄</x:v>
      </x:c>
      <x:c r="K4" s="24" t="str">
        <x:v>https://www.moi.gov.tw/News_Content.aspx?n=2&amp;s=339138</x:v>
      </x:c>
      <x:c r="L4" s="4" t="str">
        <x:v>L245–251：2025第一次登記176,690棟；買賣261,308棟、年減25.5%；繼承78,324棟。</x:v>
      </x:c>
      <x:c r="M4" s="4" t="str">
        <x:v>turn162view1</x:v>
      </x:c>
      <x:c r="N4" s="4" t="str">
        <x:v>內政部</x:v>
      </x:c>
    </x:row>
    <x:row r="5" ht="38" customHeight="1">
      <x:c r="A5" s="4" t="str">
        <x:v>TW04</x:v>
      </x:c>
      <x:c r="B5" s="4" t="str">
        <x:v>114年下半年待售新成屋及低度使用住宅</x:v>
      </x:c>
      <x:c r="C5" s="4" t="str">
        <x:v>內政部</x:v>
      </x:c>
      <x:c r="D5" s="15" t="n">
        <x:v>2026</x:v>
      </x:c>
      <x:c r="E5" s="4" t="str">
        <x:v>繁體中文</x:v>
      </x:c>
      <x:c r="F5" s="4" t="str">
        <x:v>TW</x:v>
      </x:c>
      <x:c r="G5" s="4" t="str">
        <x:v>A</x:v>
      </x:c>
      <x:c r="H5" s="4" t="str">
        <x:v>open</x:v>
      </x:c>
      <x:c r="I5" s="4" t="str"/>
      <x:c r="J5" s="4" t="str">
        <x:v>未記錄</x:v>
      </x:c>
      <x:c r="K5" s="24" t="str">
        <x:v>https://www.moi.gov.tw/News_Content.aspx?n=2905&amp;s=339707</x:v>
      </x:c>
      <x:c r="L5" s="4" t="str">
        <x:v>L297–305：2025下半年低度用電住宅894,582宅、9.4%；2025住宅使用執照約14.2萬宅；2025Q4新建餘屋待售112,501宅、臺北4,710、宜蘭2,685宅。</x:v>
      </x:c>
      <x:c r="M5" s="4" t="str">
        <x:v>turn163view1</x:v>
      </x:c>
      <x:c r="N5" s="4" t="str">
        <x:v>內政部</x:v>
      </x:c>
    </x:row>
    <x:row r="6" ht="38" customHeight="1">
      <x:c r="A6" s="4" t="str">
        <x:v>TW05</x:v>
      </x:c>
      <x:c r="B6" s="4" t="str">
        <x:v>老宅延壽機能復新計畫</x:v>
      </x:c>
      <x:c r="C6" s="4" t="str">
        <x:v>行政院／內政部</x:v>
      </x:c>
      <x:c r="D6" s="15" t="n">
        <x:v>2026</x:v>
      </x:c>
      <x:c r="E6" s="4" t="str">
        <x:v>繁體中文</x:v>
      </x:c>
      <x:c r="F6" s="4" t="str">
        <x:v>TW</x:v>
      </x:c>
      <x:c r="G6" s="4" t="str">
        <x:v>A</x:v>
      </x:c>
      <x:c r="H6" s="4" t="str">
        <x:v>open</x:v>
      </x:c>
      <x:c r="I6" s="4" t="str"/>
      <x:c r="J6" s="4" t="str">
        <x:v>未記錄</x:v>
      </x:c>
      <x:c r="K6" s="24" t="str">
        <x:v>https://www.ey.gov.tw/Page/5A8A0CB5B41DA11E/2fcc4669-ac6d-43af-bbe5-d1359c21c4c8</x:v>
      </x:c>
      <x:c r="L6" s="4" t="str">
        <x:v>L127–143：2026-03-16政策頁；計畫114–116年、投入50億元，屬政策預算。</x:v>
      </x:c>
      <x:c r="M6" s="4" t="str">
        <x:v>turn161view3</x:v>
      </x:c>
      <x:c r="N6" s="4" t="str">
        <x:v>行政院／內政部</x:v>
      </x:c>
    </x:row>
    <x:row r="7" ht="30" customHeight="1">
      <x:c r="A7" s="4" t="str">
        <x:v>TW06</x:v>
      </x:c>
      <x:c r="B7" s="4" t="str">
        <x:v>建築物室內裝修管理辦法</x:v>
      </x:c>
      <x:c r="C7" s="4" t="str">
        <x:v>全國法規資料庫</x:v>
      </x:c>
      <x:c r="D7" s="15" t="n">
        <x:v>2026</x:v>
      </x:c>
      <x:c r="E7" s="4" t="str">
        <x:v>繁體中文</x:v>
      </x:c>
      <x:c r="F7" s="4" t="str">
        <x:v>TW</x:v>
      </x:c>
      <x:c r="G7" s="4" t="str">
        <x:v>A</x:v>
      </x:c>
      <x:c r="H7" s="4" t="str">
        <x:v>open</x:v>
      </x:c>
      <x:c r="I7" s="4" t="str"/>
      <x:c r="J7" s="4" t="str">
        <x:v>未記錄</x:v>
      </x:c>
      <x:c r="K7" s="24" t="str">
        <x:v>https://law.moj.gov.tw/LawClass/LawAll.aspx?PCode=D0070148</x:v>
      </x:c>
      <x:c r="L7" s="4" t="str">
        <x:v>第9–18條：專任設計／施工人員、登記許可與證書；第9條公司名稱要求；本轮閱讀法規原文。</x:v>
      </x:c>
      <x:c r="M7" s="4" t="str">
        <x:v>turn162view4</x:v>
      </x:c>
      <x:c r="N7" s="4" t="str">
        <x:v>全國法規資料庫</x:v>
      </x:c>
    </x:row>
    <x:row r="8" ht="30" customHeight="1">
      <x:c r="A8" s="4" t="str">
        <x:v>TW07</x:v>
      </x:c>
      <x:c r="B8" s="4" t="str">
        <x:v>2026裝修新制已上路假訊息澄清及登記家數</x:v>
      </x:c>
      <x:c r="C8" s="4" t="str">
        <x:v>內政部國土管理署</x:v>
      </x:c>
      <x:c r="D8" s="15" t="n">
        <x:v>2026</x:v>
      </x:c>
      <x:c r="E8" s="4" t="str">
        <x:v>繁體中文</x:v>
      </x:c>
      <x:c r="F8" s="4" t="str">
        <x:v>TW</x:v>
      </x:c>
      <x:c r="G8" s="4" t="str">
        <x:v>A</x:v>
      </x:c>
      <x:c r="H8" s="4" t="str">
        <x:v>open</x:v>
      </x:c>
      <x:c r="I8" s="4" t="str"/>
      <x:c r="J8" s="4" t="str">
        <x:v>未記錄</x:v>
      </x:c>
      <x:c r="K8" s="24" t="str">
        <x:v>https://www.moi.gov.tw/News_Content.aspx?n=4&amp;s=337863</x:v>
      </x:c>
      <x:c r="L8" s="4" t="str">
        <x:v>L245–253：2026-04-14公告；約1.7萬餘家、3.3萬人，契約草案當時尚未公告施行。</x:v>
      </x:c>
      <x:c r="M8" s="4" t="str">
        <x:v>turn162view3</x:v>
      </x:c>
      <x:c r="N8" s="4" t="str">
        <x:v>內政部國土管理署</x:v>
      </x:c>
    </x:row>
    <x:row r="9" ht="30" customHeight="1">
      <x:c r="A9" s="4" t="str">
        <x:v>TW08</x:v>
      </x:c>
      <x:c r="B9" s="4" t="str">
        <x:v>室內裝修定型化契約預告草案</x:v>
      </x:c>
      <x:c r="C9" s="4" t="str">
        <x:v>內政部國土管理署</x:v>
      </x:c>
      <x:c r="D9" s="15" t="n">
        <x:v>2025</x:v>
      </x:c>
      <x:c r="E9" s="4" t="str">
        <x:v>繁體中文</x:v>
      </x:c>
      <x:c r="F9" s="4" t="str">
        <x:v>TW</x:v>
      </x:c>
      <x:c r="G9" s="4" t="str">
        <x:v>A</x:v>
      </x:c>
      <x:c r="H9" s="4" t="str">
        <x:v>open</x:v>
      </x:c>
      <x:c r="I9" s="4" t="str"/>
      <x:c r="J9" s="4" t="str">
        <x:v>未記錄</x:v>
      </x:c>
      <x:c r="K9" s="24" t="str">
        <x:v>https://www.nlma.gov.tw/ch/legislation/regsearch/7254</x:v>
      </x:c>
      <x:c r="L9" s="4" t="str">
        <x:v>L2–17：114.11.26公告，預告草案與60日陳述意見期，不是施行公告。</x:v>
      </x:c>
      <x:c r="M9" s="4" t="str">
        <x:v>turn166view0</x:v>
      </x:c>
      <x:c r="N9" s="4" t="str">
        <x:v>內政部國土管理署</x:v>
      </x:c>
    </x:row>
    <x:row r="10" ht="38" customHeight="1">
      <x:c r="A10" s="4" t="str">
        <x:v>TW09</x:v>
      </x:c>
      <x:c r="B10" s="4" t="str">
        <x:v>建築物室內裝修工程承攬契約書範本</x:v>
      </x:c>
      <x:c r="C10" s="4" t="str">
        <x:v>內政部／行政院</x:v>
      </x:c>
      <x:c r="D10" s="15" t="str">
        <x:v>發布年未載；2026-10-09查詢</x:v>
      </x:c>
      <x:c r="E10" s="4" t="str">
        <x:v>繁體中文</x:v>
      </x:c>
      <x:c r="F10" s="4" t="str">
        <x:v>TW</x:v>
      </x:c>
      <x:c r="G10" s="4" t="str">
        <x:v>A</x:v>
      </x:c>
      <x:c r="H10" s="4" t="str">
        <x:v>open</x:v>
      </x:c>
      <x:c r="I10" s="4" t="str"/>
      <x:c r="J10" s="4" t="str">
        <x:v>未記錄</x:v>
      </x:c>
      <x:c r="K10" s="24" t="str">
        <x:v>https://www.ey.gov.tw/File/EBBE5BC7D35E200E?A=C</x:v>
      </x:c>
      <x:c r="L10" s="4" t="str">
        <x:v>PDF第2頁第六條：簽約金最高不得逾5%；檔案內容未載2014發布日期，年份只能按未載日期處理。</x:v>
      </x:c>
      <x:c r="M10" s="4" t="str">
        <x:v>turn166view1</x:v>
      </x:c>
      <x:c r="N10" s="4" t="str">
        <x:v>內政部／行政院</x:v>
      </x:c>
    </x:row>
    <x:row r="11" ht="30" customHeight="1">
      <x:c r="A11" s="4" t="str">
        <x:v>TW10</x:v>
      </x:c>
      <x:c r="B11" s="4" t="str">
        <x:v>2025室內設計行情、流程、注意事項</x:v>
      </x:c>
      <x:c r="C11" s="4" t="str">
        <x:v>100室內設計</x:v>
      </x:c>
      <x:c r="D11" s="15" t="n">
        <x:v>2025</x:v>
      </x:c>
      <x:c r="E11" s="4" t="str">
        <x:v>繁體中文</x:v>
      </x:c>
      <x:c r="F11" s="4" t="str">
        <x:v>TW</x:v>
      </x:c>
      <x:c r="G11" s="4" t="str">
        <x:v>D</x:v>
      </x:c>
      <x:c r="H11" s="4" t="str">
        <x:v>fail</x:v>
      </x:c>
      <x:c r="I11" s="4" t="str"/>
      <x:c r="J11" s="4" t="str">
        <x:v>未記錄</x:v>
      </x:c>
      <x:c r="K11" s="24" t="str">
        <x:v>https://www.100.com.tw/article/7462</x:v>
      </x:c>
      <x:c r="L11" s="4" t="str">
        <x:v>初次open僅回中繼資料；重開內文與直接HTTP均403，未成功核對40,000–80,000與80,000–120,000。</x:v>
      </x:c>
      <x:c r="M11" s="4" t="str">
        <x:v>turn248view0</x:v>
      </x:c>
      <x:c r="N11" s="4" t="str">
        <x:v>100室內設計</x:v>
      </x:c>
    </x:row>
    <x:row r="12" ht="30" customHeight="1">
      <x:c r="A12" s="4" t="str">
        <x:v>TW11</x:v>
      </x:c>
      <x:c r="B12" s="4" t="str">
        <x:v>設計師費2025與計價方式</x:v>
      </x:c>
      <x:c r="C12" s="4" t="str">
        <x:v>100室內設計</x:v>
      </x:c>
      <x:c r="D12" s="15" t="n">
        <x:v>2025</x:v>
      </x:c>
      <x:c r="E12" s="4" t="str">
        <x:v>繁體中文</x:v>
      </x:c>
      <x:c r="F12" s="4" t="str">
        <x:v>TW</x:v>
      </x:c>
      <x:c r="G12" s="4" t="str">
        <x:v>D</x:v>
      </x:c>
      <x:c r="H12" s="4" t="str">
        <x:v>fail</x:v>
      </x:c>
      <x:c r="I12" s="4" t="str"/>
      <x:c r="J12" s="4" t="str">
        <x:v>未記錄</x:v>
      </x:c>
      <x:c r="K12" s="24" t="str">
        <x:v>https://www.100.com.tw/article/9692</x:v>
      </x:c>
      <x:c r="L12" s="4" t="str">
        <x:v>初次open僅回中繼資料；重開內文與直接HTTP均403，未成功核對5–20%。</x:v>
      </x:c>
      <x:c r="M12" s="4" t="str">
        <x:v>turn248view1</x:v>
      </x:c>
      <x:c r="N12" s="4" t="str">
        <x:v>100室內設計</x:v>
      </x:c>
    </x:row>
    <x:row r="13" ht="38" customHeight="1">
      <x:c r="A13" s="4" t="str">
        <x:v>TW12</x:v>
      </x:c>
      <x:c r="B13" s="4" t="str">
        <x:v>2024年公司年報</x:v>
      </x:c>
      <x:c r="C13" s="4" t="str">
        <x:v>特力股份有限公司</x:v>
      </x:c>
      <x:c r="D13" s="15" t="n">
        <x:v>2025</x:v>
      </x:c>
      <x:c r="E13" s="4" t="str">
        <x:v>繁體中文</x:v>
      </x:c>
      <x:c r="F13" s="4" t="str">
        <x:v>TW</x:v>
      </x:c>
      <x:c r="G13" s="4" t="str">
        <x:v>A</x:v>
      </x:c>
      <x:c r="H13" s="4" t="str">
        <x:v>open</x:v>
      </x:c>
      <x:c r="I13" s="4" t="str"/>
      <x:c r="J13" s="4" t="str">
        <x:v>未記錄</x:v>
      </x:c>
      <x:c r="K13" s="24" t="str">
        <x:v>https://www.testritegroup.com/uploads/2024_069db0ff1f.pdf</x:v>
      </x:c>
      <x:c r="L13" s="4" t="str">
        <x:v>原URL直接HTTP下載3166638 bytes，pdftotext -layout讀PDF印刷第1–2頁；2024百萬元表：營收36,832、毛利9,477；第1頁台灣零售137.2億元；大型店28、社區店35、和樂25。</x:v>
      </x:c>
      <x:c r="M13" s="4" t="str">
        <x:v>local-download:TW12.pdf;turn163view6</x:v>
      </x:c>
      <x:c r="N13" s="4" t="str">
        <x:v>特力股份有限公司</x:v>
      </x:c>
    </x:row>
    <x:row r="14" ht="30" customHeight="1">
      <x:c r="A14" s="4" t="str">
        <x:v>TW13</x:v>
      </x:c>
      <x:c r="B14" s="4" t="str">
        <x:v>每月營收</x:v>
      </x:c>
      <x:c r="C14" s="4" t="str">
        <x:v>潤德室內裝修設計工程</x:v>
      </x:c>
      <x:c r="D14" s="15" t="n">
        <x:v>2026</x:v>
      </x:c>
      <x:c r="E14" s="4" t="str">
        <x:v>繁體中文</x:v>
      </x:c>
      <x:c r="F14" s="4" t="str">
        <x:v>TW</x:v>
      </x:c>
      <x:c r="G14" s="4" t="str">
        <x:v>A</x:v>
      </x:c>
      <x:c r="H14" s="4" t="str">
        <x:v>open</x:v>
      </x:c>
      <x:c r="I14" s="4" t="str"/>
      <x:c r="J14" s="4" t="str">
        <x:v>未記錄</x:v>
      </x:c>
      <x:c r="K14" s="24" t="str">
        <x:v>https://rd.ruentex.com.tw/zh/financial-information/monthly-revenue</x:v>
      </x:c>
      <x:c r="L14" s="4" t="str">
        <x:v>2025月營收表L77–92：仟元、12月累積2,464,505；不含住宅與商用分割。</x:v>
      </x:c>
      <x:c r="M14" s="4" t="str">
        <x:v>turn168view3</x:v>
      </x:c>
      <x:c r="N14" s="4" t="str">
        <x:v>潤德室內裝修設計工程</x:v>
      </x:c>
    </x:row>
    <x:row r="15" ht="30" customHeight="1">
      <x:c r="A15" s="4" t="str">
        <x:v>TW14</x:v>
      </x:c>
      <x:c r="B15" s="4" t="str">
        <x:v>100與591揭露2025裝修市場趨勢</x:v>
      </x:c>
      <x:c r="C15" s="4" t="str">
        <x:v>100室內設計</x:v>
      </x:c>
      <x:c r="D15" s="15" t="n">
        <x:v>2025</x:v>
      </x:c>
      <x:c r="E15" s="4" t="str">
        <x:v>繁體中文</x:v>
      </x:c>
      <x:c r="F15" s="4" t="str">
        <x:v>TW</x:v>
      </x:c>
      <x:c r="G15" s="4" t="str">
        <x:v>C</x:v>
      </x:c>
      <x:c r="H15" s="4" t="str">
        <x:v>open</x:v>
      </x:c>
      <x:c r="I15" s="4" t="str"/>
      <x:c r="J15" s="4" t="str">
        <x:v>未記錄</x:v>
      </x:c>
      <x:c r="K15" s="24" t="str">
        <x:v>https://www.100.com.tw/article/8712</x:v>
      </x:c>
      <x:c r="L15" s="4" t="str">
        <x:v>L32–40：平台後台77%無裝修經驗、超過50%需求新購住宅，文章標題2025；未揭統計抽樣期間。</x:v>
      </x:c>
      <x:c r="M15" s="4" t="str">
        <x:v>turn168view4</x:v>
      </x:c>
      <x:c r="N15" s="4" t="str">
        <x:v>100室內設計</x:v>
      </x:c>
    </x:row>
    <x:row r="16" ht="38" customHeight="1">
      <x:c r="A16" s="4" t="str">
        <x:v>TW15</x:v>
      </x:c>
      <x:c r="B16" s="4" t="str">
        <x:v>裝修年產值上看5500億元：100平台估算與營運自述</x:v>
      </x:c>
      <x:c r="C16" s="4" t="str">
        <x:v>經濟日報／朱曼寧</x:v>
      </x:c>
      <x:c r="D16" s="15" t="n">
        <x:v>2026</x:v>
      </x:c>
      <x:c r="E16" s="4" t="str">
        <x:v>繁體中文</x:v>
      </x:c>
      <x:c r="F16" s="4" t="str">
        <x:v>TW</x:v>
      </x:c>
      <x:c r="G16" s="4" t="str">
        <x:v>C</x:v>
      </x:c>
      <x:c r="H16" s="4" t="str">
        <x:v>open</x:v>
      </x:c>
      <x:c r="I16" s="4" t="str"/>
      <x:c r="J16" s="4" t="str">
        <x:v>未記錄</x:v>
      </x:c>
      <x:c r="K16" s="24" t="str">
        <x:v>https://house.udn.com/house/story/123589/9245511</x:v>
      </x:c>
      <x:c r="L16" s="4" t="str">
        <x:v>L53–73：2026-01-05報導；平台推估2025裝修逼近5,500億元；APP下載超過158萬次，非政府原始市場統計。</x:v>
      </x:c>
      <x:c r="M16" s="4" t="str">
        <x:v>turn171view5</x:v>
      </x:c>
      <x:c r="N16" s="4" t="str">
        <x:v>經濟日報／朱曼寧</x:v>
      </x:c>
    </x:row>
    <x:row r="17" ht="30" customHeight="1">
      <x:c r="A17" s="4" t="str">
        <x:v>TW16</x:v>
      </x:c>
      <x:c r="B17" s="4" t="str">
        <x:v>認識PULO</x:v>
      </x:c>
      <x:c r="C17" s="4" t="str">
        <x:v>PULO</x:v>
      </x:c>
      <x:c r="D17" s="15" t="n">
        <x:v>2026</x:v>
      </x:c>
      <x:c r="E17" s="4" t="str">
        <x:v>繁體中文</x:v>
      </x:c>
      <x:c r="F17" s="4" t="str">
        <x:v>TW</x:v>
      </x:c>
      <x:c r="G17" s="4" t="str">
        <x:v>C</x:v>
      </x:c>
      <x:c r="H17" s="4" t="str">
        <x:v>open</x:v>
      </x:c>
      <x:c r="I17" s="4" t="str"/>
      <x:c r="J17" s="4" t="str">
        <x:v>未記錄</x:v>
      </x:c>
      <x:c r="K17" s="24" t="str">
        <x:v>https://www.puloapp.com/home-kb/puloapp-caption/</x:v>
      </x:c>
      <x:c r="L17" s="4" t="str">
        <x:v>L31–35：自2015累計完成超過2,000位屋主；未載統計截止日，2026僅檢索年。</x:v>
      </x:c>
      <x:c r="M17" s="4" t="str">
        <x:v>turn171view0</x:v>
      </x:c>
      <x:c r="N17" s="4" t="str">
        <x:v>PULO</x:v>
      </x:c>
    </x:row>
    <x:row r="18" ht="30" customHeight="1">
      <x:c r="A18" s="4" t="str">
        <x:v>TW17</x:v>
      </x:c>
      <x:c r="B18" s="4" t="str">
        <x:v>PULO加入夥伴及成交不抽成</x:v>
      </x:c>
      <x:c r="C18" s="4" t="str">
        <x:v>PULO</x:v>
      </x:c>
      <x:c r="D18" s="15" t="n">
        <x:v>2026</x:v>
      </x:c>
      <x:c r="E18" s="4" t="str">
        <x:v>繁體中文</x:v>
      </x:c>
      <x:c r="F18" s="4" t="str">
        <x:v>TW</x:v>
      </x:c>
      <x:c r="G18" s="4" t="str">
        <x:v>C</x:v>
      </x:c>
      <x:c r="H18" s="4" t="str">
        <x:v>open</x:v>
      </x:c>
      <x:c r="I18" s="4" t="str"/>
      <x:c r="J18" s="4" t="str">
        <x:v>未記錄</x:v>
      </x:c>
      <x:c r="K18" s="24" t="str">
        <x:v>https://www.puloapp.com/become-pro/</x:v>
      </x:c>
      <x:c r="L18" s="4" t="str">
        <x:v>L112–114：平台宣稱成交不抽%；未載方案生效日，2026僅檢索年。</x:v>
      </x:c>
      <x:c r="M18" s="4" t="str">
        <x:v>turn171view1</x:v>
      </x:c>
      <x:c r="N18" s="4" t="str">
        <x:v>PULO</x:v>
      </x:c>
    </x:row>
    <x:row r="19" ht="30" customHeight="1">
      <x:c r="A19" s="4" t="str">
        <x:v>TW18</x:v>
      </x:c>
      <x:c r="B19" s="4" t="str">
        <x:v>職類別薪資調查動態查詢</x:v>
      </x:c>
      <x:c r="C19" s="4" t="str">
        <x:v>勞動部</x:v>
      </x:c>
      <x:c r="D19" s="15" t="n">
        <x:v>2026</x:v>
      </x:c>
      <x:c r="E19" s="4" t="str">
        <x:v>繁體中文</x:v>
      </x:c>
      <x:c r="F19" s="4" t="str">
        <x:v>TW</x:v>
      </x:c>
      <x:c r="G19" s="4" t="str">
        <x:v>A</x:v>
      </x:c>
      <x:c r="H19" s="4" t="str">
        <x:v>open-entrypoint</x:v>
      </x:c>
      <x:c r="I19" s="4" t="str">
        <x:v>entrypoint/catalog</x:v>
      </x:c>
      <x:c r="J19" s="4" t="str">
        <x:v>否</x:v>
      </x:c>
      <x:c r="K19" s="24" t="str">
        <x:v>https://pswst.mol.gov.tw/PSDN/</x:v>
      </x:c>
      <x:c r="L19" s="4" t="str">
        <x:v>動態查詢入口可開啟，未獲室內設計職類薪資結果；只作資料缺口線索。</x:v>
      </x:c>
      <x:c r="M19" s="4" t="str">
        <x:v>turn171view2</x:v>
      </x:c>
      <x:c r="N19" s="4" t="str">
        <x:v>勞動部</x:v>
      </x:c>
    </x:row>
    <x:row r="20" ht="38" customHeight="1">
      <x:c r="A20" s="4" t="str">
        <x:v>TW19</x:v>
      </x:c>
      <x:c r="B20" s="4" t="str">
        <x:v>營造工程物價指數查詢条件設定</x:v>
      </x:c>
      <x:c r="C20" s="4" t="str">
        <x:v>行政院主計總處</x:v>
      </x:c>
      <x:c r="D20" s="15" t="n">
        <x:v>2026</x:v>
      </x:c>
      <x:c r="E20" s="4" t="str">
        <x:v>繁體中文</x:v>
      </x:c>
      <x:c r="F20" s="4" t="str">
        <x:v>TW</x:v>
      </x:c>
      <x:c r="G20" s="4" t="str">
        <x:v>A</x:v>
      </x:c>
      <x:c r="H20" s="4" t="str">
        <x:v>open-entrypoint</x:v>
      </x:c>
      <x:c r="I20" s="4" t="str">
        <x:v>entrypoint/catalog</x:v>
      </x:c>
      <x:c r="J20" s="4" t="str">
        <x:v>否</x:v>
      </x:c>
      <x:c r="K20" s="24" t="str">
        <x:v>https://nstatdb.dgbas.gov.tw/dgbasAll/webMain.aspx?funid=A030501015&amp;sys=210</x:v>
      </x:c>
      <x:c r="L20" s="4" t="str">
        <x:v>營造工程物價指數查詢表單可開啟，未取得固定基期數據；只作缺口線索。</x:v>
      </x:c>
      <x:c r="M20" s="4" t="str">
        <x:v>turn171view3</x:v>
      </x:c>
      <x:c r="N20" s="4" t="str">
        <x:v>行政院主計總處</x:v>
      </x:c>
    </x:row>
    <x:row r="21" ht="30" customHeight="1">
      <x:c r="A21" s="4" t="str">
        <x:v>TW20</x:v>
      </x:c>
      <x:c r="B21" s="4" t="str">
        <x:v>華僑或外國人來臺投資出資比例限制</x:v>
      </x:c>
      <x:c r="C21" s="4" t="str">
        <x:v>Invest Taiwan／經濟部</x:v>
      </x:c>
      <x:c r="D21" s="15" t="n">
        <x:v>2026</x:v>
      </x:c>
      <x:c r="E21" s="4" t="str">
        <x:v>繁體中文</x:v>
      </x:c>
      <x:c r="F21" s="4" t="str">
        <x:v>TW</x:v>
      </x:c>
      <x:c r="G21" s="4" t="str">
        <x:v>A</x:v>
      </x:c>
      <x:c r="H21" s="4" t="str">
        <x:v>open</x:v>
      </x:c>
      <x:c r="I21" s="4" t="str"/>
      <x:c r="J21" s="4" t="str">
        <x:v>未記錄</x:v>
      </x:c>
      <x:c r="K21" s="24" t="str">
        <x:v>https://investtaiwan.nat.gov.tw/faqQContent?lang=cht&amp;search=5</x:v>
      </x:c>
      <x:c r="L21" s="4" t="str">
        <x:v>L517–521：非僑外投資負面表列限制業別，外商原則可100%持股；不推論個別業別資格或陸資。</x:v>
      </x:c>
      <x:c r="M21" s="4" t="str">
        <x:v>turn224view1</x:v>
      </x:c>
      <x:c r="N21" s="4" t="str">
        <x:v>Invest Taiwan／經濟部</x:v>
      </x:c>
    </x:row>
    <x:row r="22" ht="38" customHeight="1">
      <x:c r="A22" s="4" t="str">
        <x:v>JP01</x:v>
      </x:c>
      <x:c r="B22" s="4" t="str">
        <x:v>住宅リフォーム市場に関する調査（2026年）</x:v>
      </x:c>
      <x:c r="C22" s="4" t="str">
        <x:v>矢野経済研究所</x:v>
      </x:c>
      <x:c r="D22" s="15" t="n">
        <x:v>2026</x:v>
      </x:c>
      <x:c r="E22" s="4" t="str">
        <x:v>日文</x:v>
      </x:c>
      <x:c r="F22" s="4" t="str">
        <x:v>JP</x:v>
      </x:c>
      <x:c r="G22" s="4" t="str">
        <x:v>B</x:v>
      </x:c>
      <x:c r="H22" s="4" t="str">
        <x:v>open</x:v>
      </x:c>
      <x:c r="I22" s="4" t="str"/>
      <x:c r="J22" s="4" t="str">
        <x:v>未記錄</x:v>
      </x:c>
      <x:c r="K22" s="24" t="str">
        <x:v>https://www.yano.co.jp/press-release/show/press_id/4153</x:v>
      </x:c>
      <x:c r="L22" s="4" t="str">
        <x:v>L23:2025估算7兆5,119億円、同比2.5%；L33:2026預測7.7兆円；L53–60定義排除房東出租、非住宅、共有部大修並含家具。</x:v>
      </x:c>
      <x:c r="M22" s="4" t="str">
        <x:v>turn175view0</x:v>
      </x:c>
      <x:c r="N22" s="4" t="str">
        <x:v>矢野経済研究所</x:v>
      </x:c>
    </x:row>
    <x:row r="23" ht="30" customHeight="1">
      <x:c r="A23" s="4" t="str">
        <x:v>JP02</x:v>
      </x:c>
      <x:c r="B23" s="4" t="str">
        <x:v>住宅リフォーム市場に関する調査（2025年）</x:v>
      </x:c>
      <x:c r="C23" s="4" t="str">
        <x:v>矢野経済研究所</x:v>
      </x:c>
      <x:c r="D23" s="15" t="n">
        <x:v>2025</x:v>
      </x:c>
      <x:c r="E23" s="4" t="str">
        <x:v>日文</x:v>
      </x:c>
      <x:c r="F23" s="4" t="str">
        <x:v>JP</x:v>
      </x:c>
      <x:c r="G23" s="4" t="str">
        <x:v>B</x:v>
      </x:c>
      <x:c r="H23" s="4" t="str">
        <x:v>open</x:v>
      </x:c>
      <x:c r="I23" s="4" t="str"/>
      <x:c r="J23" s="4" t="str">
        <x:v>未記錄</x:v>
      </x:c>
      <x:c r="K23" s="24" t="str">
        <x:v>https://www.yano.co.jp/press-release/show/press_id/3877</x:v>
      </x:c>
      <x:c r="L23" s="4" t="str">
        <x:v>L23:2024估算7兆3,470億円；L34:2025預測7.3兆円；L48–59調查期間與市場定義。</x:v>
      </x:c>
      <x:c r="M23" s="4" t="str">
        <x:v>turn175view1</x:v>
      </x:c>
      <x:c r="N23" s="4" t="str">
        <x:v>矢野経済研究所</x:v>
      </x:c>
    </x:row>
    <x:row r="24" ht="38" customHeight="1">
      <x:c r="A24" s="4" t="str">
        <x:v>JP03</x:v>
      </x:c>
      <x:c r="B24" s="4" t="str">
        <x:v>令和5年住宅・土地統計調査基本集計確報概要</x:v>
      </x:c>
      <x:c r="C24" s="4" t="str">
        <x:v>総務省統計局</x:v>
      </x:c>
      <x:c r="D24" s="15" t="n">
        <x:v>2024</x:v>
      </x:c>
      <x:c r="E24" s="4" t="str">
        <x:v>日文</x:v>
      </x:c>
      <x:c r="F24" s="4" t="str">
        <x:v>JP</x:v>
      </x:c>
      <x:c r="G24" s="4" t="str">
        <x:v>A</x:v>
      </x:c>
      <x:c r="H24" s="4" t="str">
        <x:v>open</x:v>
      </x:c>
      <x:c r="I24" s="4" t="str"/>
      <x:c r="J24" s="4" t="str">
        <x:v>未記錄</x:v>
      </x:c>
      <x:c r="K24" s="24" t="str">
        <x:v>https://www.stat.go.jp/data/jyutaku/2023/pdf/kihon_gaiyou.pdf</x:v>
      </x:c>
      <x:c r="L24" s="4" t="str">
        <x:v>PDF印刷p1、p2、p8：2023存量65,047千戶，空屋9,002千戶、13.8%；自有住宅率60.9%，分母有居住世帶住宅。</x:v>
      </x:c>
      <x:c r="M24" s="4" t="str">
        <x:v>turn175view2;turn236view4;turn200view1</x:v>
      </x:c>
      <x:c r="N24" s="4" t="str">
        <x:v>総務省統計局</x:v>
      </x:c>
    </x:row>
    <x:row r="25" ht="30" customHeight="1">
      <x:c r="A25" s="4" t="str">
        <x:v>JP04</x:v>
      </x:c>
      <x:c r="B25" s="4" t="str">
        <x:v>建築着工統計調査報告令和7年計</x:v>
      </x:c>
      <x:c r="C25" s="4" t="str">
        <x:v>国土交通省</x:v>
      </x:c>
      <x:c r="D25" s="15" t="n">
        <x:v>2026</x:v>
      </x:c>
      <x:c r="E25" s="4" t="str">
        <x:v>日文</x:v>
      </x:c>
      <x:c r="F25" s="4" t="str">
        <x:v>JP</x:v>
      </x:c>
      <x:c r="G25" s="4" t="str">
        <x:v>A</x:v>
      </x:c>
      <x:c r="H25" s="4" t="str">
        <x:v>open</x:v>
      </x:c>
      <x:c r="I25" s="4" t="str"/>
      <x:c r="J25" s="4" t="str">
        <x:v>未記錄</x:v>
      </x:c>
      <x:c r="K25" s="24" t="str">
        <x:v>https://www.mlit.go.jp/report/press/content/kencha25.pdf</x:v>
      </x:c>
      <x:c r="L25" s="4" t="str">
        <x:v>PDF p3與p15：令和7年（2025）住宅開工740,667戶，同比-6.5%，床面積56,885千m²。</x:v>
      </x:c>
      <x:c r="M25" s="4" t="str">
        <x:v>turn200view2</x:v>
      </x:c>
      <x:c r="N25" s="4" t="str">
        <x:v>国土交通省</x:v>
      </x:c>
    </x:row>
    <x:row r="26" ht="38" customHeight="1">
      <x:c r="A26" s="4" t="str">
        <x:v>JP05</x:v>
      </x:c>
      <x:c r="B26" s="4" t="str">
        <x:v>令和7年度住宅市場動向調査</x:v>
      </x:c>
      <x:c r="C26" s="4" t="str">
        <x:v>国土交通省</x:v>
      </x:c>
      <x:c r="D26" s="15" t="n">
        <x:v>2026</x:v>
      </x:c>
      <x:c r="E26" s="4" t="str">
        <x:v>日文</x:v>
      </x:c>
      <x:c r="F26" s="4" t="str">
        <x:v>JP</x:v>
      </x:c>
      <x:c r="G26" s="4" t="str">
        <x:v>A</x:v>
      </x:c>
      <x:c r="H26" s="4" t="str">
        <x:v>open</x:v>
      </x:c>
      <x:c r="I26" s="4" t="str"/>
      <x:c r="J26" s="4" t="str">
        <x:v>未記錄</x:v>
      </x:c>
      <x:c r="K26" s="24" t="str">
        <x:v>https://www.mlit.go.jp/report/press/content/002012180.pdf</x:v>
      </x:c>
      <x:c r="L26" s="4" t="str">
        <x:v>PDF實際第370頁/印刷p364：2025調查子育て世帯翻修資金平均149萬円；第6頁：施工樣本期2024-04至2025-03、三大都市圈。</x:v>
      </x:c>
      <x:c r="M26" s="4" t="str">
        <x:v>turn207view5;turn219view3</x:v>
      </x:c>
      <x:c r="N26" s="4" t="str">
        <x:v>国土交通省</x:v>
      </x:c>
    </x:row>
    <x:row r="27" ht="30" customHeight="1">
      <x:c r="A27" s="4" t="str">
        <x:v>JP06</x:v>
      </x:c>
      <x:c r="B27" s="4" t="str">
        <x:v>建設業の許可とは</x:v>
      </x:c>
      <x:c r="C27" s="4" t="str">
        <x:v>国土交通省</x:v>
      </x:c>
      <x:c r="D27" s="15" t="n">
        <x:v>2026</x:v>
      </x:c>
      <x:c r="E27" s="4" t="str">
        <x:v>日文</x:v>
      </x:c>
      <x:c r="F27" s="4" t="str">
        <x:v>JP</x:v>
      </x:c>
      <x:c r="G27" s="4" t="str">
        <x:v>A</x:v>
      </x:c>
      <x:c r="H27" s="4" t="str">
        <x:v>open</x:v>
      </x:c>
      <x:c r="I27" s="4" t="str"/>
      <x:c r="J27" s="4" t="str">
        <x:v>未記錄</x:v>
      </x:c>
      <x:c r="K27" s="24" t="str">
        <x:v>https://www.mlit.go.jp/totikensangyo/const/1_6_bt_000080.html</x:v>
      </x:c>
      <x:c r="L27" s="4" t="str">
        <x:v>L24–43：建設業法第3條，一式以外輕微工程每件未滿500萬円，含消費稅；僅建設業許可例外。</x:v>
      </x:c>
      <x:c r="M27" s="4" t="str">
        <x:v>turn212view0</x:v>
      </x:c>
      <x:c r="N27" s="4" t="str">
        <x:v>国土交通省</x:v>
      </x:c>
    </x:row>
    <x:row r="28" ht="38" customHeight="1">
      <x:c r="A28" s="4" t="str">
        <x:v>JP07</x:v>
      </x:c>
      <x:c r="B28" s="4" t="str">
        <x:v>建設業許可の要件</x:v>
      </x:c>
      <x:c r="C28" s="4" t="str">
        <x:v>国土交通省</x:v>
      </x:c>
      <x:c r="D28" s="15" t="n">
        <x:v>2026</x:v>
      </x:c>
      <x:c r="E28" s="4" t="str">
        <x:v>日文</x:v>
      </x:c>
      <x:c r="F28" s="4" t="str">
        <x:v>JP</x:v>
      </x:c>
      <x:c r="G28" s="4" t="str">
        <x:v>A</x:v>
      </x:c>
      <x:c r="H28" s="4" t="str">
        <x:v>open</x:v>
      </x:c>
      <x:c r="I28" s="4" t="str"/>
      <x:c r="J28" s="4" t="str">
        <x:v>未記錄</x:v>
      </x:c>
      <x:c r="K28" s="24" t="str">
        <x:v>https://www.mlit.go.jp/totikensangyo/const/1_6_bt_000082.html</x:v>
      </x:c>
      <x:c r="L28" s="4" t="str">
        <x:v>L188–196：一般建設業三擇一條件，自有資本500萬円以上或等額籌資能力、或許可前5年繼續經營；另有技術管理要件。</x:v>
      </x:c>
      <x:c r="M28" s="4" t="str">
        <x:v>turn219view1</x:v>
      </x:c>
      <x:c r="N28" s="4" t="str">
        <x:v>国土交通省</x:v>
      </x:c>
    </x:row>
    <x:row r="29" ht="38" customHeight="1">
      <x:c r="A29" s="4" t="str">
        <x:v>JP08</x:v>
      </x:c>
      <x:c r="B29" s="4" t="str">
        <x:v>建築確認・検査の対象となる建築物の規模等の見直し</x:v>
      </x:c>
      <x:c r="C29" s="4" t="str">
        <x:v>国土交通省</x:v>
      </x:c>
      <x:c r="D29" s="15" t="str">
        <x:v>2024-10-25更新；2026-10-09查詢</x:v>
      </x:c>
      <x:c r="E29" s="4" t="str">
        <x:v>日文</x:v>
      </x:c>
      <x:c r="F29" s="4" t="str">
        <x:v>JP</x:v>
      </x:c>
      <x:c r="G29" s="4" t="str">
        <x:v>A</x:v>
      </x:c>
      <x:c r="H29" s="4" t="str">
        <x:v>open</x:v>
      </x:c>
      <x:c r="I29" s="4" t="str"/>
      <x:c r="J29" s="4" t="str">
        <x:v>未記錄</x:v>
      </x:c>
      <x:c r="K29" s="24" t="str">
        <x:v>https://www.mlit.go.jp/jutakukentiku/build/r4kaisei_kijunhou0001.html</x:v>
      </x:c>
      <x:c r="L29" s="4" t="str">
        <x:v>L16最後更新2024-10-25；只以公布後3年內指示施行，新JP20補確切2025-04施行與適用案例。</x:v>
      </x:c>
      <x:c r="M29" s="4" t="str">
        <x:v>turn224view3</x:v>
      </x:c>
      <x:c r="N29" s="4" t="str">
        <x:v>国土交通省</x:v>
      </x:c>
    </x:row>
    <x:row r="30" ht="30" customHeight="1">
      <x:c r="A30" s="4" t="str">
        <x:v>JP09</x:v>
      </x:c>
      <x:c r="B30" s="4" t="str">
        <x:v>住宅相談統計年報2025</x:v>
      </x:c>
      <x:c r="C30" s="4" t="str">
        <x:v>住宅リフォーム・紛争処理支援センター</x:v>
      </x:c>
      <x:c r="D30" s="15" t="n">
        <x:v>2025</x:v>
      </x:c>
      <x:c r="E30" s="4" t="str">
        <x:v>日文</x:v>
      </x:c>
      <x:c r="F30" s="4" t="str">
        <x:v>JP</x:v>
      </x:c>
      <x:c r="G30" s="4" t="str">
        <x:v>B</x:v>
      </x:c>
      <x:c r="H30" s="4" t="str">
        <x:v>open</x:v>
      </x:c>
      <x:c r="I30" s="4" t="str"/>
      <x:c r="J30" s="4" t="str">
        <x:v>未記錄</x:v>
      </x:c>
      <x:c r="K30" s="24" t="str">
        <x:v>https://www.chord.or.jp/assets/NP2025_web..pdf</x:v>
      </x:c>
      <x:c r="L30" s="4" t="str">
        <x:v>2025年報PDF印刷p10，統計2024年度新規相談30,812、リフォーム11,920；不等同確認違法或全國客訴。</x:v>
      </x:c>
      <x:c r="M30" s="4" t="str">
        <x:v>turn236view5</x:v>
      </x:c>
      <x:c r="N30" s="4" t="str">
        <x:v>住宅リフォーム・紛争処理支援センター</x:v>
      </x:c>
    </x:row>
    <x:row r="31" ht="38" customHeight="1">
      <x:c r="A31" s="4" t="str">
        <x:v>JP10</x:v>
      </x:c>
      <x:c r="B31" s="4" t="str">
        <x:v>Types of operation in Japan</x:v>
      </x:c>
      <x:c r="C31" s="4" t="str">
        <x:v>JETRO</x:v>
      </x:c>
      <x:c r="D31" s="15" t="n">
        <x:v>2026</x:v>
      </x:c>
      <x:c r="E31" s="4" t="str">
        <x:v>英文</x:v>
      </x:c>
      <x:c r="F31" s="4" t="str">
        <x:v>JP</x:v>
      </x:c>
      <x:c r="G31" s="4" t="str">
        <x:v>A</x:v>
      </x:c>
      <x:c r="H31" s="4" t="str">
        <x:v>open</x:v>
      </x:c>
      <x:c r="I31" s="4" t="str"/>
      <x:c r="J31" s="4" t="str">
        <x:v>未記錄</x:v>
      </x:c>
      <x:c r="K31" s="24" t="str">
        <x:v>https://www.jetro.go.jp/en/invest/setting_up/section1/page1.html</x:v>
      </x:c>
      <x:c r="L31" s="4" t="str">
        <x:v>L17–31 JETRO說明代表處不得營業、分公司與外國公司責任、子公司為獨立法人；沒有特定專業資格自動授權。</x:v>
      </x:c>
      <x:c r="M31" s="4" t="str">
        <x:v>turn230view6;turn241view0</x:v>
      </x:c>
      <x:c r="N31" s="4" t="str">
        <x:v>JETRO</x:v>
      </x:c>
    </x:row>
    <x:row r="32" ht="30" customHeight="1">
      <x:c r="A32" s="4" t="str">
        <x:v>JP11</x:v>
      </x:c>
      <x:c r="B32" s="4" t="str">
        <x:v>連結損益計算書2025與2026年3月期</x:v>
      </x:c>
      <x:c r="C32" s="4" t="str">
        <x:v>ニトリホールディングス</x:v>
      </x:c>
      <x:c r="D32" s="15" t="n">
        <x:v>2026</x:v>
      </x:c>
      <x:c r="E32" s="4" t="str">
        <x:v>日文</x:v>
      </x:c>
      <x:c r="F32" s="4" t="str">
        <x:v>JP</x:v>
      </x:c>
      <x:c r="G32" s="4" t="str">
        <x:v>A</x:v>
      </x:c>
      <x:c r="H32" s="4" t="str">
        <x:v>open</x:v>
      </x:c>
      <x:c r="I32" s="4" t="str"/>
      <x:c r="J32" s="4" t="str">
        <x:v>未記錄</x:v>
      </x:c>
      <x:c r="K32" s="24" t="str">
        <x:v>https://www.nitorihd.co.jp/ir/performance/pl.html</x:v>
      </x:c>
      <x:c r="L32" s="4" t="str">
        <x:v>L42–59百萬円表：FY2025/3收入928,828；FY2026/3收入912,248，營業利益125,526。</x:v>
      </x:c>
      <x:c r="M32" s="4" t="str">
        <x:v>turn224view0</x:v>
      </x:c>
      <x:c r="N32" s="4" t="str">
        <x:v>ニトリホールディングス</x:v>
      </x:c>
    </x:row>
    <x:row r="33" ht="30" customHeight="1">
      <x:c r="A33" s="4" t="str">
        <x:v>JP12</x:v>
      </x:c>
      <x:c r="B33" s="4" t="str">
        <x:v>2026年3月期業績與成長戰略</x:v>
      </x:c>
      <x:c r="C33" s="4" t="str">
        <x:v>カチタス</x:v>
      </x:c>
      <x:c r="D33" s="15" t="n">
        <x:v>2026</x:v>
      </x:c>
      <x:c r="E33" s="4" t="str">
        <x:v>日文</x:v>
      </x:c>
      <x:c r="F33" s="4" t="str">
        <x:v>JP</x:v>
      </x:c>
      <x:c r="G33" s="4" t="str">
        <x:v>A</x:v>
      </x:c>
      <x:c r="H33" s="4" t="str">
        <x:v>open</x:v>
      </x:c>
      <x:c r="I33" s="4" t="str"/>
      <x:c r="J33" s="4" t="str">
        <x:v>未記錄</x:v>
      </x:c>
      <x:c r="K33" s="24" t="str">
        <x:v>https://katitas.co.jp/ir/business.html</x:v>
      </x:c>
      <x:c r="L33" s="4" t="str">
        <x:v>L81–88：2026年3月期販売8,380件、売上1,518億円、営業182億円；IR摘要圓整。</x:v>
      </x:c>
      <x:c r="M33" s="4" t="str">
        <x:v>turn212view3</x:v>
      </x:c>
      <x:c r="N33" s="4" t="str">
        <x:v>カチタス</x:v>
      </x:c>
    </x:row>
    <x:row r="34" ht="38" customHeight="1">
      <x:c r="A34" s="4" t="str">
        <x:v>JP13</x:v>
      </x:c>
      <x:c r="B34" s="4" t="str">
        <x:v>中古マンションリノベーション費用相場</x:v>
      </x:c>
      <x:c r="C34" s="4" t="str">
        <x:v>リノベる</x:v>
      </x:c>
      <x:c r="D34" s="15" t="n">
        <x:v>2026</x:v>
      </x:c>
      <x:c r="E34" s="4" t="str">
        <x:v>日文</x:v>
      </x:c>
      <x:c r="F34" s="4" t="str">
        <x:v>JP</x:v>
      </x:c>
      <x:c r="G34" s="4" t="str">
        <x:v>C</x:v>
      </x:c>
      <x:c r="H34" s="4" t="str">
        <x:v>open</x:v>
      </x:c>
      <x:c r="I34" s="4" t="str"/>
      <x:c r="J34" s="4" t="str">
        <x:v>未記錄</x:v>
      </x:c>
      <x:c r="K34" s="24" t="str">
        <x:v>https://www.renoveru.jp/contents/price</x:v>
      </x:c>
      <x:c r="L34" s="4" t="str">
        <x:v>L51–78首都圈公司案例：60m²1500–2100萬円、The R70m²1100–1300萬円；無統計樣本截止年，2026只為檢索年。</x:v>
      </x:c>
      <x:c r="M34" s="4" t="str">
        <x:v>turn230view0</x:v>
      </x:c>
      <x:c r="N34" s="4" t="str">
        <x:v>リノベる</x:v>
      </x:c>
    </x:row>
    <x:row r="35" ht="38" customHeight="1">
      <x:c r="A35" s="4" t="str">
        <x:v>JP14</x:v>
      </x:c>
      <x:c r="B35" s="4" t="str">
        <x:v>持ち家リノベ費用與2025年實績</x:v>
      </x:c>
      <x:c r="C35" s="4" t="str">
        <x:v>SHUKEN Re</x:v>
      </x:c>
      <x:c r="D35" s="15" t="n">
        <x:v>2026</x:v>
      </x:c>
      <x:c r="E35" s="4" t="str">
        <x:v>日文</x:v>
      </x:c>
      <x:c r="F35" s="4" t="str">
        <x:v>JP</x:v>
      </x:c>
      <x:c r="G35" s="4" t="str">
        <x:v>D</x:v>
      </x:c>
      <x:c r="H35" s="4" t="str">
        <x:v>open</x:v>
      </x:c>
      <x:c r="I35" s="4" t="str"/>
      <x:c r="J35" s="4" t="str">
        <x:v>未記錄</x:v>
      </x:c>
      <x:c r="K35" s="24" t="str">
        <x:v>https://shuken-renovation.jp/yomimono/column/no824/</x:v>
      </x:c>
      <x:c r="L35" s="4" t="str">
        <x:v>L166：公司實績試算中心18–20萬円/m²；HTML公開日2025-12-01，但未載成交樣本年份。依協議部落格D，不採市場定量。</x:v>
      </x:c>
      <x:c r="M35" s="4" t="str">
        <x:v>turn241view1;local-download:JP14.html</x:v>
      </x:c>
      <x:c r="N35" s="4" t="str">
        <x:v>SHUKEN Re</x:v>
      </x:c>
    </x:row>
    <x:row r="36" ht="38" customHeight="1">
      <x:c r="A36" s="4" t="str">
        <x:v>JP15</x:v>
      </x:c>
      <x:c r="B36" s="4" t="str">
        <x:v>住宅リフォーム売上ランキング2025摘錄</x:v>
      </x:c>
      <x:c r="C36" s="4" t="str">
        <x:v>ニッカホーム／PR TIMES</x:v>
      </x:c>
      <x:c r="D36" s="15" t="n">
        <x:v>2025</x:v>
      </x:c>
      <x:c r="E36" s="4" t="str">
        <x:v>日文</x:v>
      </x:c>
      <x:c r="F36" s="4" t="str">
        <x:v>JP</x:v>
      </x:c>
      <x:c r="G36" s="4" t="str">
        <x:v>C</x:v>
      </x:c>
      <x:c r="H36" s="4" t="str">
        <x:v>open</x:v>
      </x:c>
      <x:c r="I36" s="4" t="str"/>
      <x:c r="J36" s="4" t="str">
        <x:v>未記錄</x:v>
      </x:c>
      <x:c r="K36" s="24" t="str">
        <x:v>https://prtimes.jp/main/html/rd/p/000000232.000074598.html</x:v>
      </x:c>
      <x:c r="L36" s="4" t="str">
        <x:v>L30/45：2025-10-16發稿，2025榜單積水1838億7000萬円、大和1786億1000萬円；下載HTML h2明載全國113店（令和7年10月時點）。公司新聞稿轉引排行。</x:v>
      </x:c>
      <x:c r="M36" s="4" t="str">
        <x:v>turn236view1;local-download:JP15.html</x:v>
      </x:c>
      <x:c r="N36" s="4" t="str">
        <x:v>ニッカホーム／PR TIMES</x:v>
      </x:c>
    </x:row>
    <x:row r="37" ht="38" customHeight="1">
      <x:c r="A37" s="4" t="str">
        <x:v>JP16</x:v>
      </x:c>
      <x:c r="B37" s="4" t="str">
        <x:v>リフォーム会社アクセスランキング2026年9月</x:v>
      </x:c>
      <x:c r="C37" s="4" t="str">
        <x:v>SUUMO</x:v>
      </x:c>
      <x:c r="D37" s="15" t="n">
        <x:v>2026</x:v>
      </x:c>
      <x:c r="E37" s="4" t="str">
        <x:v>日文</x:v>
      </x:c>
      <x:c r="F37" s="4" t="str">
        <x:v>JP</x:v>
      </x:c>
      <x:c r="G37" s="4" t="str">
        <x:v>C</x:v>
      </x:c>
      <x:c r="H37" s="4" t="str">
        <x:v>open</x:v>
      </x:c>
      <x:c r="I37" s="4" t="str"/>
      <x:c r="J37" s="4" t="str">
        <x:v>未記錄</x:v>
      </x:c>
      <x:c r="K37" s="24" t="str">
        <x:v>https://suumo.jp/remodel/rank/kaisha/</x:v>
      </x:c>
      <x:c r="L37" s="4" t="str">
        <x:v>L34/81–85：932家公司、頁面標2026年9月榜、集計2026-09-02至10-06；アクセス排行榜不是營收／成交排行。</x:v>
      </x:c>
      <x:c r="M37" s="4" t="str">
        <x:v>turn230view3</x:v>
      </x:c>
      <x:c r="N37" s="4" t="str">
        <x:v>SUUMO</x:v>
      </x:c>
    </x:row>
    <x:row r="38" ht="30" customHeight="1">
      <x:c r="A38" s="4" t="str">
        <x:v>JP17</x:v>
      </x:c>
      <x:c r="B38" s="4" t="str">
        <x:v>統合報告書2025：日本リモデル及海外住設</x:v>
      </x:c>
      <x:c r="C38" s="4" t="str">
        <x:v>TOTO</x:v>
      </x:c>
      <x:c r="D38" s="15" t="n">
        <x:v>2025</x:v>
      </x:c>
      <x:c r="E38" s="4" t="str">
        <x:v>日文</x:v>
      </x:c>
      <x:c r="F38" s="4" t="str">
        <x:v>JP</x:v>
      </x:c>
      <x:c r="G38" s="4" t="str">
        <x:v>A</x:v>
      </x:c>
      <x:c r="H38" s="4" t="str">
        <x:v>open</x:v>
      </x:c>
      <x:c r="I38" s="4" t="str"/>
      <x:c r="J38" s="4" t="str">
        <x:v>未記錄</x:v>
      </x:c>
      <x:c r="K38" s="24" t="str">
        <x:v>https://jp.toto.com/assets/files/report2025_52-60.pdf</x:v>
      </x:c>
      <x:c r="L38" s="4" t="str">
        <x:v>TOTO統合報告2025 PDF第1頁L37–38：リモデルクラブ約5,000店，協作網絡非直營。</x:v>
      </x:c>
      <x:c r="M38" s="4" t="str">
        <x:v>turn236view0</x:v>
      </x:c>
      <x:c r="N38" s="4" t="str">
        <x:v>TOTO</x:v>
      </x:c>
    </x:row>
    <x:row r="39" ht="38" customHeight="1">
      <x:c r="A39" s="4" t="str">
        <x:v>JP18</x:v>
      </x:c>
      <x:c r="B39" s="4" t="str">
        <x:v>令和8年3月公共工事設計労務単価</x:v>
      </x:c>
      <x:c r="C39" s="4" t="str">
        <x:v>国土交通省</x:v>
      </x:c>
      <x:c r="D39" s="15" t="n">
        <x:v>2026</x:v>
      </x:c>
      <x:c r="E39" s="4" t="str">
        <x:v>日文</x:v>
      </x:c>
      <x:c r="F39" s="4" t="str">
        <x:v>JP</x:v>
      </x:c>
      <x:c r="G39" s="4" t="str">
        <x:v>A</x:v>
      </x:c>
      <x:c r="H39" s="4" t="str">
        <x:v>open</x:v>
      </x:c>
      <x:c r="I39" s="4" t="str"/>
      <x:c r="J39" s="4" t="str">
        <x:v>未記錄</x:v>
      </x:c>
      <x:c r="K39" s="24" t="str">
        <x:v>https://www.mlit.go.jp/report/press/tochi_fudousan_kensetsugyo14_hh_000001_00337.html</x:v>
      </x:c>
      <x:c r="L39" s="4" t="str">
        <x:v>2026-02-17公告L13–21：2026年3月適用，加權全職種25,834円，單純平均同比+4.5%；不含事業主必要經費。</x:v>
      </x:c>
      <x:c r="M39" s="4" t="str">
        <x:v>turn224view2</x:v>
      </x:c>
      <x:c r="N39" s="4" t="str">
        <x:v>国土交通省</x:v>
      </x:c>
    </x:row>
    <x:row r="40" ht="30" customHeight="1">
      <x:c r="A40" s="4" t="str">
        <x:v>JP19</x:v>
      </x:c>
      <x:c r="B40" s="4" t="str">
        <x:v>住宅省エネ2026キャンペーン・リフォーム</x:v>
      </x:c>
      <x:c r="C40" s="4" t="str">
        <x:v>国土交通省等</x:v>
      </x:c>
      <x:c r="D40" s="15" t="n">
        <x:v>2026</x:v>
      </x:c>
      <x:c r="E40" s="4" t="str">
        <x:v>日文</x:v>
      </x:c>
      <x:c r="F40" s="4" t="str">
        <x:v>JP</x:v>
      </x:c>
      <x:c r="G40" s="4" t="str">
        <x:v>A</x:v>
      </x:c>
      <x:c r="H40" s="4" t="str">
        <x:v>open</x:v>
      </x:c>
      <x:c r="I40" s="4" t="str"/>
      <x:c r="J40" s="4" t="str">
        <x:v>未記錄</x:v>
      </x:c>
      <x:c r="K40" s="24" t="str">
        <x:v>https://jutaku-shoene2026.mlit.go.jp/about/reform.html</x:v>
      </x:c>
      <x:c r="L40" s="4" t="str">
        <x:v>L57：窗戶翻修預算1,125億円；L92：住宅每戶100萬円上限；政策預算不是支出。</x:v>
      </x:c>
      <x:c r="M40" s="4" t="str">
        <x:v>turn230view5;turn224view10</x:v>
      </x:c>
      <x:c r="N40" s="4" t="str">
        <x:v>国土交通省等</x:v>
      </x:c>
    </x:row>
    <x:row r="41" ht="38" customHeight="1">
      <x:c r="A41" s="4" t="str">
        <x:v>KR01</x:v>
      </x:c>
      <x:c r="B41" s="4" t="str">
        <x:v>2025년 인구주택총조사 결과</x:v>
      </x:c>
      <x:c r="C41" s="4" t="str">
        <x:v>KDI／國家資料處</x:v>
      </x:c>
      <x:c r="D41" s="15" t="str">
        <x:v>2026</x:v>
      </x:c>
      <x:c r="E41" s="4" t="str">
        <x:v>韓文</x:v>
      </x:c>
      <x:c r="F41" s="4" t="str">
        <x:v>KR</x:v>
      </x:c>
      <x:c r="G41" s="4" t="str">
        <x:v>A</x:v>
      </x:c>
      <x:c r="H41" s="4" t="str">
        <x:v>opened</x:v>
      </x:c>
      <x:c r="I41" s="4" t="str"/>
      <x:c r="J41" s="4" t="str">
        <x:v>未記錄</x:v>
      </x:c>
      <x:c r="K41" s="24" t="str">
        <x:v>https://eiec.kdi.re.kr/policy/materialView.do?num=284799</x:v>
      </x:c>
      <x:c r="L41" s="4" t="str">
        <x:v>L355–370；2025-11-01 普查，人口 5,182 萬、65+ 1,072 萬／20.7%、住宅 2,018 萬、公寓 65.8%、20+ 56.0%、30+ 30.6%、單人戶 824 萬／36.6%。</x:v>
      </x:c>
      <x:c r="M41" s="4" t="str">
        <x:v>turn164view0</x:v>
      </x:c>
      <x:c r="N41" s="4" t="str">
        <x:v>KDI／國家資料處</x:v>
      </x:c>
    </x:row>
    <x:row r="42" ht="30" customHeight="1">
      <x:c r="A42" s="4" t="str">
        <x:v>KR02</x:v>
      </x:c>
      <x:c r="B42" s="4" t="str">
        <x:v>2024년 인구주택총조사 결과(등록센서스 방식)</x:v>
      </x:c>
      <x:c r="C42" s="4" t="str">
        <x:v>韓國政府政策簡報</x:v>
      </x:c>
      <x:c r="D42" s="15" t="str">
        <x:v>2025</x:v>
      </x:c>
      <x:c r="E42" s="4" t="str">
        <x:v>韓文</x:v>
      </x:c>
      <x:c r="F42" s="4" t="str">
        <x:v>KR</x:v>
      </x:c>
      <x:c r="G42" s="4" t="str">
        <x:v>A</x:v>
      </x:c>
      <x:c r="H42" s="4" t="str">
        <x:v>opened</x:v>
      </x:c>
      <x:c r="I42" s="4" t="str"/>
      <x:c r="J42" s="4" t="str">
        <x:v>未記錄</x:v>
      </x:c>
      <x:c r="K42" s="24" t="str">
        <x:v>https://www.korea.kr/news/policyNewsView.do?newsId=156721680</x:v>
      </x:c>
      <x:c r="L42" s="4" t="str">
        <x:v>L247–255；2024-11-01 總住宅 1,987 萬，排除 officetel 等非住宅居所；30 年以上 28.0%。</x:v>
      </x:c>
      <x:c r="M42" s="4" t="str">
        <x:v>turn165view1</x:v>
      </x:c>
      <x:c r="N42" s="4" t="str">
        <x:v>韓國政府政策簡報</x:v>
      </x:c>
    </x:row>
    <x:row r="43" ht="38" customHeight="1">
      <x:c r="A43" s="4" t="str">
        <x:v>KR03</x:v>
      </x:c>
      <x:c r="B43" s="4" t="str">
        <x:v>한샘 재무 하이라이트</x:v>
      </x:c>
      <x:c r="C43" s="4" t="str">
        <x:v>Hanssem IR</x:v>
      </x:c>
      <x:c r="D43" s="15" t="str">
        <x:v>2026</x:v>
      </x:c>
      <x:c r="E43" s="4" t="str">
        <x:v>韓文</x:v>
      </x:c>
      <x:c r="F43" s="4" t="str">
        <x:v>KR</x:v>
      </x:c>
      <x:c r="G43" s="4" t="str">
        <x:v>C</x:v>
      </x:c>
      <x:c r="H43" s="4" t="str">
        <x:v>opened</x:v>
      </x:c>
      <x:c r="I43" s="4" t="str"/>
      <x:c r="J43" s="4" t="str">
        <x:v>未記錄</x:v>
      </x:c>
      <x:c r="K43" s="24" t="str">
        <x:v>https://company.hanssem.com/ir/financials/highlights</x:v>
      </x:c>
      <x:c r="L43" s="4" t="str">
        <x:v>L68–76 官方合併損益摘要，單位百萬韓元，2025／2024 欄收入 1,744,538／1,908,391，2025 營業利益 18,491。1.06% 為自行計算。未另開審計年報，依公司自報從嚴列 C。</x:v>
      </x:c>
      <x:c r="M43" s="4" t="str">
        <x:v>turn165view2</x:v>
      </x:c>
      <x:c r="N43" s="4" t="str">
        <x:v>Hanssem</x:v>
      </x:c>
    </x:row>
    <x:row r="44" ht="38" customHeight="1">
      <x:c r="A44" s="4" t="str">
        <x:v>KR04</x:v>
      </x:c>
      <x:c r="B44" s="4" t="str">
        <x:v>오늘의집 2025년 실적발표</x:v>
      </x:c>
      <x:c r="C44" s="4" t="str">
        <x:v>Bucketplace 官方新聞室</x:v>
      </x:c>
      <x:c r="D44" s="15" t="str">
        <x:v>2026</x:v>
      </x:c>
      <x:c r="E44" s="4" t="str">
        <x:v>韓文</x:v>
      </x:c>
      <x:c r="F44" s="4" t="str">
        <x:v>KR</x:v>
      </x:c>
      <x:c r="G44" s="4" t="str">
        <x:v>C</x:v>
      </x:c>
      <x:c r="H44" s="4" t="str">
        <x:v>opened</x:v>
      </x:c>
      <x:c r="I44" s="4" t="str"/>
      <x:c r="J44" s="4" t="str">
        <x:v>未記錄</x:v>
      </x:c>
      <x:c r="K44" s="24" t="str">
        <x:v>https://ohstory.io/press/pressrelease/15242</x:v>
      </x:c>
      <x:c r="L44" s="4" t="str">
        <x:v>L46、51–52；2026-04-14 發布 2025 結果：收入 3,215 億韓元、年增約 11.7%、施工交易收入 3.5 倍以上、合作夥伴約 400 家。公司新聞稿，非交易額。</x:v>
      </x:c>
      <x:c r="M44" s="4" t="str">
        <x:v>turn167view0</x:v>
      </x:c>
      <x:c r="N44" s="4" t="str">
        <x:v>Bucketplace</x:v>
      </x:c>
    </x:row>
    <x:row r="45" ht="38" customHeight="1">
      <x:c r="A45" s="4" t="str">
        <x:v>KR05</x:v>
      </x:c>
      <x:c r="B45" s="4" t="str">
        <x:v>건설산업기본법 시행령 별표2（2022修訂版）</x:v>
      </x:c>
      <x:c r="C45" s="4" t="str">
        <x:v>韓國國家法令資訊中心</x:v>
      </x:c>
      <x:c r="D45" s="15" t="str">
        <x:v>2022</x:v>
      </x:c>
      <x:c r="E45" s="4" t="str">
        <x:v>韓文</x:v>
      </x:c>
      <x:c r="F45" s="4" t="str">
        <x:v>KR</x:v>
      </x:c>
      <x:c r="G45" s="4" t="str">
        <x:v>A</x:v>
      </x:c>
      <x:c r="H45" s="4" t="str">
        <x:v>opened</x:v>
      </x:c>
      <x:c r="I45" s="4" t="str"/>
      <x:c r="J45" s="4" t="str">
        <x:v>未記錄</x:v>
      </x:c>
      <x:c r="K45" s="24" t="str">
        <x:v>https://www.law.go.kr/LSW/flDownload.do?bylClsCd=110201&amp;flSeq=129840259&amp;gubun=</x:v>
      </x:c>
      <x:c r="L45" s="4" t="str">
        <x:v>PDF 第 3 頁（零基 P2）L131–149；實內建築工程登記人員 2 人以上、資本 1 億 5 千萬韓元以上；封面明列 2022-02-17 修正版。僅證實歷史條文，不證實 2026 全部現行資格。</x:v>
      </x:c>
      <x:c r="M45" s="4" t="str">
        <x:v>turn167view1</x:v>
      </x:c>
      <x:c r="N45" s="4" t="str">
        <x:v>韓國國家法令資訊中心</x:v>
      </x:c>
    </x:row>
    <x:row r="46" ht="38" customHeight="1">
      <x:c r="A46" s="4" t="str">
        <x:v>KR06</x:v>
      </x:c>
      <x:c r="B46" s="4" t="str">
        <x:v>Types of Investable Businesses</x:v>
      </x:c>
      <x:c r="C46" s="4" t="str">
        <x:v>KOTRA Invest Korea</x:v>
      </x:c>
      <x:c r="D46" s="15" t="str">
        <x:v>查閱2026</x:v>
      </x:c>
      <x:c r="E46" s="4" t="str">
        <x:v>英文</x:v>
      </x:c>
      <x:c r="F46" s="4" t="str">
        <x:v>KR</x:v>
      </x:c>
      <x:c r="G46" s="4" t="str">
        <x:v>A</x:v>
      </x:c>
      <x:c r="H46" s="4" t="str">
        <x:v>opened</x:v>
      </x:c>
      <x:c r="I46" s="4" t="str"/>
      <x:c r="J46" s="4" t="str">
        <x:v>未記錄</x:v>
      </x:c>
      <x:c r="K46" s="24" t="str">
        <x:v>https://www.investkorea.org/ik-en/cntnts/i-334/web.do</x:v>
      </x:c>
      <x:c r="L46" s="4" t="str">
        <x:v>L290–294；FDI 定義最低 1 億韓元及持股 10% 以上；負面清單 L311、319 明引 2018 公告，不能當 2026 完整法遵清單。</x:v>
      </x:c>
      <x:c r="M46" s="4" t="str">
        <x:v>turn172view3</x:v>
      </x:c>
      <x:c r="N46" s="4" t="str">
        <x:v>KOTRA Invest Korea</x:v>
      </x:c>
    </x:row>
    <x:row r="47" ht="38" customHeight="1">
      <x:c r="A47" s="4" t="str">
        <x:v>KR07</x:v>
      </x:c>
      <x:c r="B47" s="4" t="str">
        <x:v>2026년 민간건축물 그린리모델링 이자지원 사업 변경공고</x:v>
      </x:c>
      <x:c r="C47" s="4" t="str">
        <x:v>國土交通部／國土安全管理院</x:v>
      </x:c>
      <x:c r="D47" s="15" t="str">
        <x:v>2026</x:v>
      </x:c>
      <x:c r="E47" s="4" t="str">
        <x:v>韓文</x:v>
      </x:c>
      <x:c r="F47" s="4" t="str">
        <x:v>KR</x:v>
      </x:c>
      <x:c r="G47" s="4" t="str">
        <x:v>A</x:v>
      </x:c>
      <x:c r="H47" s="4" t="str">
        <x:v>opened</x:v>
      </x:c>
      <x:c r="I47" s="4" t="str"/>
      <x:c r="J47" s="4" t="str">
        <x:v>未記錄</x:v>
      </x:c>
      <x:c r="K47" s="24" t="str">
        <x:v>https://www.greenremodeling.or.kr/n1/board/boardView.asp?bid=notice&amp;nSeq=5803</x:v>
      </x:c>
      <x:c r="L47" s="4" t="str">
        <x:v>L117–137；2026-06-25 綠色翻修利息支持修改公告；既有私人建築 2016-01-01 前使用核准、能源改善與指定承作商；住宅價格門檻上調，不是全部裝修補助。</x:v>
      </x:c>
      <x:c r="M47" s="4" t="str">
        <x:v>turn174view5</x:v>
      </x:c>
      <x:c r="N47" s="4" t="str">
        <x:v>國土交通部／國土安全管理院</x:v>
      </x:c>
    </x:row>
    <x:row r="48" ht="38" customHeight="1">
      <x:c r="A48" s="4" t="str">
        <x:v>KR08</x:v>
      </x:c>
      <x:c r="B48" s="4" t="str">
        <x:v>2024년 국민계정(확정) 및 2025년 국민계정(잠정)</x:v>
      </x:c>
      <x:c r="C48" s="4" t="str">
        <x:v>韓國銀行</x:v>
      </x:c>
      <x:c r="D48" s="15" t="str">
        <x:v>2026</x:v>
      </x:c>
      <x:c r="E48" s="4" t="str">
        <x:v>韓文</x:v>
      </x:c>
      <x:c r="F48" s="4" t="str">
        <x:v>KR</x:v>
      </x:c>
      <x:c r="G48" s="4" t="str">
        <x:v>A</x:v>
      </x:c>
      <x:c r="H48" s="4" t="str">
        <x:v>opened</x:v>
      </x:c>
      <x:c r="I48" s="4" t="str"/>
      <x:c r="J48" s="4" t="str">
        <x:v>未記錄</x:v>
      </x:c>
      <x:c r="K48" s="24" t="str">
        <x:v>https://www.bok.or.kr/portal/bbs/B0000501/view.do?depth=201264&amp;menuNo=201264&amp;nttId=10098382&amp;oldMenuNo=201150&amp;programType=newsData&amp;relate=Y</x:v>
      </x:c>
      <x:c r="L48" s="4" t="str">
        <x:v>L854–897；2026-06-09 發布，2025 實質 GDP +1.1%、名目 GDP 2,676.7 兆韓元、每人 GNI 36,963 美元。</x:v>
      </x:c>
      <x:c r="M48" s="4" t="str">
        <x:v>turn172view0</x:v>
      </x:c>
      <x:c r="N48" s="4" t="str">
        <x:v>韓國銀行</x:v>
      </x:c>
    </x:row>
    <x:row r="49" ht="38" customHeight="1">
      <x:c r="A49" s="4" t="str">
        <x:v>KR09</x:v>
      </x:c>
      <x:c r="B49" s="4" t="str">
        <x:v>인테리어 소비자 피해 매년 증가</x:v>
      </x:c>
      <x:c r="C49" s="4" t="str">
        <x:v>京鄉新聞轉引韓國消費者院</x:v>
      </x:c>
      <x:c r="D49" s="15" t="str">
        <x:v>2026</x:v>
      </x:c>
      <x:c r="E49" s="4" t="str">
        <x:v>韓文</x:v>
      </x:c>
      <x:c r="F49" s="4" t="str">
        <x:v>KR</x:v>
      </x:c>
      <x:c r="G49" s="4" t="str">
        <x:v>B</x:v>
      </x:c>
      <x:c r="H49" s="4" t="str">
        <x:v>opened</x:v>
      </x:c>
      <x:c r="I49" s="4" t="str"/>
      <x:c r="J49" s="4" t="str">
        <x:v>未記錄</x:v>
      </x:c>
      <x:c r="K49" s="24" t="str">
        <x:v>https://www.khan.co.kr/article/202610071201001</x:v>
      </x:c>
      <x:c r="L49" s="4" t="str">
        <x:v>L214、230–232；2026-10-07 引用韓國消費者院：2024 年 551 件、2025 年 795 件、2026 上半年 430 件；2023–2026H1 瑕疵修補不滿 56.9%。</x:v>
      </x:c>
      <x:c r="M49" s="4" t="str">
        <x:v>turn178view3</x:v>
      </x:c>
      <x:c r="N49" s="4" t="str">
        <x:v>京鄉新聞轉引韓國消費者院</x:v>
      </x:c>
    </x:row>
    <x:row r="50" ht="30" customHeight="1">
      <x:c r="A50" s="4" t="str">
        <x:v>KR10</x:v>
      </x:c>
      <x:c r="B50" s="4" t="str">
        <x:v>한샘 사업영역</x:v>
      </x:c>
      <x:c r="C50" s="4" t="str">
        <x:v>Hanssem</x:v>
      </x:c>
      <x:c r="D50" s="15" t="str">
        <x:v>查閱2026</x:v>
      </x:c>
      <x:c r="E50" s="4" t="str">
        <x:v>韓文</x:v>
      </x:c>
      <x:c r="F50" s="4" t="str">
        <x:v>KR</x:v>
      </x:c>
      <x:c r="G50" s="4" t="str">
        <x:v>C</x:v>
      </x:c>
      <x:c r="H50" s="4" t="str">
        <x:v>opened</x:v>
      </x:c>
      <x:c r="I50" s="4" t="str"/>
      <x:c r="J50" s="4" t="str">
        <x:v>未記錄</x:v>
      </x:c>
      <x:c r="K50" s="24" t="str">
        <x:v>https://company.hanssem.com/about/business</x:v>
      </x:c>
      <x:c r="L50" s="4" t="str">
        <x:v>官方業務頁已開啟，介紹家具、內裝、B2B 與 Rehaus；只支持模式存在，不證明業務排名或績效。</x:v>
      </x:c>
      <x:c r="M50" s="4" t="str">
        <x:v>turn169view2</x:v>
      </x:c>
      <x:c r="N50" s="4" t="str">
        <x:v>Hanssem</x:v>
      </x:c>
    </x:row>
    <x:row r="51" ht="30" customHeight="1">
      <x:c r="A51" s="4" t="str">
        <x:v>KR11</x:v>
      </x:c>
      <x:c r="B51" s="4" t="str">
        <x:v>인테리어 업체 수 통계안내</x:v>
      </x:c>
      <x:c r="C51" s="4" t="str">
        <x:v>KOSIS</x:v>
      </x:c>
      <x:c r="D51" s="15" t="str">
        <x:v>2024</x:v>
      </x:c>
      <x:c r="E51" s="4" t="str">
        <x:v>韓文</x:v>
      </x:c>
      <x:c r="F51" s="4" t="str">
        <x:v>KR</x:v>
      </x:c>
      <x:c r="G51" s="4" t="str">
        <x:v>A</x:v>
      </x:c>
      <x:c r="H51" s="4" t="str">
        <x:v>opened</x:v>
      </x:c>
      <x:c r="I51" s="4" t="str"/>
      <x:c r="J51" s="4" t="str">
        <x:v>未記錄</x:v>
      </x:c>
      <x:c r="K51" s="24" t="str">
        <x:v>https://kosis.kr/civilComplaint/qnaDetail.do?boardIdx=22632</x:v>
      </x:c>
      <x:c r="L51" s="4" t="str">
        <x:v>KOSIS 問答原頁已開啟；指引統計查詢，未直接取得全體室內設計公司家數。</x:v>
      </x:c>
      <x:c r="M51" s="4" t="str">
        <x:v>turn169view3</x:v>
      </x:c>
      <x:c r="N51" s="4" t="str">
        <x:v>KOSIS</x:v>
      </x:c>
    </x:row>
    <x:row r="52" ht="52" customHeight="1">
      <x:c r="A52" s="4" t="str">
        <x:v>KR12</x:v>
      </x:c>
      <x:c r="B52" s="4" t="str">
        <x:v>실내건축 및 건축마무리 공사업 통계 정의 답변</x:v>
      </x:c>
      <x:c r="C52" s="4" t="str">
        <x:v>KOSIS</x:v>
      </x:c>
      <x:c r="D52" s="15" t="str">
        <x:v>2022</x:v>
      </x:c>
      <x:c r="E52" s="4" t="str">
        <x:v>韓文</x:v>
      </x:c>
      <x:c r="F52" s="4" t="str">
        <x:v>KR</x:v>
      </x:c>
      <x:c r="G52" s="4" t="str">
        <x:v>A</x:v>
      </x:c>
      <x:c r="H52" s="4" t="str">
        <x:v>opened</x:v>
      </x:c>
      <x:c r="I52" s="4" t="str"/>
      <x:c r="J52" s="4" t="str">
        <x:v>未記錄</x:v>
      </x:c>
      <x:c r="K52" s="24" t="str">
        <x:v>https://kosis.kr/civilComplaint/qnaDetail.do;jsessionid=5zG48zL7nTfi8grB9KliUlQQYSpa11TNVBuSBzUG9e9QC7aap4RB8iYmQAT3on2n.STAT_SIGA1_servlet_engine1?boardIdx=17381</x:v>
      </x:c>
      <x:c r="L52" s="4" t="str">
        <x:v>L199–211 KOSIS 原文：業別營收混合住宅／非住宅，且按主要施工活動歸類；不能直接等同住宅裝修 TAM。</x:v>
      </x:c>
      <x:c r="M52" s="4" t="str">
        <x:v>turn174view0</x:v>
      </x:c>
      <x:c r="N52" s="4" t="str">
        <x:v>KOSIS</x:v>
      </x:c>
    </x:row>
    <x:row r="53" ht="38" customHeight="1">
      <x:c r="A53" s="4" t="str">
        <x:v>KR13</x:v>
      </x:c>
      <x:c r="B53" s="4" t="str">
        <x:v>새로운 시도와 꾸준한 성장이 이어진 오늘의집의 2025년</x:v>
      </x:c>
      <x:c r="C53" s="4" t="str">
        <x:v>Bucketplace</x:v>
      </x:c>
      <x:c r="D53" s="15" t="str">
        <x:v>2025-12-31發布</x:v>
      </x:c>
      <x:c r="E53" s="4" t="str">
        <x:v>韓文</x:v>
      </x:c>
      <x:c r="F53" s="4" t="str">
        <x:v>KR</x:v>
      </x:c>
      <x:c r="G53" s="4" t="str">
        <x:v>C</x:v>
      </x:c>
      <x:c r="H53" s="4" t="str">
        <x:v>opened</x:v>
      </x:c>
      <x:c r="I53" s="4" t="str"/>
      <x:c r="J53" s="4" t="str">
        <x:v>未記錄</x:v>
      </x:c>
      <x:c r="K53" s="24" t="str">
        <x:v>https://ohstory.io/featured/14615</x:v>
      </x:c>
      <x:c r="L53" s="4" t="str">
        <x:v>L42–60；原文發布日期 2025-12-31，原來源清單年份 2026 不正確；內容為 2025 回顧與北村／板橋實體據點。</x:v>
      </x:c>
      <x:c r="M53" s="4" t="str">
        <x:v>turn174view1</x:v>
      </x:c>
      <x:c r="N53" s="4" t="str">
        <x:v>Bucketplace</x:v>
      </x:c>
    </x:row>
    <x:row r="54" ht="38" customHeight="1">
      <x:c r="A54" s="4" t="str">
        <x:v>KR14</x:v>
      </x:c>
      <x:c r="B54" s="4" t="str">
        <x:v>요약재무정보</x:v>
      </x:c>
      <x:c r="C54" s="4" t="str">
        <x:v>Hyundai Livart</x:v>
      </x:c>
      <x:c r="D54" s="15" t="str">
        <x:v>查閱2026</x:v>
      </x:c>
      <x:c r="E54" s="4" t="str">
        <x:v>韓文</x:v>
      </x:c>
      <x:c r="F54" s="4" t="str">
        <x:v>KR</x:v>
      </x:c>
      <x:c r="G54" s="4" t="str">
        <x:v>C</x:v>
      </x:c>
      <x:c r="H54" s="4" t="str">
        <x:v>opened</x:v>
      </x:c>
      <x:c r="I54" s="4" t="str"/>
      <x:c r="J54" s="4" t="str">
        <x:v>未記錄</x:v>
      </x:c>
      <x:c r="K54" s="24" t="str">
        <x:v>https://company.hyundailivart.co.kr/ko/statements</x:v>
      </x:c>
      <x:c r="L54" s="4" t="str">
        <x:v>L123–137 合併損益摘要，百萬韓元；2025 收入 1,546,206、毛利 268,091、營業利益 15,717。公司 IR 摘要未另讀年報，從嚴 C。</x:v>
      </x:c>
      <x:c r="M54" s="4" t="str">
        <x:v>turn178view4</x:v>
      </x:c>
      <x:c r="N54" s="4" t="str">
        <x:v>Hyundai Livart</x:v>
      </x:c>
    </x:row>
    <x:row r="55" ht="30" customHeight="1">
      <x:c r="A55" s="4" t="str">
        <x:v>KR15</x:v>
      </x:c>
      <x:c r="B55" s="4" t="str">
        <x:v>오늘의집 검색어로 본 2025년 인테리어 키워드</x:v>
      </x:c>
      <x:c r="C55" s="4" t="str">
        <x:v>Bucketplace</x:v>
      </x:c>
      <x:c r="D55" s="15" t="str">
        <x:v>2026</x:v>
      </x:c>
      <x:c r="E55" s="4" t="str">
        <x:v>韓文</x:v>
      </x:c>
      <x:c r="F55" s="4" t="str">
        <x:v>KR</x:v>
      </x:c>
      <x:c r="G55" s="4" t="str">
        <x:v>C</x:v>
      </x:c>
      <x:c r="H55" s="4" t="str">
        <x:v>opened</x:v>
      </x:c>
      <x:c r="I55" s="4" t="str"/>
      <x:c r="J55" s="4" t="str">
        <x:v>未記錄</x:v>
      </x:c>
      <x:c r="K55" s="24" t="str">
        <x:v>https://ohstory.io/press/pressrelease/14717</x:v>
      </x:c>
      <x:c r="L55" s="4" t="str">
        <x:v>平台關鍵字文章已開啟；平台內搜尋觀察，不代表全韓居民偏好比例。</x:v>
      </x:c>
      <x:c r="M55" s="4" t="str">
        <x:v>turn174view3</x:v>
      </x:c>
      <x:c r="N55" s="4" t="str">
        <x:v>Bucketplace</x:v>
      </x:c>
    </x:row>
    <x:row r="56" ht="94" customHeight="1">
      <x:c r="A56" s="4" t="str">
        <x:v>KR16</x:v>
      </x:c>
      <x:c r="B56" s="4" t="str">
        <x:v>2025년 실내건축공사 시공능력평가 순위</x:v>
      </x:c>
      <x:c r="C56" s="4" t="str">
        <x:v>Sankun 產業資料平台</x:v>
      </x:c>
      <x:c r="D56" s="15" t="str">
        <x:v>2025</x:v>
      </x:c>
      <x:c r="E56" s="4" t="str">
        <x:v>韓文</x:v>
      </x:c>
      <x:c r="F56" s="4" t="str">
        <x:v>KR</x:v>
      </x:c>
      <x:c r="G56" s="4" t="str">
        <x:v>D</x:v>
      </x:c>
      <x:c r="H56" s="4" t="str">
        <x:v>opened</x:v>
      </x:c>
      <x:c r="I56" s="4" t="str"/>
      <x:c r="J56" s="4" t="str">
        <x:v>未記錄</x:v>
      </x:c>
      <x:c r="K56" s="24" t="str">
        <x:v>https://www.sankun.com/blog/detail/1114_2025%EB%85%84_%EC%8B%A4%EB%82%B4%EA%B1%B4%EC%B6%95%EA%B3%B5%EC%82%AC_%EC%8B%9C%EA%B3%B5%EB%8A%A5%EB%A0%A5%ED%8F%89%EA%B0%80_%EC%88%9C%EC%9C%84_%EB%B0%9C%ED%91%9C___%EA%B5%AD%EB%B3%B4%EB%94%94%EC%9E%90%EC%9D%B8__%EB%8B%A4%EC%9B%90%EC%95%A4%EC%BB%B4%ED%8D%BC%EB%8B%88__%EC%9D%80%EB%AF%BC%EC%97%90%EC%8A%A4%EC%97%94%EB%94%94_%EB%93%B1</x:v>
      </x:c>
      <x:c r="L56" s="4" t="str">
        <x:v>頁面可開，但網址及版型為商業平台 blog；依附件 D 級不採用作正式排行。2025 施工能力亦非收入排行。</x:v>
      </x:c>
      <x:c r="M56" s="4" t="str">
        <x:v>turn204view0</x:v>
      </x:c>
      <x:c r="N56" s="4" t="str">
        <x:v>Sankun 產業資料平台</x:v>
      </x:c>
    </x:row>
    <x:row r="57" ht="38" customHeight="1">
      <x:c r="A57" s="4" t="str">
        <x:v>KR17</x:v>
      </x:c>
      <x:c r="B57" s="4" t="str">
        <x:v>2026년 전문건설업 시공능력평가 공시</x:v>
      </x:c>
      <x:c r="C57" s="4" t="str">
        <x:v>대한전문건설협회</x:v>
      </x:c>
      <x:c r="D57" s="15" t="str">
        <x:v>2026</x:v>
      </x:c>
      <x:c r="E57" s="4" t="str">
        <x:v>韓文</x:v>
      </x:c>
      <x:c r="F57" s="4" t="str">
        <x:v>KR</x:v>
      </x:c>
      <x:c r="G57" s="4" t="str">
        <x:v>B</x:v>
      </x:c>
      <x:c r="H57" s="4" t="str">
        <x:v>opened</x:v>
      </x:c>
      <x:c r="I57" s="4" t="str"/>
      <x:c r="J57" s="4" t="str">
        <x:v>未記錄</x:v>
      </x:c>
      <x:c r="K57" s="24" t="str">
        <x:v>https://www.kosca.or.kr/bbs/view.do?bbsId=BBS000340&amp;menuId=MENU001123&amp;nttNo=3892</x:v>
      </x:c>
      <x:c r="L57" s="4" t="str">
        <x:v>L318–342；2026-07-30 施工能力公告，2026-08-01 適用；未下載 xlsx 個別公司原表，不視為排名已核。</x:v>
      </x:c>
      <x:c r="M57" s="4" t="str">
        <x:v>turn206view5</x:v>
      </x:c>
      <x:c r="N57" s="4" t="str">
        <x:v>대한전문건설협회</x:v>
      </x:c>
    </x:row>
    <x:row r="58" ht="30" customHeight="1">
      <x:c r="A58" s="4" t="str">
        <x:v>KR18</x:v>
      </x:c>
      <x:c r="B58" s="4" t="str">
        <x:v>재무제표（LX Hausys 官方嵌入）</x:v>
      </x:c>
      <x:c r="C58" s="4" t="str">
        <x:v>LX Hausys／FnGuide</x:v>
      </x:c>
      <x:c r="D58" s="15" t="str">
        <x:v>查閱2026</x:v>
      </x:c>
      <x:c r="E58" s="4" t="str">
        <x:v>韓文</x:v>
      </x:c>
      <x:c r="F58" s="4" t="str">
        <x:v>KR</x:v>
      </x:c>
      <x:c r="G58" s="4" t="str">
        <x:v>C</x:v>
      </x:c>
      <x:c r="H58" s="4" t="str">
        <x:v>opened</x:v>
      </x:c>
      <x:c r="I58" s="4" t="str"/>
      <x:c r="J58" s="4" t="str">
        <x:v>未記錄</x:v>
      </x:c>
      <x:c r="K58" s="24" t="str">
        <x:v>https://ir.gsifn.io/lghausys/fn_statements.html?koreng=1</x:v>
      </x:c>
      <x:c r="L58" s="4" t="str">
        <x:v>L5–12 單位億韓元，2025 收入 31,787、營業利益 131；LX 嵌入 FnGuide 表，未另讀審計報告，從嚴 C。</x:v>
      </x:c>
      <x:c r="M58" s="4" t="str">
        <x:v>turn206view2</x:v>
      </x:c>
      <x:c r="N58" s="4" t="str">
        <x:v>LX Hausys／FnGuide</x:v>
      </x:c>
    </x:row>
    <x:row r="59" ht="38" customHeight="1">
      <x:c r="A59" s="4" t="str">
        <x:v>KR19</x:v>
      </x:c>
      <x:c r="B59" s="4" t="str">
        <x:v>주택 리모델링 시장의 현황과 정책과제</x:v>
      </x:c>
      <x:c r="C59" s="4" t="str">
        <x:v>CERIK／韓國國會圖書館</x:v>
      </x:c>
      <x:c r="D59" s="15" t="str">
        <x:v>2024</x:v>
      </x:c>
      <x:c r="E59" s="4" t="str">
        <x:v>韓文</x:v>
      </x:c>
      <x:c r="F59" s="4" t="str">
        <x:v>KR</x:v>
      </x:c>
      <x:c r="G59" s="4" t="str">
        <x:v>B</x:v>
      </x:c>
      <x:c r="H59" s="4" t="str">
        <x:v>opened_partial</x:v>
      </x:c>
      <x:c r="I59" s="4" t="str">
        <x:v>entrypoint/catalog</x:v>
      </x:c>
      <x:c r="J59" s="4" t="str">
        <x:v>否</x:v>
      </x:c>
      <x:c r="K59" s="24" t="str">
        <x:v>https://nsp.nanet.go.kr/plan/subject/detail.do?highNationalPlanSubjectSn=&amp;nationalPlanControlNo=PLAN0000046638&amp;newReportChk=list</x:v>
      </x:c>
      <x:c r="L59" s="4" t="str">
        <x:v>國會圖書館研究目錄可開，未讀 CERIK 全文；僅研究線索，不能支持市場金額。</x:v>
      </x:c>
      <x:c r="M59" s="4" t="str">
        <x:v>turn178view2</x:v>
      </x:c>
      <x:c r="N59" s="4" t="str">
        <x:v>CERIK／韓國國會圖書館</x:v>
      </x:c>
    </x:row>
    <x:row r="60" ht="38" customHeight="1">
      <x:c r="A60" s="4" t="str">
        <x:v>SG01</x:v>
      </x:c>
      <x:c r="B60" s="4" t="str">
        <x:v>HDB Key Statistics 2024/2025</x:v>
      </x:c>
      <x:c r="C60" s="4" t="str">
        <x:v>Housing &amp; Development Board</x:v>
      </x:c>
      <x:c r="D60" s="15" t="str">
        <x:v>2025</x:v>
      </x:c>
      <x:c r="E60" s="4" t="str">
        <x:v>英文（在地官方語言）</x:v>
      </x:c>
      <x:c r="F60" s="4" t="str">
        <x:v>SG</x:v>
      </x:c>
      <x:c r="G60" s="4" t="str">
        <x:v>A</x:v>
      </x:c>
      <x:c r="H60" s="4" t="str">
        <x:v>opened</x:v>
      </x:c>
      <x:c r="I60" s="4" t="str"/>
      <x:c r="J60" s="4" t="str">
        <x:v>未記錄</x:v>
      </x:c>
      <x:c r="K60" s="24" t="str">
        <x:v>https://www.hdb.gov.sg/-/media/hdb-pulse/reports/annual-reports-and-financial-statements/HDB_Key-Statistics-2025.pdf</x:v>
      </x:c>
      <x:c r="L60" s="4" t="str">
        <x:v>PDF 印頁 7、8、10：FY2024 訂購 24,220（含預計）；完工 20,294；施工中 91,941；轉售登記 28,508；2025-03-31 整戶出租有效案件 59,567。</x:v>
      </x:c>
      <x:c r="M60" s="4" t="str">
        <x:v>turn181view0</x:v>
      </x:c>
      <x:c r="N60" s="4" t="str">
        <x:v>HDB Singapore</x:v>
      </x:c>
    </x:row>
    <x:row r="61" ht="38" customHeight="1">
      <x:c r="A61" s="4" t="str">
        <x:v>SG02</x:v>
      </x:c>
      <x:c r="B61" s="4" t="str">
        <x:v>Important Information on Renovations</x:v>
      </x:c>
      <x:c r="C61" s="4" t="str">
        <x:v>HDB</x:v>
      </x:c>
      <x:c r="D61" s="15" t="str">
        <x:v>查閱2026</x:v>
      </x:c>
      <x:c r="E61" s="4" t="str">
        <x:v>英文（在地官方語言）</x:v>
      </x:c>
      <x:c r="F61" s="4" t="str">
        <x:v>SG</x:v>
      </x:c>
      <x:c r="G61" s="4" t="str">
        <x:v>A</x:v>
      </x:c>
      <x:c r="H61" s="4" t="str">
        <x:v>opened</x:v>
      </x:c>
      <x:c r="I61" s="4" t="str"/>
      <x:c r="J61" s="4" t="str">
        <x:v>未記錄</x:v>
      </x:c>
      <x:c r="K61" s="24" t="str">
        <x:v>https://www.hdb.gov.sg/managing-my-home/renovation-and-maintenance/renovation/important-information-on-renovations</x:v>
      </x:c>
      <x:c r="L61" s="4" t="str">
        <x:v>L32–45；Housing &amp; Development (Renovation Control) Rules 2006 要求 HDB 裝修使用 DRC 承包商；不同工種是否需許可另判。</x:v>
      </x:c>
      <x:c r="M61" s="4" t="str">
        <x:v>turn206view4</x:v>
      </x:c>
      <x:c r="N61" s="4" t="str">
        <x:v>HDB Singapore</x:v>
      </x:c>
    </x:row>
    <x:row r="62" ht="38" customHeight="1">
      <x:c r="A62" s="4" t="str">
        <x:v>SG03</x:v>
      </x:c>
      <x:c r="B62" s="4" t="str">
        <x:v>How Much is a 3, 4, and 5-Room HDB Flat Renovation in 2025?</x:v>
      </x:c>
      <x:c r="C62" s="4" t="str">
        <x:v>Qanvast</x:v>
      </x:c>
      <x:c r="D62" s="15" t="str">
        <x:v>2025</x:v>
      </x:c>
      <x:c r="E62" s="4" t="str">
        <x:v>英文（在地官方語言）</x:v>
      </x:c>
      <x:c r="F62" s="4" t="str">
        <x:v>SG</x:v>
      </x:c>
      <x:c r="G62" s="4" t="str">
        <x:v>C</x:v>
      </x:c>
      <x:c r="H62" s="4" t="str">
        <x:v>opened</x:v>
      </x:c>
      <x:c r="I62" s="4" t="str"/>
      <x:c r="J62" s="4" t="str">
        <x:v>未記錄</x:v>
      </x:c>
      <x:c r="K62" s="24" t="str">
        <x:v>https://qanvast.com/sg/articles/how-much-is-a-3-4-and-5-room-hdb-flat-renovation-in-2025-3384</x:v>
      </x:c>
      <x:c r="L62" s="4" t="str">
        <x:v>原表 L94–126：2024 BTO 259 案、轉售 302 案推估 2025 費用；4-room BTO 51,000–61,800、4-room 轉售 64,300–80,300、5-room 轉售 84,300–97,000 SGD。L169–175 的 4-room 轉售預期 10–12 週。</x:v>
      </x:c>
      <x:c r="M62" s="4" t="str">
        <x:v>turn193view1;turn206view1</x:v>
      </x:c>
      <x:c r="N62" s="4" t="str">
        <x:v>Qanvast</x:v>
      </x:c>
    </x:row>
    <x:row r="63" ht="52" customHeight="1">
      <x:c r="A63" s="4" t="str">
        <x:v>SG04</x:v>
      </x:c>
      <x:c r="B63" s="4" t="str">
        <x:v>CASE sees prepayment losses more than quadruple in 2024</x:v>
      </x:c>
      <x:c r="C63" s="4" t="str">
        <x:v>CASE</x:v>
      </x:c>
      <x:c r="D63" s="15" t="str">
        <x:v>2025</x:v>
      </x:c>
      <x:c r="E63" s="4" t="str">
        <x:v>英文（在地官方語言）</x:v>
      </x:c>
      <x:c r="F63" s="4" t="str">
        <x:v>SG</x:v>
      </x:c>
      <x:c r="G63" s="4" t="str">
        <x:v>B</x:v>
      </x:c>
      <x:c r="H63" s="4" t="str">
        <x:v>opened</x:v>
      </x:c>
      <x:c r="I63" s="4" t="str"/>
      <x:c r="J63" s="4" t="str">
        <x:v>未記錄</x:v>
      </x:c>
      <x:c r="K63" s="24" t="str">
        <x:v>https://www.case.org.sg/wp-content/uploads/2025/02/Media-Release-CASE-sees-prepayment-losses-more-than-quadruple-in-2024-entertainment-related-complaints-nearly-triple.pdf</x:v>
      </x:c>
      <x:c r="L63" s="4" t="str">
        <x:v>PDF 印頁 2–3，2024 裝修申訴 962、2023 年 1,168；2024 家具 720；承包商預付損失 728,813.76 SGD；約 97% 裝修申訴為非 CaseTrust 業者。</x:v>
      </x:c>
      <x:c r="M63" s="4" t="str">
        <x:v>turn193view2</x:v>
      </x:c>
      <x:c r="N63" s="4" t="str">
        <x:v>CASE</x:v>
      </x:c>
    </x:row>
    <x:row r="64" ht="38" customHeight="1">
      <x:c r="A64" s="4" t="str">
        <x:v>SG05</x:v>
      </x:c>
      <x:c r="B64" s="4" t="str">
        <x:v>Ways to set up foreign businesses in Singapore</x:v>
      </x:c>
      <x:c r="C64" s="4" t="str">
        <x:v>ACRA</x:v>
      </x:c>
      <x:c r="D64" s="15" t="str">
        <x:v>2026</x:v>
      </x:c>
      <x:c r="E64" s="4" t="str">
        <x:v>英文（在地官方語言）</x:v>
      </x:c>
      <x:c r="F64" s="4" t="str">
        <x:v>SG</x:v>
      </x:c>
      <x:c r="G64" s="4" t="str">
        <x:v>A</x:v>
      </x:c>
      <x:c r="H64" s="4" t="str">
        <x:v>opened</x:v>
      </x:c>
      <x:c r="I64" s="4" t="str"/>
      <x:c r="J64" s="4" t="str">
        <x:v>未記錄</x:v>
      </x:c>
      <x:c r="K64" s="24" t="str">
        <x:v>https://www.acra.gov.sg/register/foreign-business/ways-to-set-up/</x:v>
      </x:c>
      <x:c r="L64" s="4" t="str">
        <x:v>2026-01-29 更新；外企設立四條路徑、CSP、分公司與子公司責任不同；不能由本頁推所有受管制業務均可外資無限制。</x:v>
      </x:c>
      <x:c r="M64" s="4" t="str">
        <x:v>turn185view0</x:v>
      </x:c>
      <x:c r="N64" s="4" t="str">
        <x:v>ACRA</x:v>
      </x:c>
    </x:row>
    <x:row r="65" ht="38" customHeight="1">
      <x:c r="A65" s="4" t="str">
        <x:v>SG06</x:v>
      </x:c>
      <x:c r="B65" s="4" t="str">
        <x:v>Enhancement for Active Seniors</x:v>
      </x:c>
      <x:c r="C65" s="4" t="str">
        <x:v>Agency for Integrated Care</x:v>
      </x:c>
      <x:c r="D65" s="15" t="str">
        <x:v>查閱2026</x:v>
      </x:c>
      <x:c r="E65" s="4" t="str">
        <x:v>英文（在地官方語言）</x:v>
      </x:c>
      <x:c r="F65" s="4" t="str">
        <x:v>SG</x:v>
      </x:c>
      <x:c r="G65" s="4" t="str">
        <x:v>A</x:v>
      </x:c>
      <x:c r="H65" s="4" t="str">
        <x:v>opened</x:v>
      </x:c>
      <x:c r="I65" s="4" t="str"/>
      <x:c r="J65" s="4" t="str">
        <x:v>未記錄</x:v>
      </x:c>
      <x:c r="K65" s="24" t="str">
        <x:v>https://www.aic.sg/Financial-Assistance/Enhancement-for-Active-Seniors</x:v>
      </x:c>
      <x:c r="L65" s="4" t="str">
        <x:v>L34–61；EASE 支持止滑、扶手、坡道與衛浴門口拓寬；HDB 屋主／租戶居民家庭資格與私人住宅途徑分開。</x:v>
      </x:c>
      <x:c r="M65" s="4" t="str">
        <x:v>turn185view1</x:v>
      </x:c>
      <x:c r="N65" s="4" t="str">
        <x:v>Agency for Integrated Care</x:v>
      </x:c>
    </x:row>
    <x:row r="66" ht="38" customHeight="1">
      <x:c r="A66" s="4" t="str">
        <x:v>SG07</x:v>
      </x:c>
      <x:c r="B66" s="4" t="str">
        <x:v>Attika Group Ltd. Offer Document</x:v>
      </x:c>
      <x:c r="C66" s="4" t="str">
        <x:v>Attika／SGX／Converging Knowledge</x:v>
      </x:c>
      <x:c r="D66" s="15" t="str">
        <x:v>2024</x:v>
      </x:c>
      <x:c r="E66" s="4" t="str">
        <x:v>英文（在地官方語言）</x:v>
      </x:c>
      <x:c r="F66" s="4" t="str">
        <x:v>SG</x:v>
      </x:c>
      <x:c r="G66" s="4" t="str">
        <x:v>A</x:v>
      </x:c>
      <x:c r="H66" s="4" t="str">
        <x:v>opened</x:v>
      </x:c>
      <x:c r="I66" s="4" t="str"/>
      <x:c r="J66" s="4" t="str">
        <x:v>未記錄</x:v>
      </x:c>
      <x:c r="K66" s="24" t="str">
        <x:v>https://links.sgx.com/FileOpen/Final%20Offer%20Document_0.ashx?App=IPO&amp;FileID=6584</x:v>
      </x:c>
      <x:c r="L66" s="4" t="str">
        <x:v>招股書 PDF 印頁 A-6：2023 年收入 26,968,529 SGD；印頁 42/99：2023 毛利率 21.7%、3M2024 11.9%；印頁158市場圖：2024f 4.2–6.5、2027f 4.8–7.4 十億 SGD。市场图由顾问推估，指标级另列 B。</x:v>
      </x:c>
      <x:c r="M66" s="4" t="str">
        <x:v>turn193view3;turn204view1;turn204view2</x:v>
      </x:c>
      <x:c r="N66" s="4" t="str">
        <x:v>Attika／SGX／Converging Knowledge</x:v>
      </x:c>
    </x:row>
    <x:row r="67" ht="38" customHeight="1">
      <x:c r="A67" s="4" t="str">
        <x:v>SG08</x:v>
      </x:c>
      <x:c r="B67" s="4" t="str">
        <x:v>Latest News &amp; Data – National Accounts</x:v>
      </x:c>
      <x:c r="C67" s="4" t="str">
        <x:v>SingStat</x:v>
      </x:c>
      <x:c r="D67" s="15" t="str">
        <x:v>2026</x:v>
      </x:c>
      <x:c r="E67" s="4" t="str">
        <x:v>英文（在地官方語言）</x:v>
      </x:c>
      <x:c r="F67" s="4" t="str">
        <x:v>SG</x:v>
      </x:c>
      <x:c r="G67" s="4" t="str">
        <x:v>A</x:v>
      </x:c>
      <x:c r="H67" s="4" t="str">
        <x:v>opened</x:v>
      </x:c>
      <x:c r="I67" s="4" t="str"/>
      <x:c r="J67" s="4" t="str">
        <x:v>未記錄</x:v>
      </x:c>
      <x:c r="K67" s="24" t="str">
        <x:v>https://www.singstat.gov.sg/find-data/explore-data-themes/economy-prices/national-accounts/latest-news-data</x:v>
      </x:c>
      <x:c r="L67" s="4" t="str">
        <x:v>L143–150：2025 名目 GDP 789,529.2 百萬 SGD；每人 GDP 129,194 SGD，前期 126,803 SGD。不是美元。</x:v>
      </x:c>
      <x:c r="M67" s="4" t="str">
        <x:v>turn193view4</x:v>
      </x:c>
      <x:c r="N67" s="4" t="str">
        <x:v>SingStat</x:v>
      </x:c>
    </x:row>
    <x:row r="68" ht="38" customHeight="1">
      <x:c r="A68" s="4" t="str">
        <x:v>SG09</x:v>
      </x:c>
      <x:c r="B68" s="4" t="str">
        <x:v>Construction sector: Work Permit requirements</x:v>
      </x:c>
      <x:c r="C68" s="4" t="str">
        <x:v>Ministry of Manpower</x:v>
      </x:c>
      <x:c r="D68" s="15" t="str">
        <x:v>查閱2026</x:v>
      </x:c>
      <x:c r="E68" s="4" t="str">
        <x:v>英文（在地官方語言）</x:v>
      </x:c>
      <x:c r="F68" s="4" t="str">
        <x:v>SG</x:v>
      </x:c>
      <x:c r="G68" s="4" t="str">
        <x:v>A</x:v>
      </x:c>
      <x:c r="H68" s="4" t="str">
        <x:v>opened</x:v>
      </x:c>
      <x:c r="I68" s="4" t="str"/>
      <x:c r="J68" s="4" t="str">
        <x:v>未記錄</x:v>
      </x:c>
      <x:c r="K68" s="24" t="str">
        <x:v>https://www.mom.gov.sg/passes-and-permits/work-permit-for-foreign-worker/sector-specific-rules/construction-sector-requirements</x:v>
      </x:c>
      <x:c r="L68" s="4" t="str">
        <x:v>L73–100：台灣為 NAS；每合格本地雇員可配 5 名 WP；2024-01-01 起 NAS 高技能徵費 300、基本技能 700 SGD／月。徵費不是薪資。</x:v>
      </x:c>
      <x:c r="M68" s="4" t="str">
        <x:v>turn188view0</x:v>
      </x:c>
      <x:c r="N68" s="4" t="str">
        <x:v>Ministry of Manpower</x:v>
      </x:c>
    </x:row>
    <x:row r="69" ht="38" customHeight="1">
      <x:c r="A69" s="4" t="str">
        <x:v>SG10</x:v>
      </x:c>
      <x:c r="B69" s="4" t="str">
        <x:v>Qanvast Singapore</x:v>
      </x:c>
      <x:c r="C69" s="4" t="str">
        <x:v>Qanvast</x:v>
      </x:c>
      <x:c r="D69" s="15" t="str">
        <x:v>查閱2026</x:v>
      </x:c>
      <x:c r="E69" s="4" t="str">
        <x:v>英文（在地官方語言）</x:v>
      </x:c>
      <x:c r="F69" s="4" t="str">
        <x:v>SG</x:v>
      </x:c>
      <x:c r="G69" s="4" t="str">
        <x:v>C</x:v>
      </x:c>
      <x:c r="H69" s="4" t="str">
        <x:v>opened</x:v>
      </x:c>
      <x:c r="I69" s="4" t="str"/>
      <x:c r="J69" s="4" t="str">
        <x:v>未記錄</x:v>
      </x:c>
      <x:c r="K69" s="24" t="str">
        <x:v>https://qanvast.com/sg</x:v>
      </x:c>
      <x:c r="L69" s="4" t="str">
        <x:v>L230–238：保證上限合約值 50% 與 SGD150,000 取低；over 95,000 為累計使用選商服務屋主，不是年度成交量。</x:v>
      </x:c>
      <x:c r="M69" s="4" t="str">
        <x:v>turn204view4</x:v>
      </x:c>
      <x:c r="N69" s="4" t="str">
        <x:v>Qanvast</x:v>
      </x:c>
    </x:row>
    <x:row r="70" ht="38" customHeight="1">
      <x:c r="A70" s="4" t="str">
        <x:v>SG11</x:v>
      </x:c>
      <x:c r="B70" s="4" t="str">
        <x:v>Springview Holdings FWP investor presentation</x:v>
      </x:c>
      <x:c r="C70" s="4" t="str">
        <x:v>Springview／SEC／Frost &amp; Sullivan</x:v>
      </x:c>
      <x:c r="D70" s="15" t="str">
        <x:v>2024</x:v>
      </x:c>
      <x:c r="E70" s="4" t="str">
        <x:v>英文（在地市場資料）</x:v>
      </x:c>
      <x:c r="F70" s="4" t="str">
        <x:v>SG</x:v>
      </x:c>
      <x:c r="G70" s="4" t="str">
        <x:v>B</x:v>
      </x:c>
      <x:c r="H70" s="4" t="str">
        <x:v>opened</x:v>
      </x:c>
      <x:c r="I70" s="4" t="str"/>
      <x:c r="J70" s="4" t="str">
        <x:v>未記錄</x:v>
      </x:c>
      <x:c r="K70" s="24" t="str">
        <x:v>https://www.sec.gov/Archives/edgar/data/2002236/000121390024045316/ea0206536-fwp_springview.htm</x:v>
      </x:c>
      <x:c r="L70" s="4" t="str">
        <x:v>SEC 簡報第17頁圖與文字均核對：全用途 renovation 2022 年 4,179.5、2024E 4,630.2、2027E 5,378.5 百萬 SGD；圖下半部有住宅分拆，與 A&amp;A 分開。</x:v>
      </x:c>
      <x:c r="M70" s="4" t="str">
        <x:v>turn204view3;turn237view0</x:v>
      </x:c>
      <x:c r="N70" s="4" t="str">
        <x:v>Frost &amp; Sullivan／Springview 2024簡報</x:v>
      </x:c>
    </x:row>
    <x:row r="71" ht="30" customHeight="1">
      <x:c r="A71" s="4" t="str">
        <x:v>SG12</x:v>
      </x:c>
      <x:c r="B71" s="4" t="str">
        <x:v>Understanding requirements &amp; eligibility</x:v>
      </x:c>
      <x:c r="C71" s="4" t="str">
        <x:v>ACRA</x:v>
      </x:c>
      <x:c r="D71" s="15" t="str">
        <x:v>查閱2026</x:v>
      </x:c>
      <x:c r="E71" s="4" t="str">
        <x:v>英文（在地官方語言）</x:v>
      </x:c>
      <x:c r="F71" s="4" t="str">
        <x:v>SG</x:v>
      </x:c>
      <x:c r="G71" s="4" t="str">
        <x:v>A</x:v>
      </x:c>
      <x:c r="H71" s="4" t="str">
        <x:v>opened</x:v>
      </x:c>
      <x:c r="I71" s="4" t="str"/>
      <x:c r="J71" s="4" t="str">
        <x:v>未記錄</x:v>
      </x:c>
      <x:c r="K71" s="24" t="str">
        <x:v>https://www.acra.gov.sg/register/business/requirements-eligibility/</x:v>
      </x:c>
      <x:c r="L71" s="4" t="str">
        <x:v>L80–88；外國人以 CSP 設立、需本地常住責任人；移居經營仍須工作准證。</x:v>
      </x:c>
      <x:c r="M71" s="4" t="str">
        <x:v>turn206view3</x:v>
      </x:c>
      <x:c r="N71" s="4" t="str">
        <x:v>ACRA</x:v>
      </x:c>
    </x:row>
    <x:row r="72" ht="30" customHeight="1">
      <x:c r="A72" s="4" t="str">
        <x:v>SG13</x:v>
      </x:c>
      <x:c r="B72" s="4" t="str">
        <x:v>How to Renovate Your HDB Flat</x:v>
      </x:c>
      <x:c r="C72" s="4" t="str">
        <x:v>HDB MyNiceHome</x:v>
      </x:c>
      <x:c r="D72" s="15" t="str">
        <x:v>查閱2026</x:v>
      </x:c>
      <x:c r="E72" s="4" t="str">
        <x:v>英文（在地官方語言）</x:v>
      </x:c>
      <x:c r="F72" s="4" t="str">
        <x:v>SG</x:v>
      </x:c>
      <x:c r="G72" s="4" t="str">
        <x:v>A</x:v>
      </x:c>
      <x:c r="H72" s="4" t="str">
        <x:v>opened</x:v>
      </x:c>
      <x:c r="I72" s="4" t="str"/>
      <x:c r="J72" s="4" t="str">
        <x:v>未記錄</x:v>
      </x:c>
      <x:c r="K72" s="24" t="str">
        <x:v>https://www.mynicehome.gov.sg/get-settled-in/hdb-renovation-guide/</x:v>
      </x:c>
      <x:c r="L72" s="4" t="str">
        <x:v>L33–39；核准後新 HDB 裝修三個月、既有 HDB 一個月；DRC 與施工前申請。</x:v>
      </x:c>
      <x:c r="M72" s="4" t="str">
        <x:v>turn204view5</x:v>
      </x:c>
      <x:c r="N72" s="4" t="str">
        <x:v>HDB Singapore</x:v>
      </x:c>
    </x:row>
    <x:row r="73" ht="38" customHeight="1">
      <x:c r="A73" s="4" t="str">
        <x:v>HK01</x:v>
      </x:c>
      <x:c r="B73" s="4" t="str">
        <x:v>消委會倡4大建議加強規範家居裝修行業</x:v>
      </x:c>
      <x:c r="C73" s="4" t="str">
        <x:v>香港消費者委員會</x:v>
      </x:c>
      <x:c r="D73" s="15" t="n">
        <x:v>2024</x:v>
      </x:c>
      <x:c r="E73" s="4" t="str">
        <x:v>繁體中文</x:v>
      </x:c>
      <x:c r="F73" s="4" t="str">
        <x:v>HK</x:v>
      </x:c>
      <x:c r="G73" s="4" t="str">
        <x:v>B</x:v>
      </x:c>
      <x:c r="H73" s="4" t="str">
        <x:v>opened</x:v>
      </x:c>
      <x:c r="I73" s="4" t="str"/>
      <x:c r="J73" s="4" t="str">
        <x:v>未記錄</x:v>
      </x:c>
      <x:c r="K73" s="24" t="str">
        <x:v>https://www.consumer.org.hk/tc/press-release/p-home-renovation-study-report</x:v>
      </x:c>
      <x:c r="L73" s="4" t="str">
        <x:v>已實際開頁讀取內容；來源身分與數值/定義另作指標級核對。</x:v>
      </x:c>
      <x:c r="M73" s="4" t="str">
        <x:v>turn170view0</x:v>
      </x:c>
      <x:c r="N73" s="4" t="str">
        <x:v>香港消費者委員會家居裝修研究</x:v>
      </x:c>
    </x:row>
    <x:row r="74" ht="30" customHeight="1">
      <x:c r="A74" s="4" t="str">
        <x:v>HK02</x:v>
      </x:c>
      <x:c r="B74" s="4" t="str">
        <x:v>香港物業報告2025初步統計數字</x:v>
      </x:c>
      <x:c r="C74" s="4" t="str">
        <x:v>差餉物業估價署</x:v>
      </x:c>
      <x:c r="D74" s="15" t="n">
        <x:v>2025</x:v>
      </x:c>
      <x:c r="E74" s="4" t="str">
        <x:v>繁體中文</x:v>
      </x:c>
      <x:c r="F74" s="4" t="str">
        <x:v>HK</x:v>
      </x:c>
      <x:c r="G74" s="4" t="str">
        <x:v>A</x:v>
      </x:c>
      <x:c r="H74" s="4" t="str">
        <x:v>opened</x:v>
      </x:c>
      <x:c r="I74" s="4" t="str"/>
      <x:c r="J74" s="4" t="str">
        <x:v>未記錄</x:v>
      </x:c>
      <x:c r="K74" s="24" t="str">
        <x:v>https://www.rvd.gov.hk/doc/tc/HKPR2025_Preliminary_Findings_TC.pdf</x:v>
      </x:c>
      <x:c r="L74" s="4" t="str">
        <x:v>已實際開頁讀取內容；來源身分與數值/定義另作指標級核對。</x:v>
      </x:c>
      <x:c r="M74" s="4" t="str">
        <x:v>turn170view1</x:v>
      </x:c>
      <x:c r="N74" s="4" t="str">
        <x:v>差餉物業估價署</x:v>
      </x:c>
    </x:row>
    <x:row r="75" ht="30" customHeight="1">
      <x:c r="A75" s="4" t="str">
        <x:v>HK03</x:v>
      </x:c>
      <x:c r="B75" s="4" t="str">
        <x:v>小型工程監管制度</x:v>
      </x:c>
      <x:c r="C75" s="4" t="str">
        <x:v>屋宇署</x:v>
      </x:c>
      <x:c r="D75" s="15" t="n">
        <x:v>2025</x:v>
      </x:c>
      <x:c r="E75" s="4" t="str">
        <x:v>繁體中文</x:v>
      </x:c>
      <x:c r="F75" s="4" t="str">
        <x:v>HK</x:v>
      </x:c>
      <x:c r="G75" s="4" t="str">
        <x:v>A</x:v>
      </x:c>
      <x:c r="H75" s="4" t="str">
        <x:v>opened</x:v>
      </x:c>
      <x:c r="I75" s="4" t="str"/>
      <x:c r="J75" s="4" t="str">
        <x:v>未記錄</x:v>
      </x:c>
      <x:c r="K75" s="24" t="str">
        <x:v>https://www.bd.gov.hk/tc/building-works/minor-works/index.html</x:v>
      </x:c>
      <x:c r="L75" s="4" t="str">
        <x:v>已實際開頁讀取內容；來源身分與數值/定義另作指標級核對。</x:v>
      </x:c>
      <x:c r="M75" s="4" t="str">
        <x:v>turn173view0</x:v>
      </x:c>
      <x:c r="N75" s="4" t="str">
        <x:v>屋宇署</x:v>
      </x:c>
    </x:row>
    <x:row r="76" ht="30" customHeight="1">
      <x:c r="A76" s="4" t="str">
        <x:v>HK04</x:v>
      </x:c>
      <x:c r="B76" s="4" t="str">
        <x:v>在港開業</x:v>
      </x:c>
      <x:c r="C76" s="4" t="str">
        <x:v>投資推廣署</x:v>
      </x:c>
      <x:c r="D76" s="15" t="n">
        <x:v>2026</x:v>
      </x:c>
      <x:c r="E76" s="4" t="str">
        <x:v>繁體中文</x:v>
      </x:c>
      <x:c r="F76" s="4" t="str">
        <x:v>HK</x:v>
      </x:c>
      <x:c r="G76" s="4" t="str">
        <x:v>A</x:v>
      </x:c>
      <x:c r="H76" s="4" t="str">
        <x:v>opened</x:v>
      </x:c>
      <x:c r="I76" s="4" t="str"/>
      <x:c r="J76" s="4" t="str">
        <x:v>未記錄</x:v>
      </x:c>
      <x:c r="K76" s="24" t="str">
        <x:v>https://www.investhk.gov.hk/zh-hk/setting-up-in-hong-kong/</x:v>
      </x:c>
      <x:c r="L76" s="4" t="str">
        <x:v>已實際開頁讀取內容；來源身分與數值/定義另作指標級核對。</x:v>
      </x:c>
      <x:c r="M76" s="4" t="str">
        <x:v>turn173view1</x:v>
      </x:c>
      <x:c r="N76" s="4" t="str">
        <x:v>投資推廣署</x:v>
      </x:c>
    </x:row>
    <x:row r="77" ht="30" customHeight="1">
      <x:c r="A77" s="4" t="str">
        <x:v>HK05</x:v>
      </x:c>
      <x:c r="B77" s="4" t="str">
        <x:v>裝修佬平台首頁與服務入口</x:v>
      </x:c>
      <x:c r="C77" s="4" t="str">
        <x:v>HK Decoman</x:v>
      </x:c>
      <x:c r="D77" s="15" t="n">
        <x:v>2026</x:v>
      </x:c>
      <x:c r="E77" s="4" t="str">
        <x:v>繁體中文</x:v>
      </x:c>
      <x:c r="F77" s="4" t="str">
        <x:v>HK</x:v>
      </x:c>
      <x:c r="G77" s="4" t="str">
        <x:v>C</x:v>
      </x:c>
      <x:c r="H77" s="4" t="str">
        <x:v>opened</x:v>
      </x:c>
      <x:c r="I77" s="4" t="str"/>
      <x:c r="J77" s="4" t="str">
        <x:v>未記錄</x:v>
      </x:c>
      <x:c r="K77" s="24" t="str">
        <x:v>https://hkdecoman.com/</x:v>
      </x:c>
      <x:c r="L77" s="4" t="str">
        <x:v>已實際開頁讀取內容；來源身分與數值/定義另作指標級核對。</x:v>
      </x:c>
      <x:c r="M77" s="4" t="str">
        <x:v>turn173view2</x:v>
      </x:c>
      <x:c r="N77" s="4" t="str">
        <x:v>HK Decoman</x:v>
      </x:c>
    </x:row>
    <x:row r="78" ht="30" customHeight="1">
      <x:c r="A78" s="4" t="str">
        <x:v>HK06</x:v>
      </x:c>
      <x:c r="B78" s="4" t="str">
        <x:v>2021–2025年住宅樓宇買賣合約統計數字</x:v>
      </x:c>
      <x:c r="C78" s="4" t="str">
        <x:v>土地註冊處</x:v>
      </x:c>
      <x:c r="D78" s="15" t="n">
        <x:v>2026</x:v>
      </x:c>
      <x:c r="E78" s="4" t="str">
        <x:v>繁體中文</x:v>
      </x:c>
      <x:c r="F78" s="4" t="str">
        <x:v>HK</x:v>
      </x:c>
      <x:c r="G78" s="4" t="str">
        <x:v>A</x:v>
      </x:c>
      <x:c r="H78" s="4" t="str">
        <x:v>opened_partial</x:v>
      </x:c>
      <x:c r="I78" s="4" t="str"/>
      <x:c r="J78" s="4" t="str">
        <x:v>未記錄</x:v>
      </x:c>
      <x:c r="K78" s="24" t="str">
        <x:v>https://www.landreg.gov.hk/tc/monthly/agt-pri-5.htm</x:v>
      </x:c>
      <x:c r="L78" s="4" t="str">
        <x:v>頁面可開、表格標題可讀；動態表格數值未成功提取，故不作二手占比指標。</x:v>
      </x:c>
      <x:c r="M78" s="4" t="str">
        <x:v>turn173view3</x:v>
      </x:c>
      <x:c r="N78" s="4" t="str">
        <x:v>土地註冊處</x:v>
      </x:c>
    </x:row>
    <x:row r="79" ht="30" customHeight="1">
      <x:c r="A79" s="4" t="str">
        <x:v>HK07</x:v>
      </x:c>
      <x:c r="B79" s="4" t="str">
        <x:v>香港基礎データ</x:v>
      </x:c>
      <x:c r="C79" s="4" t="str">
        <x:v>日本外務省</x:v>
      </x:c>
      <x:c r="D79" s="15" t="n">
        <x:v>2026</x:v>
      </x:c>
      <x:c r="E79" s="4" t="str">
        <x:v>日文</x:v>
      </x:c>
      <x:c r="F79" s="4" t="str">
        <x:v>HK</x:v>
      </x:c>
      <x:c r="G79" s="4" t="str">
        <x:v>A</x:v>
      </x:c>
      <x:c r="H79" s="4" t="str">
        <x:v>opened</x:v>
      </x:c>
      <x:c r="I79" s="4" t="str"/>
      <x:c r="J79" s="4" t="str">
        <x:v>未記錄</x:v>
      </x:c>
      <x:c r="K79" s="24" t="str">
        <x:v>https://www.mofa.go.jp/mofaj/area/hongkong/data.html</x:v>
      </x:c>
      <x:c r="L79" s="4" t="str">
        <x:v>已實際開頁讀取內容；來源身分與數值/定義另作指標級核對。</x:v>
      </x:c>
      <x:c r="M79" s="4" t="str">
        <x:v>turn170view4</x:v>
      </x:c>
      <x:c r="N79" s="4" t="str">
        <x:v>日本外務省</x:v>
      </x:c>
    </x:row>
    <x:row r="80" ht="30" customHeight="1">
      <x:c r="A80" s="4" t="str">
        <x:v>HK08</x:v>
      </x:c>
      <x:c r="B80" s="4" t="str">
        <x:v>建造業工人註冊常見問題</x:v>
      </x:c>
      <x:c r="C80" s="4" t="str">
        <x:v>建造業議會</x:v>
      </x:c>
      <x:c r="D80" s="15" t="n">
        <x:v>2026</x:v>
      </x:c>
      <x:c r="E80" s="4" t="str">
        <x:v>繁體中文</x:v>
      </x:c>
      <x:c r="F80" s="4" t="str">
        <x:v>HK</x:v>
      </x:c>
      <x:c r="G80" s="4" t="str">
        <x:v>A</x:v>
      </x:c>
      <x:c r="H80" s="4" t="str">
        <x:v>opened</x:v>
      </x:c>
      <x:c r="I80" s="4" t="str"/>
      <x:c r="J80" s="4" t="str">
        <x:v>未記錄</x:v>
      </x:c>
      <x:c r="K80" s="24" t="str">
        <x:v>https://www.cic.hk/zh-hk/faq</x:v>
      </x:c>
      <x:c r="L80" s="4" t="str">
        <x:v>已實際開頁讀取內容；來源身分與數值/定義另作指標級核對。</x:v>
      </x:c>
      <x:c r="M80" s="4" t="str">
        <x:v>turn173view4</x:v>
      </x:c>
      <x:c r="N80" s="4" t="str">
        <x:v>建造業議會</x:v>
      </x:c>
    </x:row>
    <x:row r="81" ht="30" customHeight="1">
      <x:c r="A81" s="4" t="str">
        <x:v>HK09</x:v>
      </x:c>
      <x:c r="B81" s="4" t="str">
        <x:v>2025迎接2026裝修指南（僅用作矛盾資料，不採納均價）</x:v>
      </x:c>
      <x:c r="C81" s="4" t="str">
        <x:v>HK Create Design</x:v>
      </x:c>
      <x:c r="D81" s="15" t="n">
        <x:v>2025</x:v>
      </x:c>
      <x:c r="E81" s="4" t="str">
        <x:v>繁體中文</x:v>
      </x:c>
      <x:c r="F81" s="4" t="str">
        <x:v>HK</x:v>
      </x:c>
      <x:c r="G81" s="4" t="str">
        <x:v>D</x:v>
      </x:c>
      <x:c r="H81" s="4" t="str">
        <x:v>opened</x:v>
      </x:c>
      <x:c r="I81" s="4" t="str"/>
      <x:c r="J81" s="4" t="str">
        <x:v>未記錄</x:v>
      </x:c>
      <x:c r="K81" s="24" t="str">
        <x:v>https://hkcreatedesign.hk/2025-2026-renovation-guide/</x:v>
      </x:c>
      <x:c r="L81" s="4" t="str">
        <x:v>商家部落格，無完整方法，呎價與套餐總價互不一致；D級，不採用為行情。</x:v>
      </x:c>
      <x:c r="M81" s="4" t="str">
        <x:v>turn173view5</x:v>
      </x:c>
      <x:c r="N81" s="4" t="str">
        <x:v>HK Create Design</x:v>
      </x:c>
    </x:row>
    <x:row r="82" ht="30" customHeight="1">
      <x:c r="A82" s="4" t="str">
        <x:v>HK10</x:v>
      </x:c>
      <x:c r="B82" s="4" t="str">
        <x:v>2025年度經審核業績公告</x:v>
      </x:c>
      <x:c r="C82" s="4" t="str">
        <x:v>Steve Leung Design Group</x:v>
      </x:c>
      <x:c r="D82" s="15" t="n">
        <x:v>2026</x:v>
      </x:c>
      <x:c r="E82" s="4" t="str">
        <x:v>英文</x:v>
      </x:c>
      <x:c r="F82" s="4" t="str">
        <x:v>HK</x:v>
      </x:c>
      <x:c r="G82" s="4" t="str">
        <x:v>A</x:v>
      </x:c>
      <x:c r="H82" s="4" t="str">
        <x:v>opened</x:v>
      </x:c>
      <x:c r="I82" s="4" t="str"/>
      <x:c r="J82" s="4" t="str">
        <x:v>未記錄</x:v>
      </x:c>
      <x:c r="K82" s="24" t="str">
        <x:v>https://api.aconnect.com.hk/Attachment/158306</x:v>
      </x:c>
      <x:c r="L82" s="4" t="str">
        <x:v>已實際開頁讀取內容；來源身分與數值/定義另作指標級核對。</x:v>
      </x:c>
      <x:c r="M82" s="4" t="str">
        <x:v>turn170view2</x:v>
      </x:c>
      <x:c r="N82" s="4" t="str">
        <x:v>Steve Leung Design Group</x:v>
      </x:c>
    </x:row>
    <x:row r="83" ht="38" customHeight="1">
      <x:c r="A83" s="4" t="str">
        <x:v>HK11</x:v>
      </x:c>
      <x:c r="B83" s="4" t="str">
        <x:v>臨別依依 心繫復修：樓宇復修新策略2.0</x:v>
      </x:c>
      <x:c r="C83" s="4" t="str">
        <x:v>市區重建局</x:v>
      </x:c>
      <x:c r="D83" s="15" t="n">
        <x:v>2025</x:v>
      </x:c>
      <x:c r="E83" s="4" t="str">
        <x:v>繁體中文</x:v>
      </x:c>
      <x:c r="F83" s="4" t="str">
        <x:v>HK</x:v>
      </x:c>
      <x:c r="G83" s="4" t="str">
        <x:v>A</x:v>
      </x:c>
      <x:c r="H83" s="4" t="str">
        <x:v>opened</x:v>
      </x:c>
      <x:c r="I83" s="4" t="str"/>
      <x:c r="J83" s="4" t="str">
        <x:v>未記錄</x:v>
      </x:c>
      <x:c r="K83" s="24" t="str">
        <x:v>https://www.ura.org.hk/tc/news-centre/managing-director-s-blog/mdblog_20250614</x:v>
      </x:c>
      <x:c r="L83" s="4" t="str">
        <x:v>已實際開頁讀取內容；來源身分與數值/定義另作指標級核對。</x:v>
      </x:c>
      <x:c r="M83" s="4" t="str">
        <x:v>turn170view3</x:v>
      </x:c>
      <x:c r="N83" s="4" t="str">
        <x:v>市區重建局</x:v>
      </x:c>
    </x:row>
    <x:row r="84" ht="52" customHeight="1">
      <x:c r="A84" s="4" t="str">
        <x:v>HK12</x:v>
      </x:c>
      <x:c r="B84" s="4" t="str">
        <x:v>年度建造成本手冊 中國內地及香港地區2026</x:v>
      </x:c>
      <x:c r="C84" s="4" t="str">
        <x:v>Arcadis／凱諦思</x:v>
      </x:c>
      <x:c r="D84" s="15" t="n">
        <x:v>2026</x:v>
      </x:c>
      <x:c r="E84" s="4" t="str">
        <x:v>簡體中文</x:v>
      </x:c>
      <x:c r="F84" s="4" t="str">
        <x:v>HK</x:v>
      </x:c>
      <x:c r="G84" s="4" t="str">
        <x:v>B</x:v>
      </x:c>
      <x:c r="H84" s="4" t="str">
        <x:v>direct_http_opened_pdf_verified</x:v>
      </x:c>
      <x:c r="I84" s="4" t="str"/>
      <x:c r="J84" s="4" t="str">
        <x:v>未記錄</x:v>
      </x:c>
      <x:c r="K84" s="24" t="str">
        <x:v>https://media.arcadis.com/-/media/project/arcadiscom/com/perspectives/asia/publications/cch/2026/cnhk-cost-handbook-2026-cn.pdf?rev=2ca3da9efc8d465dab292a4fbd8c847b</x:v>
      </x:c>
      <x:c r="L84" s="4" t="str">
        <x:v>web open失敗後直接HTTP成功讀取22,591,045 bytes；SHA256 b0364877376bd89bfd771502643f5a7104297d814493f4603cd8dc454968e69f 與本地PDF一致，第9、26頁實讀。URL及內容均已驗證，保留web工具失敗紀錄。</x:v>
      </x:c>
      <x:c r="M84" s="4" t="str">
        <x:v>local:research/arcadis2026_cn.pdf</x:v>
      </x:c>
      <x:c r="N84" s="4" t="str">
        <x:v>Arcadis／凱諦思</x:v>
      </x:c>
    </x:row>
    <x:row r="85" ht="38" customHeight="1">
      <x:c r="A85" s="4" t="str">
        <x:v>CN01</x:v>
      </x:c>
      <x:c r="B85" s="4" t="str">
        <x:v>2024年全國房地產市場基本情況</x:v>
      </x:c>
      <x:c r="C85" s="4" t="str">
        <x:v>國家統計局</x:v>
      </x:c>
      <x:c r="D85" s="15" t="n">
        <x:v>2025</x:v>
      </x:c>
      <x:c r="E85" s="4" t="str">
        <x:v>簡體中文</x:v>
      </x:c>
      <x:c r="F85" s="4" t="str">
        <x:v>CN</x:v>
      </x:c>
      <x:c r="G85" s="4" t="str">
        <x:v>A</x:v>
      </x:c>
      <x:c r="H85" s="4" t="str">
        <x:v>direct_http_opened</x:v>
      </x:c>
      <x:c r="I85" s="4" t="str"/>
      <x:c r="J85" s="4" t="str">
        <x:v>未記錄</x:v>
      </x:c>
      <x:c r="K85" s="24" t="str">
        <x:v>https://www.stats.gov.cn/sj/zxfb/202501/t20250117_1958328.html</x:v>
      </x:c>
      <x:c r="L85" s="4" t="str">
        <x:v>web open兩次Internal Error；urllib實際HTTP下載269,272 bytes，正文數字逐列核對；福建住建廳官方轉載亦一致，不算獨立雙源。</x:v>
      </x:c>
      <x:c r="M85" s="4" t="str">
        <x:v>direct-http:research_r2/agents/hk_cn_CN01_fetch.html</x:v>
      </x:c>
      <x:c r="N85" s="4" t="str">
        <x:v>國家統計局中國（含官方轉載）</x:v>
      </x:c>
    </x:row>
    <x:row r="86" ht="38" customHeight="1">
      <x:c r="A86" s="4" t="str">
        <x:v>CN02</x:v>
      </x:c>
      <x:c r="B86" s="4" t="str">
        <x:v>2025年度報告</x:v>
      </x:c>
      <x:c r="C86" s="4" t="str">
        <x:v>貝殼控股</x:v>
      </x:c>
      <x:c r="D86" s="15" t="n">
        <x:v>2026</x:v>
      </x:c>
      <x:c r="E86" s="4" t="str">
        <x:v>繁體中文</x:v>
      </x:c>
      <x:c r="F86" s="4" t="str">
        <x:v>CN</x:v>
      </x:c>
      <x:c r="G86" s="4" t="str">
        <x:v>A</x:v>
      </x:c>
      <x:c r="H86" s="4" t="str">
        <x:v>opened</x:v>
      </x:c>
      <x:c r="I86" s="4" t="str"/>
      <x:c r="J86" s="4" t="str">
        <x:v>未記錄</x:v>
      </x:c>
      <x:c r="K86" s="24" t="str">
        <x:v>https://investors.ke.com/static-files/61683e95-24a9-44a3-b14a-f6d9c7fc0972</x:v>
      </x:c>
      <x:c r="L86" s="4" t="str">
        <x:v>已實際開頁讀取內容；來源身分與數值/定義另作指標級核對。</x:v>
      </x:c>
      <x:c r="M86" s="4" t="str">
        <x:v>turn184view1</x:v>
      </x:c>
      <x:c r="N86" s="4" t="str">
        <x:v>貝殼控股</x:v>
      </x:c>
    </x:row>
    <x:row r="87" ht="38" customHeight="1">
      <x:c r="A87" s="4" t="str">
        <x:v>CN03</x:v>
      </x:c>
      <x:c r="B87" s="4" t="str">
        <x:v>Second Quarter 2026 Unaudited Financial Results</x:v>
      </x:c>
      <x:c r="C87" s="4" t="str">
        <x:v>KE Holdings</x:v>
      </x:c>
      <x:c r="D87" s="15" t="n">
        <x:v>2026</x:v>
      </x:c>
      <x:c r="E87" s="4" t="str">
        <x:v>英文</x:v>
      </x:c>
      <x:c r="F87" s="4" t="str">
        <x:v>CN</x:v>
      </x:c>
      <x:c r="G87" s="4" t="str">
        <x:v>C</x:v>
      </x:c>
      <x:c r="H87" s="4" t="str">
        <x:v>opened</x:v>
      </x:c>
      <x:c r="I87" s="4" t="str"/>
      <x:c r="J87" s="4" t="str">
        <x:v>未記錄</x:v>
      </x:c>
      <x:c r="K87" s="24" t="str">
        <x:v>https://investors.ke.com/zh-hans/news-releases/news-release-details/ke-holdings-inc-announces-second-quarter-2026-unaudited</x:v>
      </x:c>
      <x:c r="L87" s="4" t="str">
        <x:v>上市公司未經審核業績新聞稿，按本次協議保守歸C（平台自報），數值可核對但不升為年報A級。</x:v>
      </x:c>
      <x:c r="M87" s="4" t="str">
        <x:v>turn184view2</x:v>
      </x:c>
      <x:c r="N87" s="4" t="str">
        <x:v>KE Holdings</x:v>
      </x:c>
    </x:row>
    <x:row r="88" ht="38" customHeight="1">
      <x:c r="A88" s="4" t="str">
        <x:v>CN04</x:v>
      </x:c>
      <x:c r="B88" s="4" t="str">
        <x:v>2024年報</x:v>
      </x:c>
      <x:c r="C88" s="4" t="str">
        <x:v>齊屹科技／齊家網</x:v>
      </x:c>
      <x:c r="D88" s="15" t="n">
        <x:v>2025</x:v>
      </x:c>
      <x:c r="E88" s="4" t="str">
        <x:v>繁體中文</x:v>
      </x:c>
      <x:c r="F88" s="4" t="str">
        <x:v>CN</x:v>
      </x:c>
      <x:c r="G88" s="4" t="str">
        <x:v>A</x:v>
      </x:c>
      <x:c r="H88" s="4" t="str">
        <x:v>opened</x:v>
      </x:c>
      <x:c r="I88" s="4" t="str"/>
      <x:c r="J88" s="4" t="str">
        <x:v>未記錄</x:v>
      </x:c>
      <x:c r="K88" s="24" t="str">
        <x:v>https://www1.hkexnews.hk/listedco/listconews/sehk/2025/0425/2025042501676_c.pdf</x:v>
      </x:c>
      <x:c r="L88" s="4" t="str">
        <x:v>已實際開頁讀取內容；來源身分與數值/定義另作指標級核對。</x:v>
      </x:c>
      <x:c r="M88" s="4" t="str">
        <x:v>turn184view3</x:v>
      </x:c>
      <x:c r="N88" s="4" t="str">
        <x:v>齊屹科技／齊家網</x:v>
      </x:c>
    </x:row>
    <x:row r="89" ht="38" customHeight="1">
      <x:c r="A89" s="4" t="str">
        <x:v>CN05</x:v>
      </x:c>
      <x:c r="B89" s="4" t="str">
        <x:v>住宅室內裝飾裝修管理辦法</x:v>
      </x:c>
      <x:c r="C89" s="4" t="str">
        <x:v>住建部／北京市規劃和自然資源委員會</x:v>
      </x:c>
      <x:c r="D89" s="15" t="n">
        <x:v>2022</x:v>
      </x:c>
      <x:c r="E89" s="4" t="str">
        <x:v>簡體中文</x:v>
      </x:c>
      <x:c r="F89" s="4" t="str">
        <x:v>CN</x:v>
      </x:c>
      <x:c r="G89" s="4" t="str">
        <x:v>A</x:v>
      </x:c>
      <x:c r="H89" s="4" t="str">
        <x:v>opened</x:v>
      </x:c>
      <x:c r="I89" s="4" t="str"/>
      <x:c r="J89" s="4" t="str">
        <x:v>未記錄</x:v>
      </x:c>
      <x:c r="K89" s="24" t="str">
        <x:v>https://ghzrzyw.beijing.gov.cn/zhengwuxinxi/zcfg/gz/202205/t20220528_2723556.html</x:v>
      </x:c>
      <x:c r="L89" s="4" t="str">
        <x:v>已實際開頁讀取內容；來源身分與數值/定義另作指標級核對。</x:v>
      </x:c>
      <x:c r="M89" s="4" t="str">
        <x:v>turn191view2</x:v>
      </x:c>
      <x:c r="N89" s="4" t="str">
        <x:v>住建部／北京市規劃和自然資源委員會</x:v>
      </x:c>
    </x:row>
    <x:row r="90" ht="38" customHeight="1">
      <x:c r="A90" s="4" t="str">
        <x:v>CN06</x:v>
      </x:c>
      <x:c r="B90" s="4" t="str">
        <x:v>外商投資准入特別管理措施（負面清單）（2024年版）</x:v>
      </x:c>
      <x:c r="C90" s="4" t="str">
        <x:v>商務部</x:v>
      </x:c>
      <x:c r="D90" s="15" t="n">
        <x:v>2024</x:v>
      </x:c>
      <x:c r="E90" s="4" t="str">
        <x:v>簡體中文</x:v>
      </x:c>
      <x:c r="F90" s="4" t="str">
        <x:v>CN</x:v>
      </x:c>
      <x:c r="G90" s="4" t="str">
        <x:v>A</x:v>
      </x:c>
      <x:c r="H90" s="4" t="str">
        <x:v>opened</x:v>
      </x:c>
      <x:c r="I90" s="4" t="str"/>
      <x:c r="J90" s="4" t="str">
        <x:v>未記錄</x:v>
      </x:c>
      <x:c r="K90" s="24" t="str">
        <x:v>https://www.mofcom.gov.cn/zcfb/zgdwjjmywg/art/2025/art_b4d7cf1aff0a414680acc9bc9a481bc1.html</x:v>
      </x:c>
      <x:c r="L90" s="4" t="str">
        <x:v>已實際開頁讀取內容；來源身分與數值/定義另作指標級核對。</x:v>
      </x:c>
      <x:c r="M90" s="4" t="str">
        <x:v>turn191view3</x:v>
      </x:c>
      <x:c r="N90" s="4" t="str">
        <x:v>商務部</x:v>
      </x:c>
    </x:row>
    <x:row r="91" ht="38" customHeight="1">
      <x:c r="A91" s="4" t="str">
        <x:v>CN07</x:v>
      </x:c>
      <x:c r="B91" s="4" t="str">
        <x:v>中心城區正優化二手房收購</x:v>
      </x:c>
      <x:c r="C91" s="4" t="str">
        <x:v>上海市政府／解放日報</x:v>
      </x:c>
      <x:c r="D91" s="15" t="n">
        <x:v>2026</x:v>
      </x:c>
      <x:c r="E91" s="4" t="str">
        <x:v>簡體中文</x:v>
      </x:c>
      <x:c r="F91" s="4" t="str">
        <x:v>CN</x:v>
      </x:c>
      <x:c r="G91" s="4" t="str">
        <x:v>B</x:v>
      </x:c>
      <x:c r="H91" s="4" t="str">
        <x:v>opened</x:v>
      </x:c>
      <x:c r="I91" s="4" t="str"/>
      <x:c r="J91" s="4" t="str">
        <x:v>未記錄</x:v>
      </x:c>
      <x:c r="K91" s="24" t="str">
        <x:v>https://www.shanghai.gov.cn/nw4411/20260730/6ad68292af8e4c42a37c7ae45be8dd7f.html</x:v>
      </x:c>
      <x:c r="L91" s="4" t="str">
        <x:v>市政府轉載解放日報採訪，屬B級主流媒體原始引述；非政府直接統計表。</x:v>
      </x:c>
      <x:c r="M91" s="4" t="str">
        <x:v>turn191view4</x:v>
      </x:c>
      <x:c r="N91" s="4" t="str">
        <x:v>上海市政府／解放日報</x:v>
      </x:c>
    </x:row>
    <x:row r="92" ht="38" customHeight="1">
      <x:c r="A92" s="4" t="str">
        <x:v>CN08</x:v>
      </x:c>
      <x:c r="B92" s="4" t="str">
        <x:v>2025年度報告（公司公告全文轉載）</x:v>
      </x:c>
      <x:c r="C92" s="4" t="str">
        <x:v>歐派家居／新浪財經</x:v>
      </x:c>
      <x:c r="D92" s="15" t="n">
        <x:v>2026</x:v>
      </x:c>
      <x:c r="E92" s="4" t="str">
        <x:v>簡體中文</x:v>
      </x:c>
      <x:c r="F92" s="4" t="str">
        <x:v>CN</x:v>
      </x:c>
      <x:c r="G92" s="4" t="str">
        <x:v>A</x:v>
      </x:c>
      <x:c r="H92" s="4" t="str">
        <x:v>opened</x:v>
      </x:c>
      <x:c r="I92" s="4" t="str"/>
      <x:c r="J92" s="4" t="str">
        <x:v>未記錄</x:v>
      </x:c>
      <x:c r="K92" s="24" t="str">
        <x:v>https://vip.stock.finance.sina.com.cn/corp/view/vCB_AllBulletinDetail.php?id=12179735&amp;stockid=603833</x:v>
      </x:c>
      <x:c r="L92" s="4" t="str">
        <x:v>讀上市公司年報全文之新浪公司公告轉載；原始文件類型A，承載平台為轉載，應保留此辨識。</x:v>
      </x:c>
      <x:c r="M92" s="4" t="str">
        <x:v>turn191view5</x:v>
      </x:c>
      <x:c r="N92" s="4" t="str">
        <x:v>歐派家居／新浪財經</x:v>
      </x:c>
    </x:row>
    <x:row r="93" ht="38" customHeight="1">
      <x:c r="A93" s="4" t="str">
        <x:v>CN09</x:v>
      </x:c>
      <x:c r="B93" s="4" t="str">
        <x:v>2024年度報告（公司公告全文轉載）</x:v>
      </x:c>
      <x:c r="C93" s="4" t="str">
        <x:v>金螳螂／新浪財經</x:v>
      </x:c>
      <x:c r="D93" s="15" t="n">
        <x:v>2025</x:v>
      </x:c>
      <x:c r="E93" s="4" t="str">
        <x:v>簡體中文</x:v>
      </x:c>
      <x:c r="F93" s="4" t="str">
        <x:v>CN</x:v>
      </x:c>
      <x:c r="G93" s="4" t="str">
        <x:v>A</x:v>
      </x:c>
      <x:c r="H93" s="4" t="str">
        <x:v>opened</x:v>
      </x:c>
      <x:c r="I93" s="4" t="str"/>
      <x:c r="J93" s="4" t="str">
        <x:v>未記錄</x:v>
      </x:c>
      <x:c r="K93" s="24" t="str">
        <x:v>https://money.finance.sina.com.cn/corp/view/vCB_AllBulletinDetail.php?id=11046631&amp;stockid=002081</x:v>
      </x:c>
      <x:c r="L93" s="4" t="str">
        <x:v>讀上市公司年報全文之新浪公司公告轉載；原始文件類型A，承載平台為轉載，應保留此辨識。</x:v>
      </x:c>
      <x:c r="M93" s="4" t="str">
        <x:v>turn191view6</x:v>
      </x:c>
      <x:c r="N93" s="4" t="str">
        <x:v>金螳螂／新浪財經</x:v>
      </x:c>
    </x:row>
    <x:row r="94" ht="30" customHeight="1">
      <x:c r="A94" s="4" t="str">
        <x:v>CN10</x:v>
      </x:c>
      <x:c r="B94" s="4" t="str">
        <x:v>關於做好2025年家裝廚衛「煥新」工作的通知</x:v>
      </x:c>
      <x:c r="C94" s="4" t="str">
        <x:v>商務部等六部門／中國政府網</x:v>
      </x:c>
      <x:c r="D94" s="15" t="n">
        <x:v>2025</x:v>
      </x:c>
      <x:c r="E94" s="4" t="str">
        <x:v>簡體中文</x:v>
      </x:c>
      <x:c r="F94" s="4" t="str">
        <x:v>CN</x:v>
      </x:c>
      <x:c r="G94" s="4" t="str">
        <x:v>A</x:v>
      </x:c>
      <x:c r="H94" s="4" t="str">
        <x:v>opened</x:v>
      </x:c>
      <x:c r="I94" s="4" t="str"/>
      <x:c r="J94" s="4" t="str">
        <x:v>未記錄</x:v>
      </x:c>
      <x:c r="K94" s="24" t="str">
        <x:v>https://app.www.gov.cn/govdata/gov/202501/28/524144/article.html</x:v>
      </x:c>
      <x:c r="L94" s="4" t="str">
        <x:v>已實際開頁讀取內容；來源身分與數值/定義另作指標級核對。</x:v>
      </x:c>
      <x:c r="M94" s="4" t="str">
        <x:v>turn191view7</x:v>
      </x:c>
      <x:c r="N94" s="4" t="str">
        <x:v>商務部等六部門／中國政府網</x:v>
      </x:c>
    </x:row>
    <x:row r="95" ht="30" customHeight="1">
      <x:c r="A95" s="4" t="str">
        <x:v>CN11</x:v>
      </x:c>
      <x:c r="B95" s="4" t="str">
        <x:v>土巴兔公司簡介及服務入口</x:v>
      </x:c>
      <x:c r="C95" s="4" t="str">
        <x:v>土巴兔</x:v>
      </x:c>
      <x:c r="D95" s="15" t="n">
        <x:v>2026</x:v>
      </x:c>
      <x:c r="E95" s="4" t="str">
        <x:v>簡體中文</x:v>
      </x:c>
      <x:c r="F95" s="4" t="str">
        <x:v>CN</x:v>
      </x:c>
      <x:c r="G95" s="4" t="str">
        <x:v>C</x:v>
      </x:c>
      <x:c r="H95" s="4" t="str">
        <x:v>opened</x:v>
      </x:c>
      <x:c r="I95" s="4" t="str"/>
      <x:c r="J95" s="4" t="str">
        <x:v>未記錄</x:v>
      </x:c>
      <x:c r="K95" s="24" t="str">
        <x:v>https://www.to8to.com/about/index.html</x:v>
      </x:c>
      <x:c r="L95" s="4" t="str">
        <x:v>已實際開頁讀取內容；來源身分與數值/定義另作指標級核對。</x:v>
      </x:c>
      <x:c r="M95" s="4" t="str">
        <x:v>turn191view8</x:v>
      </x:c>
      <x:c r="N95" s="4" t="str">
        <x:v>土巴兔</x:v>
      </x:c>
    </x:row>
    <x:row r="96" ht="30" customHeight="1">
      <x:c r="A96" s="4" t="str">
        <x:v>CN12</x:v>
      </x:c>
      <x:c r="B96" s="4" t="str">
        <x:v>2026年半年度報告</x:v>
      </x:c>
      <x:c r="C96" s="4" t="str">
        <x:v>金螳螂／巨潮資訊</x:v>
      </x:c>
      <x:c r="D96" s="15" t="n">
        <x:v>2026</x:v>
      </x:c>
      <x:c r="E96" s="4" t="str">
        <x:v>簡體中文</x:v>
      </x:c>
      <x:c r="F96" s="4" t="str">
        <x:v>CN</x:v>
      </x:c>
      <x:c r="G96" s="4" t="str">
        <x:v>A</x:v>
      </x:c>
      <x:c r="H96" s="4" t="str">
        <x:v>opened</x:v>
      </x:c>
      <x:c r="I96" s="4" t="str"/>
      <x:c r="J96" s="4" t="str">
        <x:v>未記錄</x:v>
      </x:c>
      <x:c r="K96" s="24" t="str">
        <x:v>https://static.cninfo.com.cn/finalpage/2026-08-26/1225501659.PDF</x:v>
      </x:c>
      <x:c r="L96" s="4" t="str">
        <x:v>已實際開頁讀取內容；來源身分與數值/定義另作指標級核對。</x:v>
      </x:c>
      <x:c r="M96" s="4" t="str">
        <x:v>turn191view9</x:v>
      </x:c>
      <x:c r="N96" s="4" t="str">
        <x:v>金螳螂／巨潮資訊</x:v>
      </x:c>
    </x:row>
    <x:row r="97" ht="38" customHeight="1">
      <x:c r="A97" s="4" t="str">
        <x:v>CN13</x:v>
      </x:c>
      <x:c r="B97" s="4" t="str">
        <x:v>2025全年及第四季業績公告</x:v>
      </x:c>
      <x:c r="C97" s="4" t="str">
        <x:v>KE Holdings</x:v>
      </x:c>
      <x:c r="D97" s="15" t="n">
        <x:v>2026</x:v>
      </x:c>
      <x:c r="E97" s="4" t="str">
        <x:v>英文</x:v>
      </x:c>
      <x:c r="F97" s="4" t="str">
        <x:v>CN</x:v>
      </x:c>
      <x:c r="G97" s="4" t="str">
        <x:v>C</x:v>
      </x:c>
      <x:c r="H97" s="4" t="str">
        <x:v>opened</x:v>
      </x:c>
      <x:c r="I97" s="4" t="str"/>
      <x:c r="J97" s="4" t="str">
        <x:v>未記錄</x:v>
      </x:c>
      <x:c r="K97" s="24" t="str">
        <x:v>https://investors.ke.com/news-releases/news-release-details/ke-holdings-inc-announces-fourth-quarter-and-fiscal-year-2025</x:v>
      </x:c>
      <x:c r="L97" s="4" t="str">
        <x:v>上市公司未經審核業績新聞稿，按本次協議保守歸C（平台自報），數值可核對但不升為年報A級。</x:v>
      </x:c>
      <x:c r="M97" s="4" t="str">
        <x:v>turn191view10</x:v>
      </x:c>
      <x:c r="N97" s="4" t="str">
        <x:v>KE Holdings</x:v>
      </x:c>
    </x:row>
    <x:row r="98" ht="38" customHeight="1">
      <x:c r="A98" s="4" t="str">
        <x:v>MY01</x:v>
      </x:c>
      <x:c r="B98" s="4" t="str">
        <x:v>Current Population Estimates, Malaysia, 2026 / Anggaran Penduduk Semasa</x:v>
      </x:c>
      <x:c r="C98" s="4" t="str">
        <x:v>DOSM</x:v>
      </x:c>
      <x:c r="D98" s="15" t="n">
        <x:v>2026</x:v>
      </x:c>
      <x:c r="E98" s="4" t="str">
        <x:v>馬來文／英文</x:v>
      </x:c>
      <x:c r="F98" s="42" t="b">
        <x:v>1</x:v>
      </x:c>
      <x:c r="G98" s="4" t="str">
        <x:v>A</x:v>
      </x:c>
      <x:c r="H98" s="4" t="str">
        <x:v>opened_local_pdf</x:v>
      </x:c>
      <x:c r="I98" s="4" t="str"/>
      <x:c r="J98" s="4" t="str">
        <x:v>未記錄</x:v>
      </x:c>
      <x:c r="K98" s="24" t="str">
        <x:v>https://www.dosm.gov.my/uploads/release-content/file_20260731083618.pdf</x:v>
      </x:c>
      <x:c r="L98" s="4" t="str">
        <x:v>下載原PDF本地抽文核對：PDF第29、45、60頁人口表單位千人，2025=34,220.5；2026P=34,389.4；P為初步值。</x:v>
      </x:c>
      <x:c r="M98" s="4" t="str">
        <x:v>turn177view1</x:v>
      </x:c>
      <x:c r="N98" s="4" t="str">
        <x:v>DOSM</x:v>
      </x:c>
    </x:row>
    <x:row r="99" ht="38" customHeight="1">
      <x:c r="A99" s="4" t="str">
        <x:v>MY02</x:v>
      </x:c>
      <x:c r="B99" s="4" t="str">
        <x:v>Construction Statistics, Fourth Quarter 2025 / Statistik Pembinaan</x:v>
      </x:c>
      <x:c r="C99" s="4" t="str">
        <x:v>DOSM</x:v>
      </x:c>
      <x:c r="D99" s="15" t="n">
        <x:v>2026</x:v>
      </x:c>
      <x:c r="E99" s="4" t="str">
        <x:v>馬來文／英文</x:v>
      </x:c>
      <x:c r="F99" s="42" t="b">
        <x:v>1</x:v>
      </x:c>
      <x:c r="G99" s="4" t="str">
        <x:v>A</x:v>
      </x:c>
      <x:c r="H99" s="4" t="str">
        <x:v>opened</x:v>
      </x:c>
      <x:c r="I99" s="4" t="str"/>
      <x:c r="J99" s="4" t="str">
        <x:v>未記錄</x:v>
      </x:c>
      <x:c r="K99" s="24" t="str">
        <x:v>https://www.dosm.gov.my/portal-main/downloads-log?id=9899</x:v>
      </x:c>
      <x:c r="L99" s="4" t="str">
        <x:v>PDF第1、7頁：2025全年工程完成值RM178.6bn、年增12.5%；包含土木與建築各次產業。</x:v>
      </x:c>
      <x:c r="M99" s="4" t="str">
        <x:v>turn182view0</x:v>
      </x:c>
      <x:c r="N99" s="4" t="str">
        <x:v>DOSM</x:v>
      </x:c>
    </x:row>
    <x:row r="100" ht="38" customHeight="1">
      <x:c r="A100" s="4" t="str">
        <x:v>MY03</x:v>
      </x:c>
      <x:c r="B100" s="4" t="str">
        <x:v>Syarat Pendaftaran Kontraktor Asing</x:v>
      </x:c>
      <x:c r="C100" s="4" t="str">
        <x:v>CIDB</x:v>
      </x:c>
      <x:c r="D100" s="15" t="n">
        <x:v>2025</x:v>
      </x:c>
      <x:c r="E100" s="4" t="str">
        <x:v>馬來文</x:v>
      </x:c>
      <x:c r="F100" s="42" t="b">
        <x:v>1</x:v>
      </x:c>
      <x:c r="G100" s="4" t="str">
        <x:v>A</x:v>
      </x:c>
      <x:c r="H100" s="4" t="str">
        <x:v>opened</x:v>
      </x:c>
      <x:c r="I100" s="4" t="str"/>
      <x:c r="J100" s="4" t="str">
        <x:v>未記錄</x:v>
      </x:c>
      <x:c r="K100" s="24" t="str">
        <x:v>https://www.cidb.gov.my/wp-content/uploads/2025/06/SYARAT-PENDAFTARAN-KONTRAKTOR-ASING-2.pdf</x:v>
      </x:c>
      <x:c r="L100" s="4" t="str">
        <x:v>PDF第1頁列資本RM750,000、2名本地技術員、初次2年、RM1,400/年；第2頁PPP每案RM5,000及處理費RM50。</x:v>
      </x:c>
      <x:c r="M100" s="4" t="str">
        <x:v>turn190view0</x:v>
      </x:c>
      <x:c r="N100" s="4" t="str">
        <x:v>CIDB</x:v>
      </x:c>
    </x:row>
    <x:row r="101" ht="38" customHeight="1">
      <x:c r="A101" s="4" t="str">
        <x:v>MY04</x:v>
      </x:c>
      <x:c r="B101" s="4" t="str">
        <x:v>Architects Act 1967, amendments up to February 2015</x:v>
      </x:c>
      <x:c r="C101" s="4" t="str">
        <x:v>Lembaga Arkitek Malaysia (LAM)</x:v>
      </x:c>
      <x:c r="D101" s="15" t="n">
        <x:v>2015</x:v>
      </x:c>
      <x:c r="E101" s="4" t="str">
        <x:v>英文</x:v>
      </x:c>
      <x:c r="F101" s="42" t="b">
        <x:v>1</x:v>
      </x:c>
      <x:c r="G101" s="4" t="str">
        <x:v>A</x:v>
      </x:c>
      <x:c r="H101" s="4" t="str">
        <x:v>opened</x:v>
      </x:c>
      <x:c r="I101" s="4" t="str"/>
      <x:c r="J101" s="4" t="str">
        <x:v>未記錄</x:v>
      </x:c>
      <x:c r="K101" s="24" t="str">
        <x:v>https://www.lam.gov.my/my-assets/docs/actRules/architects_act_1967_incorparating_amendments_up_to_february_2015.pdf_-_final.pdf</x:v>
      </x:c>
      <x:c r="L101" s="4" t="str">
        <x:v>已開原頁並核實機構、文件主題與定性用途；此來源沒有本次原指標附錄數值。</x:v>
      </x:c>
      <x:c r="M101" s="4" t="str">
        <x:v>turn246view3</x:v>
      </x:c>
      <x:c r="N101" s="4" t="str">
        <x:v>Lembaga Arkitek Malaysia (LAM)</x:v>
      </x:c>
    </x:row>
    <x:row r="102" ht="38" customHeight="1">
      <x:c r="A102" s="4" t="str">
        <x:v>MY05</x:v>
      </x:c>
      <x:c r="B102" s="4" t="str">
        <x:v>Interior Design Licensure Examination (IDLE)</x:v>
      </x:c>
      <x:c r="C102" s="4" t="str">
        <x:v>LAM</x:v>
      </x:c>
      <x:c r="D102" s="15" t="str">
        <x:v>2026查閱；頁面未標發布年</x:v>
      </x:c>
      <x:c r="E102" s="4" t="str">
        <x:v>英文</x:v>
      </x:c>
      <x:c r="F102" s="42" t="b">
        <x:v>1</x:v>
      </x:c>
      <x:c r="G102" s="4" t="str">
        <x:v>A</x:v>
      </x:c>
      <x:c r="H102" s="4" t="str">
        <x:v>opened</x:v>
      </x:c>
      <x:c r="I102" s="4" t="str"/>
      <x:c r="J102" s="4" t="str">
        <x:v>未記錄</x:v>
      </x:c>
      <x:c r="K102" s="24" t="str">
        <x:v>https://www.lam.gov.my/menuExamPartIDLE</x:v>
      </x:c>
      <x:c r="L102" s="4" t="str">
        <x:v>已開原頁並核實機構、文件主題與定性用途；此來源沒有本次原指標附錄數值。</x:v>
      </x:c>
      <x:c r="M102" s="4" t="str">
        <x:v>turn203view5</x:v>
      </x:c>
      <x:c r="N102" s="4" t="str">
        <x:v>LAM</x:v>
      </x:c>
    </x:row>
    <x:row r="103" ht="30" customHeight="1">
      <x:c r="A103" s="4" t="str">
        <x:v>MY06</x:v>
      </x:c>
      <x:c r="B103" s="4" t="str">
        <x:v>Working Permit / Xpats Gateway Supporting Letter</x:v>
      </x:c>
      <x:c r="C103" s="4" t="str">
        <x:v>LAM</x:v>
      </x:c>
      <x:c r="D103" s="15" t="str">
        <x:v>2023起；2026查閱</x:v>
      </x:c>
      <x:c r="E103" s="4" t="str">
        <x:v>英文</x:v>
      </x:c>
      <x:c r="F103" s="42" t="b">
        <x:v>1</x:v>
      </x:c>
      <x:c r="G103" s="4" t="str">
        <x:v>A</x:v>
      </x:c>
      <x:c r="H103" s="4" t="str">
        <x:v>opened</x:v>
      </x:c>
      <x:c r="I103" s="4" t="str"/>
      <x:c r="J103" s="4" t="str">
        <x:v>未記錄</x:v>
      </x:c>
      <x:c r="K103" s="24" t="str">
        <x:v>https://www.lam.gov.my/menuWorkingPermit</x:v>
      </x:c>
      <x:c r="L103" s="4" t="str">
        <x:v>已開原頁並核實機構、文件主題與定性用途；此來源沒有本次原指標附錄數值。</x:v>
      </x:c>
      <x:c r="M103" s="4" t="str">
        <x:v>turn209view7</x:v>
      </x:c>
      <x:c r="N103" s="4" t="str">
        <x:v>LAM</x:v>
      </x:c>
    </x:row>
    <x:row r="104" ht="38" customHeight="1">
      <x:c r="A104" s="4" t="str">
        <x:v>MY07</x:v>
      </x:c>
      <x:c r="B104" s="4" t="str">
        <x:v>Special Release 2: Building and Structural Works, March 2026</x:v>
      </x:c>
      <x:c r="C104" s="4" t="str">
        <x:v>DOSM</x:v>
      </x:c>
      <x:c r="D104" s="15" t="n">
        <x:v>2026</x:v>
      </x:c>
      <x:c r="E104" s="4" t="str">
        <x:v>馬來文／英文</x:v>
      </x:c>
      <x:c r="F104" s="42" t="b">
        <x:v>1</x:v>
      </x:c>
      <x:c r="G104" s="4" t="str">
        <x:v>A</x:v>
      </x:c>
      <x:c r="H104" s="4" t="str">
        <x:v>opened</x:v>
      </x:c>
      <x:c r="I104" s="4" t="str"/>
      <x:c r="J104" s="4" t="str">
        <x:v>未記錄</x:v>
      </x:c>
      <x:c r="K104" s="24" t="str">
        <x:v>https://www.dosm.gov.my/portal-main/downloads-log?id=9915</x:v>
      </x:c>
      <x:c r="L104" s="4" t="str">
        <x:v>PDF正文第2及5頁鋼材RM3,426.80/噸、水泥RM25.55/50kg；第3及6頁鋼材圖標RM3,436.80，鋼材存在同頁組內部矛盾。</x:v>
      </x:c>
      <x:c r="M104" s="4" t="str">
        <x:v>turn190view1</x:v>
      </x:c>
      <x:c r="N104" s="4" t="str">
        <x:v>DOSM</x:v>
      </x:c>
    </x:row>
    <x:row r="105" ht="38" customHeight="1">
      <x:c r="A105" s="4" t="str">
        <x:v>MY08</x:v>
      </x:c>
      <x:c r="B105" s="4" t="str">
        <x:v>Laporan Survei Gaji &amp; Upah 2025 / Salaries &amp; Wages Survey Report 2025</x:v>
      </x:c>
      <x:c r="C105" s="4" t="str">
        <x:v>DOSM</x:v>
      </x:c>
      <x:c r="D105" s="15" t="n">
        <x:v>2026</x:v>
      </x:c>
      <x:c r="E105" s="4" t="str">
        <x:v>馬來文／英文</x:v>
      </x:c>
      <x:c r="F105" s="42" t="b">
        <x:v>1</x:v>
      </x:c>
      <x:c r="G105" s="4" t="str">
        <x:v>A</x:v>
      </x:c>
      <x:c r="H105" s="4" t="str">
        <x:v>opened</x:v>
      </x:c>
      <x:c r="I105" s="4" t="str"/>
      <x:c r="J105" s="4" t="str">
        <x:v>未記錄</x:v>
      </x:c>
      <x:c r="K105" s="24" t="str">
        <x:v>https://storage.dosm.gov.my/labour/salaries_wages_2025.pdf</x:v>
      </x:c>
      <x:c r="L105" s="4" t="str">
        <x:v>PDF第47/65頁2025公民受僱者中位RM2,940、平均RM3,803；第97/111頁營造業平均RM3,188；公民範圍在表註。</x:v>
      </x:c>
      <x:c r="M105" s="4" t="str">
        <x:v>turn187view3</x:v>
      </x:c>
      <x:c r="N105" s="4" t="str">
        <x:v>DOSM</x:v>
      </x:c>
    </x:row>
    <x:row r="106" ht="38" customHeight="1">
      <x:c r="A106" s="4" t="str">
        <x:v>MY09</x:v>
      </x:c>
      <x:c r="B106" s="4" t="str">
        <x:v>Summary of NAPIC Property Market Report 2025</x:v>
      </x:c>
      <x:c r="C106" s="4" t="str">
        <x:v>REHDA Institute，彙整NAPIC</x:v>
      </x:c>
      <x:c r="D106" s="15" t="n">
        <x:v>2026</x:v>
      </x:c>
      <x:c r="E106" s="4" t="str">
        <x:v>英文</x:v>
      </x:c>
      <x:c r="F106" s="42" t="b">
        <x:v>1</x:v>
      </x:c>
      <x:c r="G106" s="4" t="str">
        <x:v>B</x:v>
      </x:c>
      <x:c r="H106" s="4" t="str">
        <x:v>opened</x:v>
      </x:c>
      <x:c r="I106" s="4" t="str"/>
      <x:c r="J106" s="4" t="str">
        <x:v>未記錄</x:v>
      </x:c>
      <x:c r="K106" s="24" t="str">
        <x:v>https://rehdainstitute.com/wp-content/uploads/2026/04/Summary-of-NAPIC-AR-2025.pdf</x:v>
      </x:c>
      <x:c r="L106" s="4" t="str">
        <x:v>PDF第1頁2025住宅類256,512宗、RM108.27bn；第3頁中古84.5%、初次15.5%、空地18.1%、新推64,487；第4頁已完工未售30,471。</x:v>
      </x:c>
      <x:c r="M106" s="4" t="str">
        <x:v>turn179view2</x:v>
      </x:c>
      <x:c r="N106" s="4" t="str">
        <x:v>REHDA Institute，彙整NAPIC</x:v>
      </x:c>
    </x:row>
    <x:row r="107" ht="38" customHeight="1">
      <x:c r="A107" s="4" t="str">
        <x:v>MY10</x:v>
      </x:c>
      <x:c r="B107" s="4" t="str">
        <x:v>Interior Designers in Malaysia</x:v>
      </x:c>
      <x:c r="C107" s="4" t="str">
        <x:v>Qanvast</x:v>
      </x:c>
      <x:c r="D107" s="15" t="str">
        <x:v>2026查閱；價格未標樣本年份</x:v>
      </x:c>
      <x:c r="E107" s="4" t="str">
        <x:v>英文</x:v>
      </x:c>
      <x:c r="F107" s="42" t="b">
        <x:v>1</x:v>
      </x:c>
      <x:c r="G107" s="4" t="str">
        <x:v>C</x:v>
      </x:c>
      <x:c r="H107" s="4" t="str">
        <x:v>opened</x:v>
      </x:c>
      <x:c r="I107" s="4" t="str"/>
      <x:c r="J107" s="4" t="str">
        <x:v>未記錄</x:v>
      </x:c>
      <x:c r="K107" s="24" t="str">
        <x:v>https://qanvast.com/my/interior-designers</x:v>
      </x:c>
      <x:c r="L107" s="4" t="str">
        <x:v>FAQ第285行公寓包價RM25,000–60,000，含設計諮詢、3D、管理及安裝；未揭樣本年及面積，僅2026查閱。</x:v>
      </x:c>
      <x:c r="M107" s="4" t="str">
        <x:v>turn221view9</x:v>
      </x:c>
      <x:c r="N107" s="4" t="str">
        <x:v>Qanvast</x:v>
      </x:c>
    </x:row>
    <x:row r="108" ht="38" customHeight="1">
      <x:c r="A108" s="4" t="str">
        <x:v>MY11</x:v>
      </x:c>
      <x:c r="B108" s="4" t="str">
        <x:v>Qanvast SuperTrust 2025: The Top 12 Interior Design Firms in Malaysia</x:v>
      </x:c>
      <x:c r="C108" s="4" t="str">
        <x:v>Qanvast</x:v>
      </x:c>
      <x:c r="D108" s="15" t="n">
        <x:v>2025</x:v>
      </x:c>
      <x:c r="E108" s="4" t="str">
        <x:v>英文</x:v>
      </x:c>
      <x:c r="F108" s="42" t="b">
        <x:v>1</x:v>
      </x:c>
      <x:c r="G108" s="4" t="str">
        <x:v>C</x:v>
      </x:c>
      <x:c r="H108" s="4" t="str">
        <x:v>opened</x:v>
      </x:c>
      <x:c r="I108" s="4" t="str"/>
      <x:c r="J108" s="4" t="str">
        <x:v>未記錄</x:v>
      </x:c>
      <x:c r="K108" s="24" t="str">
        <x:v>https://qanvast.com/my/articles/qanvast-supertrust-2025-the-top-12-interior-design-firms-in-malaysia-3407</x:v>
      </x:c>
      <x:c r="L108" s="4" t="str">
        <x:v>文章第216行保障為合約價50%與RM50,000取低，限推薦公司資不抵債；非一般保固。</x:v>
      </x:c>
      <x:c r="M108" s="4" t="str">
        <x:v>turn227view0</x:v>
      </x:c>
      <x:c r="N108" s="4" t="str">
        <x:v>Qanvast</x:v>
      </x:c>
    </x:row>
    <x:row r="109" ht="38" customHeight="1">
      <x:c r="A109" s="4" t="str">
        <x:v>MY12</x:v>
      </x:c>
      <x:c r="B109" s="4" t="str">
        <x:v>Renovation Contractor</x:v>
      </x:c>
      <x:c r="C109" s="4" t="str">
        <x:v>Recommend.my</x:v>
      </x:c>
      <x:c r="D109" s="15" t="str">
        <x:v>2026查閱；頁面未標發布年</x:v>
      </x:c>
      <x:c r="E109" s="4" t="str">
        <x:v>英文</x:v>
      </x:c>
      <x:c r="F109" s="42" t="b">
        <x:v>1</x:v>
      </x:c>
      <x:c r="G109" s="4" t="str">
        <x:v>C</x:v>
      </x:c>
      <x:c r="H109" s="4" t="str">
        <x:v>opened</x:v>
      </x:c>
      <x:c r="I109" s="4" t="str"/>
      <x:c r="J109" s="4" t="str">
        <x:v>未記錄</x:v>
      </x:c>
      <x:c r="K109" s="24" t="str">
        <x:v>https://www.recommend.my/service/renovation-contractor</x:v>
      </x:c>
      <x:c r="L109" s="4" t="str">
        <x:v>已開原頁並核實機構、文件主題與定性用途；此來源沒有本次原指標附錄數值。</x:v>
      </x:c>
      <x:c r="M109" s="4" t="str">
        <x:v>turn203view7</x:v>
      </x:c>
      <x:c r="N109" s="4" t="str">
        <x:v>Recommend.my</x:v>
      </x:c>
    </x:row>
    <x:row r="110" ht="38" customHeight="1">
      <x:c r="A110" s="4" t="str">
        <x:v>MY13</x:v>
      </x:c>
      <x:c r="B110" s="4" t="str">
        <x:v>GDP per capita for Malaysia (PCAGDPMYA646NWDB)</x:v>
      </x:c>
      <x:c r="C110" s="4" t="str">
        <x:v>World Bank WDI via Federal Reserve Bank of St. Louis</x:v>
      </x:c>
      <x:c r="D110" s="15" t="n">
        <x:v>2026</x:v>
      </x:c>
      <x:c r="E110" s="4" t="str">
        <x:v>英文</x:v>
      </x:c>
      <x:c r="F110" s="42" t="b">
        <x:v>0</x:v>
      </x:c>
      <x:c r="G110" s="4" t="str">
        <x:v>A</x:v>
      </x:c>
      <x:c r="H110" s="4" t="str">
        <x:v>opened</x:v>
      </x:c>
      <x:c r="I110" s="4" t="str"/>
      <x:c r="J110" s="4" t="str">
        <x:v>未記錄</x:v>
      </x:c>
      <x:c r="K110" s="24" t="str">
        <x:v>https://fred.stlouisfed.org/series/PCAGDPMYA646NWDB</x:v>
      </x:c>
      <x:c r="L110" s="4" t="str">
        <x:v>FRED觀察表2025=13,124.55542，現價美元/人，WDI NY.GDP.PCAP.CD。</x:v>
      </x:c>
      <x:c r="M110" s="4" t="str">
        <x:v>turn177view0</x:v>
      </x:c>
      <x:c r="N110" s="4" t="str">
        <x:v>World Bank（含WDI／Selected Indicators／FRED轉載）</x:v>
      </x:c>
    </x:row>
    <x:row r="111" ht="38" customHeight="1">
      <x:c r="A111" s="4" t="str">
        <x:v>MY14</x:v>
      </x:c>
      <x:c r="B111" s="4" t="str">
        <x:v>Peraturan dan Kesan Perlanggaran</x:v>
      </x:c>
      <x:c r="C111" s="4" t="str">
        <x:v>CIDB</x:v>
      </x:c>
      <x:c r="D111" s="15" t="str">
        <x:v>2026查閱；頁面未標發布年</x:v>
      </x:c>
      <x:c r="E111" s="4" t="str">
        <x:v>馬來文</x:v>
      </x:c>
      <x:c r="F111" s="42" t="b">
        <x:v>1</x:v>
      </x:c>
      <x:c r="G111" s="4" t="str">
        <x:v>A</x:v>
      </x:c>
      <x:c r="H111" s="4" t="str">
        <x:v>opened</x:v>
      </x:c>
      <x:c r="I111" s="4" t="str"/>
      <x:c r="J111" s="4" t="str">
        <x:v>未記錄</x:v>
      </x:c>
      <x:c r="K111" s="24" t="str">
        <x:v>https://www.cidb.gov.my/jombinasempurna/panduan/peraturan-dan-kesan-perlanggaran/</x:v>
      </x:c>
      <x:c r="L111" s="4" t="str">
        <x:v>已開原頁並核實機構、文件主題與定性用途；此來源沒有本次原指標附錄數值。</x:v>
      </x:c>
      <x:c r="M111" s="4" t="str">
        <x:v>turn221view0</x:v>
      </x:c>
      <x:c r="N111" s="4" t="str">
        <x:v>CIDB</x:v>
      </x:c>
    </x:row>
    <x:row r="112" ht="38" customHeight="1">
      <x:c r="A112" s="4" t="str">
        <x:v>MY15</x:v>
      </x:c>
      <x:c r="B112" s="4" t="str">
        <x:v>Condensed Consolidated Financial Statements, quarter ended 31 March 2026</x:v>
      </x:c>
      <x:c r="C112" s="4" t="str">
        <x:v>Signature International Berhad，公告鏡像Moomoo</x:v>
      </x:c>
      <x:c r="D112" s="15" t="n">
        <x:v>2026</x:v>
      </x:c>
      <x:c r="E112" s="4" t="str">
        <x:v>英文</x:v>
      </x:c>
      <x:c r="F112" s="42" t="b">
        <x:v>1</x:v>
      </x:c>
      <x:c r="G112" s="4" t="str">
        <x:v>A</x:v>
      </x:c>
      <x:c r="H112" s="4" t="str">
        <x:v>opened</x:v>
      </x:c>
      <x:c r="I112" s="4" t="str"/>
      <x:c r="J112" s="4" t="str">
        <x:v>未記錄</x:v>
      </x:c>
      <x:c r="K112" s="24" t="str">
        <x:v>https://newsfile.moomoo.com/public/NN-PersistNoticeAttachment/7781/20260520/MYX/MYX_3667615_238047.pdf</x:v>
      </x:c>
      <x:c r="L112" s="4" t="str">
        <x:v>季度報告PDF第1頁2026Q1收入RM211,789千；第12/19頁Signature櫥櫃衣櫃外部收入45,712千、內裝88,826千。</x:v>
      </x:c>
      <x:c r="M112" s="4" t="str">
        <x:v>turn209view0</x:v>
      </x:c>
      <x:c r="N112" s="4" t="str">
        <x:v>Signature International Berhad，公告鏡像Moomoo</x:v>
      </x:c>
    </x:row>
    <x:row r="113" ht="38" customHeight="1">
      <x:c r="A113" s="4" t="str">
        <x:v>MY16</x:v>
      </x:c>
      <x:c r="B113" s="4" t="str">
        <x:v>Who We Are</x:v>
      </x:c>
      <x:c r="C113" s="4" t="str">
        <x:v>Signature International Berhad</x:v>
      </x:c>
      <x:c r="D113" s="15" t="str">
        <x:v>2026查閱；頁面未標發布年</x:v>
      </x:c>
      <x:c r="E113" s="4" t="str">
        <x:v>英文</x:v>
      </x:c>
      <x:c r="F113" s="42" t="b">
        <x:v>1</x:v>
      </x:c>
      <x:c r="G113" s="4" t="str">
        <x:v>C</x:v>
      </x:c>
      <x:c r="H113" s="4" t="str">
        <x:v>opened</x:v>
      </x:c>
      <x:c r="I113" s="4" t="str"/>
      <x:c r="J113" s="4" t="str">
        <x:v>未記錄</x:v>
      </x:c>
      <x:c r="K113" s="24" t="str">
        <x:v>https://signatureinternational.com.my/who-we-are/</x:v>
      </x:c>
      <x:c r="L113" s="4" t="str">
        <x:v>已開原頁並核實機構、文件主題與定性用途；此來源沒有本次原指標附錄數值。</x:v>
      </x:c>
      <x:c r="M113" s="4" t="str">
        <x:v>turn221view1</x:v>
      </x:c>
      <x:c r="N113" s="4" t="str">
        <x:v>Signature International Berhad</x:v>
      </x:c>
    </x:row>
    <x:row r="114" ht="30" customHeight="1">
      <x:c r="A114" s="4" t="str">
        <x:v>MY17</x:v>
      </x:c>
      <x:c r="B114" s="4" t="str">
        <x:v>Malaysia Home Improvement Market</x:v>
      </x:c>
      <x:c r="C114" s="4" t="str">
        <x:v>Ken Research</x:v>
      </x:c>
      <x:c r="D114" s="15" t="n">
        <x:v>2026</x:v>
      </x:c>
      <x:c r="E114" s="4" t="str">
        <x:v>英文</x:v>
      </x:c>
      <x:c r="F114" s="42" t="b">
        <x:v>0</x:v>
      </x:c>
      <x:c r="G114" s="4" t="str">
        <x:v>C</x:v>
      </x:c>
      <x:c r="H114" s="4" t="str">
        <x:v>opened</x:v>
      </x:c>
      <x:c r="I114" s="4" t="str"/>
      <x:c r="J114" s="4" t="str">
        <x:v>未記錄</x:v>
      </x:c>
      <x:c r="K114" s="24" t="str">
        <x:v>https://www.kenresearch.com/malaysia-home-improvement-market</x:v>
      </x:c>
      <x:c r="L114" s="4" t="str">
        <x:v>正文及年度模型表：2025 USD1,000m、2032 USD1,606m；摘要卡卻標2030，僅模型且方法不透明。</x:v>
      </x:c>
      <x:c r="M114" s="4" t="str">
        <x:v>turn197view0</x:v>
      </x:c>
      <x:c r="N114" s="4" t="str">
        <x:v>Ken Research</x:v>
      </x:c>
    </x:row>
    <x:row r="115" ht="30" customHeight="1">
      <x:c r="A115" s="4" t="str">
        <x:v>MY18</x:v>
      </x:c>
      <x:c r="B115" s="4" t="str">
        <x:v>Malaysia Furniture Market</x:v>
      </x:c>
      <x:c r="C115" s="4" t="str">
        <x:v>Ken Research</x:v>
      </x:c>
      <x:c r="D115" s="15" t="n">
        <x:v>2026</x:v>
      </x:c>
      <x:c r="E115" s="4" t="str">
        <x:v>英文</x:v>
      </x:c>
      <x:c r="F115" s="42" t="b">
        <x:v>0</x:v>
      </x:c>
      <x:c r="G115" s="4" t="str">
        <x:v>C</x:v>
      </x:c>
      <x:c r="H115" s="4" t="str">
        <x:v>opened</x:v>
      </x:c>
      <x:c r="I115" s="4" t="str"/>
      <x:c r="J115" s="4" t="str">
        <x:v>未記錄</x:v>
      </x:c>
      <x:c r="K115" s="24" t="str">
        <x:v>https://www.kenresearch.com/industry-reports/malaysia-furniture-market</x:v>
      </x:c>
      <x:c r="L115" s="4" t="str">
        <x:v>頁面年度表2025 USD2,131m、2030 USD2,852m；FAQ明示國內最終銷售模型，含進口、排除出口。</x:v>
      </x:c>
      <x:c r="M115" s="4" t="str">
        <x:v>turn197view2</x:v>
      </x:c>
      <x:c r="N115" s="4" t="str">
        <x:v>Ken Research</x:v>
      </x:c>
    </x:row>
    <x:row r="116" ht="38" customHeight="1">
      <x:c r="A116" s="4" t="str">
        <x:v>MY19</x:v>
      </x:c>
      <x:c r="B116" s="4" t="str">
        <x:v>Malaysia Furniture and Interior Design Market</x:v>
      </x:c>
      <x:c r="C116" s="4" t="str">
        <x:v>Ken Research</x:v>
      </x:c>
      <x:c r="D116" s="15" t="n">
        <x:v>2026</x:v>
      </x:c>
      <x:c r="E116" s="4" t="str">
        <x:v>英文</x:v>
      </x:c>
      <x:c r="F116" s="42" t="b">
        <x:v>0</x:v>
      </x:c>
      <x:c r="G116" s="4" t="str">
        <x:v>C</x:v>
      </x:c>
      <x:c r="H116" s="4" t="str">
        <x:v>opened</x:v>
      </x:c>
      <x:c r="I116" s="4" t="str"/>
      <x:c r="J116" s="4" t="str">
        <x:v>未記錄</x:v>
      </x:c>
      <x:c r="K116" s="24" t="str">
        <x:v>https://www.kenresearch.com/malaysia-furniture-and-interior-design-market</x:v>
      </x:c>
      <x:c r="L116" s="4" t="str">
        <x:v>年度表2025 USD2,430m、2030 USD3,456m；範圍混合家具、家飾及設計費；頁首末年另有矛盾。</x:v>
      </x:c>
      <x:c r="M116" s="4" t="str">
        <x:v>turn197view4</x:v>
      </x:c>
      <x:c r="N116" s="4" t="str">
        <x:v>Ken Research</x:v>
      </x:c>
    </x:row>
    <x:row r="117" ht="38" customHeight="1">
      <x:c r="A117" s="4" t="str">
        <x:v>MY20</x:v>
      </x:c>
      <x:c r="B117" s="4" t="str">
        <x:v>Teamstar Berhad prospectus: Independent Market Research and financial information</x:v>
      </x:c>
      <x:c r="C117" s="4" t="str">
        <x:v>Teamstar Berhad / Protégé Associates，i3investor鏡像</x:v>
      </x:c>
      <x:c r="D117" s="15" t="n">
        <x:v>2026</x:v>
      </x:c>
      <x:c r="E117" s="4" t="str">
        <x:v>英文</x:v>
      </x:c>
      <x:c r="F117" s="42" t="b">
        <x:v>1</x:v>
      </x:c>
      <x:c r="G117" s="4" t="str">
        <x:v>D</x:v>
      </x:c>
      <x:c r="H117" s="4" t="str">
        <x:v>fail</x:v>
      </x:c>
      <x:c r="I117" s="4" t="str"/>
      <x:c r="J117" s="4" t="str">
        <x:v>未記錄</x:v>
      </x:c>
      <x:c r="K117" s="24" t="str">
        <x:v>https://cdn1.i3investor.com/my/files/dfgs88n/2026/01/27/1591876029--792141648.pdf</x:v>
      </x:c>
      <x:c r="L117" s="4" t="str">
        <x:v>原URL重新開啟及本地下載均回404；搜尋摘要仍可見但不算開頁驗證。已另找到同一招股書MY24，來源不獨立。</x:v>
      </x:c>
      <x:c r="M117" s="4" t="str">
        <x:v>turn254view0</x:v>
      </x:c>
      <x:c r="N117" s="4" t="str">
        <x:v>Protégé／Teamstar招股書同份資料</x:v>
      </x:c>
    </x:row>
    <x:row r="118" ht="38" customHeight="1">
      <x:c r="A118" s="4" t="str">
        <x:v>MY21</x:v>
      </x:c>
      <x:c r="B118" s="4" t="str">
        <x:v>Soalan Lazim: Panduan Pemilik Rumah</x:v>
      </x:c>
      <x:c r="C118" s="4" t="str">
        <x:v>CIDB</x:v>
      </x:c>
      <x:c r="D118" s="15" t="str">
        <x:v>2026查閱；頁面未標發布年</x:v>
      </x:c>
      <x:c r="E118" s="4" t="str">
        <x:v>馬來文</x:v>
      </x:c>
      <x:c r="F118" s="42" t="b">
        <x:v>1</x:v>
      </x:c>
      <x:c r="G118" s="4" t="str">
        <x:v>A</x:v>
      </x:c>
      <x:c r="H118" s="4" t="str">
        <x:v>opened</x:v>
      </x:c>
      <x:c r="I118" s="4" t="str"/>
      <x:c r="J118" s="4" t="str">
        <x:v>未記錄</x:v>
      </x:c>
      <x:c r="K118" s="24" t="str">
        <x:v>https://www.cidb.gov.my/jombinasempurna/soalan-lazim/</x:v>
      </x:c>
      <x:c r="L118" s="4" t="str">
        <x:v>已開原頁並核實機構、文件主題與定性用途；此來源沒有本次原指標附錄數值。</x:v>
      </x:c>
      <x:c r="M118" s="4" t="str">
        <x:v>turn242view7</x:v>
      </x:c>
      <x:c r="N118" s="4" t="str">
        <x:v>CIDB</x:v>
      </x:c>
    </x:row>
    <x:row r="119" ht="38" customHeight="1">
      <x:c r="A119" s="4" t="str">
        <x:v>MY22</x:v>
      </x:c>
      <x:c r="B119" s="4" t="str">
        <x:v>Pendaftaran Kontraktor</x:v>
      </x:c>
      <x:c r="C119" s="4" t="str">
        <x:v>CIDB</x:v>
      </x:c>
      <x:c r="D119" s="15" t="str">
        <x:v>2026查閱；部分段落疑未同步2025制度</x:v>
      </x:c>
      <x:c r="E119" s="4" t="str">
        <x:v>馬來文</x:v>
      </x:c>
      <x:c r="F119" s="42" t="b">
        <x:v>1</x:v>
      </x:c>
      <x:c r="G119" s="4" t="str">
        <x:v>A</x:v>
      </x:c>
      <x:c r="H119" s="4" t="str">
        <x:v>opened</x:v>
      </x:c>
      <x:c r="I119" s="4" t="str"/>
      <x:c r="J119" s="4" t="str">
        <x:v>未記錄</x:v>
      </x:c>
      <x:c r="K119" s="24" t="str">
        <x:v>https://www.cidb.gov.my/pendaftaran-kontraktor/</x:v>
      </x:c>
      <x:c r="L119" s="4" t="str">
        <x:v>已開原頁並核實機構、文件主題與定性用途；此來源沒有本次原指標附錄數值。</x:v>
      </x:c>
      <x:c r="M119" s="4" t="str">
        <x:v>turn221view3</x:v>
      </x:c>
      <x:c r="N119" s="4" t="str">
        <x:v>CIDB</x:v>
      </x:c>
    </x:row>
    <x:row r="120" ht="38" customHeight="1">
      <x:c r="A120" s="4" t="str">
        <x:v>MY23</x:v>
      </x:c>
      <x:c r="B120" s="4" t="str">
        <x:v>Kos Ubahsuai Rumah Didedahkan: Panduan Harga 2025</x:v>
      </x:c>
      <x:c r="C120" s="4" t="str">
        <x:v>Hin Construction Sdn Bhd</x:v>
      </x:c>
      <x:c r="D120" s="15" t="n">
        <x:v>2025</x:v>
      </x:c>
      <x:c r="E120" s="4" t="str">
        <x:v>馬來文</x:v>
      </x:c>
      <x:c r="F120" s="42" t="b">
        <x:v>1</x:v>
      </x:c>
      <x:c r="G120" s="4" t="str">
        <x:v>D</x:v>
      </x:c>
      <x:c r="H120" s="4" t="str">
        <x:v>opened</x:v>
      </x:c>
      <x:c r="I120" s="4" t="str"/>
      <x:c r="J120" s="4" t="str">
        <x:v>未記錄</x:v>
      </x:c>
      <x:c r="K120" s="24" t="str">
        <x:v>https://hinconstruction.onesync.my/bm/showproducts/productid/5884188/cid/598579</x:v>
      </x:c>
      <x:c r="L120" s="4" t="str">
        <x:v>廠商文章第1617–1618行有20–40與50–150 MYR/ft²；換算數學正確。依新協議部落格為D，正文與採用表移除。</x:v>
      </x:c>
      <x:c r="M120" s="4" t="str">
        <x:v>turn209view3</x:v>
      </x:c>
      <x:c r="N120" s="4" t="str">
        <x:v>Hin Construction Sdn Bhd</x:v>
      </x:c>
    </x:row>
    <x:row r="121" ht="38" customHeight="1">
      <x:c r="A121" s="4" t="str">
        <x:v>TH01</x:v>
      </x:c>
      <x:c r="B121" s="4" t="str">
        <x:v>Financial Highlights</x:v>
      </x:c>
      <x:c r="C121" s="4" t="str">
        <x:v>Home Product Center Public Company Limited (HomePro)</x:v>
      </x:c>
      <x:c r="D121" s="15" t="n">
        <x:v>2026</x:v>
      </x:c>
      <x:c r="E121" s="4" t="str">
        <x:v>英文</x:v>
      </x:c>
      <x:c r="F121" s="42" t="b">
        <x:v>1</x:v>
      </x:c>
      <x:c r="G121" s="4" t="str">
        <x:v>A</x:v>
      </x:c>
      <x:c r="H121" s="4" t="str">
        <x:v>opened</x:v>
      </x:c>
      <x:c r="I121" s="4" t="str"/>
      <x:c r="J121" s="4" t="str">
        <x:v>未記錄</x:v>
      </x:c>
      <x:c r="K121" s="24" t="str">
        <x:v>https://hmpro.listedcompany.com/financial_highlights.html</x:v>
      </x:c>
      <x:c r="L121" s="4" t="str">
        <x:v>合併財務摘要2025欄：銷售65,955.18、總收入70,569.77、淨利6,011.39（百萬THB）；毛利26.71%、淨利8.52%。</x:v>
      </x:c>
      <x:c r="M121" s="4" t="str">
        <x:v>turn227view1</x:v>
      </x:c>
      <x:c r="N121" s="4" t="str">
        <x:v>Home Product Center Public Company Limited (HomePro)</x:v>
      </x:c>
    </x:row>
    <x:row r="122" ht="38" customHeight="1">
      <x:c r="A122" s="4" t="str">
        <x:v>TH02</x:v>
      </x:c>
      <x:c r="B122" s="4" t="str">
        <x:v>ข้อมูลสำคัญทางการเงิน / Financial Highlights</x:v>
      </x:c>
      <x:c r="C122" s="4" t="str">
        <x:v>Index Living Mall PCL</x:v>
      </x:c>
      <x:c r="D122" s="15" t="n">
        <x:v>2026</x:v>
      </x:c>
      <x:c r="E122" s="4" t="str">
        <x:v>泰文</x:v>
      </x:c>
      <x:c r="F122" s="42" t="b">
        <x:v>1</x:v>
      </x:c>
      <x:c r="G122" s="4" t="str">
        <x:v>A</x:v>
      </x:c>
      <x:c r="H122" s="4" t="str">
        <x:v>opened</x:v>
      </x:c>
      <x:c r="I122" s="4" t="str"/>
      <x:c r="J122" s="4" t="str">
        <x:v>未記錄</x:v>
      </x:c>
      <x:c r="K122" s="24" t="str">
        <x:v>https://investor.indexlivingmall.com/th/financial-info/financial-highlights</x:v>
      </x:c>
      <x:c r="L122" s="4" t="str">
        <x:v>泰文財務摘要2568=2025：銷售9,053.7、租賃服務803.5、營運9,857.2、總收入10,001.2、母公司淨利753.2百萬THB；毛利47.4%、淨利7.5%。</x:v>
      </x:c>
      <x:c r="M122" s="4" t="str">
        <x:v>turn233view6</x:v>
      </x:c>
      <x:c r="N122" s="4" t="str">
        <x:v>Index Living Mall PCL</x:v>
      </x:c>
    </x:row>
    <x:row r="123" ht="38" customHeight="1">
      <x:c r="A123" s="4" t="str">
        <x:v>TH03</x:v>
      </x:c>
      <x:c r="B123" s="4" t="str">
        <x:v>สถานการณ์ตลาดที่อยู่อาศัยทั่วประเทศ ปี 2567</x:v>
      </x:c>
      <x:c r="C123" s="4" t="str">
        <x:v>REIC</x:v>
      </x:c>
      <x:c r="D123" s="15" t="n">
        <x:v>2025</x:v>
      </x:c>
      <x:c r="E123" s="4" t="str">
        <x:v>泰文</x:v>
      </x:c>
      <x:c r="F123" s="42" t="b">
        <x:v>1</x:v>
      </x:c>
      <x:c r="G123" s="4" t="str">
        <x:v>A</x:v>
      </x:c>
      <x:c r="H123" s="4" t="str">
        <x:v>opened</x:v>
      </x:c>
      <x:c r="I123" s="4" t="str"/>
      <x:c r="J123" s="4" t="str">
        <x:v>未記錄</x:v>
      </x:c>
      <x:c r="K123" s="24" t="str">
        <x:v>https://www.reic.or.th/Activities/PressRelease/252</x:v>
      </x:c>
      <x:c r="L123" s="4" t="str">
        <x:v>REIC2024原文（佛曆2567）全年住宅移轉347,799戶；2025報告也重述，仍同機構同系列非雙源。</x:v>
      </x:c>
      <x:c r="M123" s="4" t="str">
        <x:v>turn233view8</x:v>
      </x:c>
      <x:c r="N123" s="4" t="str">
        <x:v>REIC</x:v>
      </x:c>
    </x:row>
    <x:row r="124" ht="38" customHeight="1">
      <x:c r="A124" s="4" t="str">
        <x:v>TH04</x:v>
      </x:c>
      <x:c r="B124" s="4" t="str">
        <x:v>สถานการณ์ตลาดที่อยู่อาศัยทั่วประเทศ ปี 2568</x:v>
      </x:c>
      <x:c r="C124" s="4" t="str">
        <x:v>REIC</x:v>
      </x:c>
      <x:c r="D124" s="15" t="n">
        <x:v>2026</x:v>
      </x:c>
      <x:c r="E124" s="4" t="str">
        <x:v>泰文</x:v>
      </x:c>
      <x:c r="F124" s="42" t="b">
        <x:v>1</x:v>
      </x:c>
      <x:c r="G124" s="4" t="str">
        <x:v>A</x:v>
      </x:c>
      <x:c r="H124" s="4" t="str">
        <x:v>opened</x:v>
      </x:c>
      <x:c r="I124" s="4" t="str"/>
      <x:c r="J124" s="4" t="str">
        <x:v>未記錄</x:v>
      </x:c>
      <x:c r="K124" s="24" t="str">
        <x:v>https://ns2.reic.or.th/Upload/REIC-PressRelease-260225_52843_1772017693_79203.pdf</x:v>
      </x:c>
      <x:c r="L124" s="4" t="str">
        <x:v>PDF第1–2頁：2025全國316,214戶、-9.1%、864,913百萬THB；新屋112,565、中古203,649、占比四捨五入64%；外國公寓14,899戶、60,921百萬THB。</x:v>
      </x:c>
      <x:c r="M124" s="4" t="str">
        <x:v>turn227view3</x:v>
      </x:c>
      <x:c r="N124" s="4" t="str">
        <x:v>REIC</x:v>
      </x:c>
    </x:row>
    <x:row r="125" ht="30" customHeight="1">
      <x:c r="A125" s="4" t="str">
        <x:v>TH05</x:v>
      </x:c>
      <x:c r="B125" s="4" t="str">
        <x:v>Foreign Business Act B.E. 2542 (1999)</x:v>
      </x:c>
      <x:c r="C125" s="4" t="str">
        <x:v>Thailand Board of Investment，法規英譯</x:v>
      </x:c>
      <x:c r="D125" s="15" t="n">
        <x:v>1999</x:v>
      </x:c>
      <x:c r="E125" s="4" t="str">
        <x:v>英文</x:v>
      </x:c>
      <x:c r="F125" s="42" t="b">
        <x:v>1</x:v>
      </x:c>
      <x:c r="G125" s="4" t="str">
        <x:v>A</x:v>
      </x:c>
      <x:c r="H125" s="4" t="str">
        <x:v>opened</x:v>
      </x:c>
      <x:c r="I125" s="4" t="str"/>
      <x:c r="J125" s="4" t="str">
        <x:v>未記錄</x:v>
      </x:c>
      <x:c r="K125" s="24" t="str">
        <x:v>https://www.boi.go.th/upload/Foreign%20Business%20Act_5dd766122ff27.pdf</x:v>
      </x:c>
      <x:c r="L125" s="4" t="str">
        <x:v>已開原頁並核實機構、文件主題與定性用途；此來源沒有本次原指標附錄數值。</x:v>
      </x:c>
      <x:c r="M125" s="4" t="str">
        <x:v>turn233view10</x:v>
      </x:c>
      <x:c r="N125" s="4" t="str">
        <x:v>Thailand Board of Investment，法規英譯</x:v>
      </x:c>
    </x:row>
    <x:row r="126" ht="38" customHeight="1">
      <x:c r="A126" s="4" t="str">
        <x:v>TH06</x:v>
      </x:c>
      <x:c r="B126" s="4" t="str">
        <x:v>ประกาศกระทรวงแรงงาน เรื่อง กำหนดงานที่ห้ามคนต่างด้าวทำ</x:v>
      </x:c>
      <x:c r="C126" s="4" t="str">
        <x:v>Ministry of Labour / Department of Employment</x:v>
      </x:c>
      <x:c r="D126" s="15" t="n">
        <x:v>2020</x:v>
      </x:c>
      <x:c r="E126" s="4" t="str">
        <x:v>泰文</x:v>
      </x:c>
      <x:c r="F126" s="42" t="b">
        <x:v>1</x:v>
      </x:c>
      <x:c r="G126" s="4" t="str">
        <x:v>A</x:v>
      </x:c>
      <x:c r="H126" s="4" t="str">
        <x:v>opened_local_pdf</x:v>
      </x:c>
      <x:c r="I126" s="4" t="str"/>
      <x:c r="J126" s="4" t="str">
        <x:v>未記錄</x:v>
      </x:c>
      <x:c r="K126" s="24" t="str">
        <x:v>https://www.doe.go.th/prd/download/download_by_pool_file/54722</x:v>
      </x:c>
      <x:c r="L126" s="4" t="str">
        <x:v>網頁首次取得PDF但後續逾時；原URL直接下載389,870 bytes PDF並本地抽文，核對建築專業例外及建築工種受限條件。</x:v>
      </x:c>
      <x:c r="M126" s="4" t="str">
        <x:v>turn227view5</x:v>
      </x:c>
      <x:c r="N126" s="4" t="str">
        <x:v>Ministry of Labour / Department of Employment</x:v>
      </x:c>
    </x:row>
    <x:row r="127" ht="38" customHeight="1">
      <x:c r="A127" s="4" t="str">
        <x:v>TH07</x:v>
      </x:c>
      <x:c r="B127" s="4" t="str">
        <x:v>บริการวิชาชีพสถาปัตยกรรม (Architectural Services), September 2026</x:v>
      </x:c>
      <x:c r="C127" s="4" t="str">
        <x:v>Department of Trade Negotiations (DTN)</x:v>
      </x:c>
      <x:c r="D127" s="15" t="n">
        <x:v>2026</x:v>
      </x:c>
      <x:c r="E127" s="4" t="str">
        <x:v>泰文</x:v>
      </x:c>
      <x:c r="F127" s="42" t="b">
        <x:v>1</x:v>
      </x:c>
      <x:c r="G127" s="4" t="str">
        <x:v>A</x:v>
      </x:c>
      <x:c r="H127" s="4" t="str">
        <x:v>opened</x:v>
      </x:c>
      <x:c r="I127" s="4" t="str"/>
      <x:c r="J127" s="4" t="str">
        <x:v>未記錄</x:v>
      </x:c>
      <x:c r="K127" s="24" t="str">
        <x:v>https://www.dtn.go.th/th/file/get/file/1.20260925e1a479df9a0c4538f665e3ee334f9acc163253.pdf</x:v>
      </x:c>
      <x:c r="L127" s="4" t="str">
        <x:v>DTN 2026-09文件PDF第1頁引DBD：2025廣義建築及相關顧問收入33,400百萬THB；2026-08法人4,081。不是純室內設計。</x:v>
      </x:c>
      <x:c r="M127" s="4" t="str">
        <x:v>turn253view0</x:v>
      </x:c>
      <x:c r="N127" s="4" t="str">
        <x:v>Department of Trade Negotiations (DTN)</x:v>
      </x:c>
    </x:row>
    <x:row r="128" ht="38" customHeight="1">
      <x:c r="A128" s="4" t="str">
        <x:v>TH08</x:v>
      </x:c>
      <x:c r="B128" s="4" t="str">
        <x:v>สคบ. ลุยตรวจธุรกิจรับจ้างก่อสร้างและรับเหมาต่อเติมอาคาร</x:v>
      </x:c>
      <x:c r="C128" s="4" t="str">
        <x:v>Office of the Consumer Protection Board (OCPB)</x:v>
      </x:c>
      <x:c r="D128" s="15" t="n">
        <x:v>2025</x:v>
      </x:c>
      <x:c r="E128" s="4" t="str">
        <x:v>泰文</x:v>
      </x:c>
      <x:c r="F128" s="42" t="b">
        <x:v>1</x:v>
      </x:c>
      <x:c r="G128" s="4" t="str">
        <x:v>A</x:v>
      </x:c>
      <x:c r="H128" s="4" t="str">
        <x:v>opened</x:v>
      </x:c>
      <x:c r="I128" s="4" t="str"/>
      <x:c r="J128" s="4" t="str">
        <x:v>未記錄</x:v>
      </x:c>
      <x:c r="K128" s="24" t="str">
        <x:v>https://www.ocpb.go.th/news_view_en.php?nid=16497</x:v>
      </x:c>
      <x:c r="L128" s="4" t="str">
        <x:v>OCPB 2025-06-27原文：年度截至公告所述新建186件、住宅增改建111件；沒有全年投訴率分母。</x:v>
      </x:c>
      <x:c r="M128" s="4" t="str">
        <x:v>turn233view9</x:v>
      </x:c>
      <x:c r="N128" s="4" t="str">
        <x:v>Office of the Consumer Protection Board (OCPB)</x:v>
      </x:c>
    </x:row>
    <x:row r="129" ht="52" customHeight="1">
      <x:c r="A129" s="4" t="str">
        <x:v>TH09</x:v>
      </x:c>
      <x:c r="B129" s="4" t="str">
        <x:v>ประกาศคณะกรรมการว่าด้วยสัญญา：ธุรกิจรับจ้างต่อเติมอาคารเพื่อการอยู่อาศัย</x:v>
      </x:c>
      <x:c r="C129" s="4" t="str">
        <x:v>Royal Gazette / Contract Committee</x:v>
      </x:c>
      <x:c r="D129" s="15" t="n">
        <x:v>2023</x:v>
      </x:c>
      <x:c r="E129" s="4" t="str">
        <x:v>泰文</x:v>
      </x:c>
      <x:c r="F129" s="42" t="b">
        <x:v>1</x:v>
      </x:c>
      <x:c r="G129" s="4" t="str">
        <x:v>A</x:v>
      </x:c>
      <x:c r="H129" s="4" t="str">
        <x:v>opened</x:v>
      </x:c>
      <x:c r="I129" s="4" t="str"/>
      <x:c r="J129" s="4" t="str">
        <x:v>未記錄</x:v>
      </x:c>
      <x:c r="K129" s="24" t="str">
        <x:v>https://ratchakitcha.soc.go.th/documents/140D033S0000000001800.pdf</x:v>
      </x:c>
      <x:c r="L129" s="4" t="str">
        <x:v>Royal Gazette 2023公告PDF第2頁第3(2.2)款：每日最低承攬價百分之0.01；第1頁定義限自用居住，不含銷售、出租等取得對價用途。</x:v>
      </x:c>
      <x:c r="M129" s="4" t="str">
        <x:v>turn246view2</x:v>
      </x:c>
      <x:c r="N129" s="4" t="str">
        <x:v>Royal Gazette / Contract Committee</x:v>
      </x:c>
    </x:row>
    <x:row r="130" ht="38" customHeight="1">
      <x:c r="A130" s="4" t="str">
        <x:v>TH10</x:v>
      </x:c>
      <x:c r="B130" s="4" t="str">
        <x:v>ดัชนีราคาวัสดุก่อสร้าง เดือนธันวาคม 2568</x:v>
      </x:c>
      <x:c r="C130" s="4" t="str">
        <x:v>Trade Policy and Strategy Office (TPSO)</x:v>
      </x:c>
      <x:c r="D130" s="15" t="n">
        <x:v>2026</x:v>
      </x:c>
      <x:c r="E130" s="4" t="str">
        <x:v>泰文</x:v>
      </x:c>
      <x:c r="F130" s="42" t="b">
        <x:v>1</x:v>
      </x:c>
      <x:c r="G130" s="4" t="str">
        <x:v>A</x:v>
      </x:c>
      <x:c r="H130" s="4" t="str">
        <x:v>opened</x:v>
      </x:c>
      <x:c r="I130" s="4" t="str"/>
      <x:c r="J130" s="4" t="str">
        <x:v>未記錄</x:v>
      </x:c>
      <x:c r="K130" s="24" t="str">
        <x:v>https://www.tpso.go.th/news/2601-0000000015</x:v>
      </x:c>
      <x:c r="L130" s="4" t="str">
        <x:v>頁面第26行圖片替代文字含全文：2025-12建材年增不變、水泥+5.5%、鋼材-2.0%、衛浴-3.9%。不是全內裝成本或四年累積。</x:v>
      </x:c>
      <x:c r="M130" s="4" t="str">
        <x:v>turn246view0</x:v>
      </x:c>
      <x:c r="N130" s="4" t="str">
        <x:v>Trade Policy and Strategy Office (TPSO)</x:v>
      </x:c>
    </x:row>
    <x:row r="131" ht="38" customHeight="1">
      <x:c r="A131" s="4" t="str">
        <x:v>TH11</x:v>
      </x:c>
      <x:c r="B131" s="4" t="str">
        <x:v>Home Service</x:v>
      </x:c>
      <x:c r="C131" s="4" t="str">
        <x:v>HomePro</x:v>
      </x:c>
      <x:c r="D131" s="15" t="str">
        <x:v>2026查閱；頁面未標發布年</x:v>
      </x:c>
      <x:c r="E131" s="4" t="str">
        <x:v>泰文</x:v>
      </x:c>
      <x:c r="F131" s="42" t="b">
        <x:v>1</x:v>
      </x:c>
      <x:c r="G131" s="4" t="str">
        <x:v>C</x:v>
      </x:c>
      <x:c r="H131" s="4" t="str">
        <x:v>opened</x:v>
      </x:c>
      <x:c r="I131" s="4" t="str"/>
      <x:c r="J131" s="4" t="str">
        <x:v>未記錄</x:v>
      </x:c>
      <x:c r="K131" s="24" t="str">
        <x:v>https://www.homepro.co.th/homeservice/</x:v>
      </x:c>
      <x:c r="L131" s="4" t="str">
        <x:v>已開原頁並核實機構、文件主題與定性用途；此來源沒有本次原指標附錄數值。</x:v>
      </x:c>
      <x:c r="M131" s="4" t="str">
        <x:v>turn233view2</x:v>
      </x:c>
      <x:c r="N131" s="4" t="str">
        <x:v>HomePro</x:v>
      </x:c>
    </x:row>
    <x:row r="132" ht="38" customHeight="1">
      <x:c r="A132" s="4" t="str">
        <x:v>TH12</x:v>
      </x:c>
      <x:c r="B132" s="4" t="str">
        <x:v>บริการสำรวจหน้างานปรับปรุงห้องน้ำ / Bathroom renovation site survey SKU 7000933</x:v>
      </x:c>
      <x:c r="C132" s="4" t="str">
        <x:v>HomePro</x:v>
      </x:c>
      <x:c r="D132" s="15" t="str">
        <x:v>2026查閱價格</x:v>
      </x:c>
      <x:c r="E132" s="4" t="str">
        <x:v>泰文</x:v>
      </x:c>
      <x:c r="F132" s="42" t="b">
        <x:v>1</x:v>
      </x:c>
      <x:c r="G132" s="4" t="str">
        <x:v>C</x:v>
      </x:c>
      <x:c r="H132" s="4" t="str">
        <x:v>opened</x:v>
      </x:c>
      <x:c r="I132" s="4" t="str"/>
      <x:c r="J132" s="4" t="str">
        <x:v>未記錄</x:v>
      </x:c>
      <x:c r="K132" s="24" t="str">
        <x:v>https://shop4you.homepro.co.th/S032/web/302/7000933</x:v>
      </x:c>
      <x:c r="L132" s="4" t="str">
        <x:v>SKU7000933第8行牌價1,000、促銷499 THB/次；第15行浴室工程一年保固；商品為勘查、不是完整裝修總價。</x:v>
      </x:c>
      <x:c r="M132" s="4" t="str">
        <x:v>turn242view2</x:v>
      </x:c>
      <x:c r="N132" s="4" t="str">
        <x:v>HomePro</x:v>
      </x:c>
    </x:row>
    <x:row r="133" ht="38" customHeight="1">
      <x:c r="A133" s="4" t="str">
        <x:v>TH13</x:v>
      </x:c>
      <x:c r="B133" s="4" t="str">
        <x:v>บริการติดตั้งพื้น SPC สำหรับภายในบ้าน UNIX</x:v>
      </x:c>
      <x:c r="C133" s="4" t="str">
        <x:v>SCG HOME</x:v>
      </x:c>
      <x:c r="D133" s="15" t="str">
        <x:v>2026查閱；頁面未標發布年</x:v>
      </x:c>
      <x:c r="E133" s="4" t="str">
        <x:v>泰文</x:v>
      </x:c>
      <x:c r="F133" s="42" t="b">
        <x:v>1</x:v>
      </x:c>
      <x:c r="G133" s="4" t="str">
        <x:v>C</x:v>
      </x:c>
      <x:c r="H133" s="4" t="str">
        <x:v>opened</x:v>
      </x:c>
      <x:c r="I133" s="4" t="str"/>
      <x:c r="J133" s="4" t="str">
        <x:v>未記錄</x:v>
      </x:c>
      <x:c r="K133" s="24" t="str">
        <x:v>https://www.scghome.com/homesolution/flooring/indoor-flooring-spc-laminate/spc-flooring-unix</x:v>
      </x:c>
      <x:c r="L133" s="4" t="str">
        <x:v>條款第58–66行：最低30m²、不足面積每m²加200 THB、工地未備妥額外回訪每次2,000 THB；排除找平及垃圾等。</x:v>
      </x:c>
      <x:c r="M133" s="4" t="str">
        <x:v>turn246view1</x:v>
      </x:c>
      <x:c r="N133" s="4" t="str">
        <x:v>SCG HOME</x:v>
      </x:c>
    </x:row>
    <x:row r="134" ht="52" customHeight="1">
      <x:c r="A134" s="4" t="str">
        <x:v>TH14</x:v>
      </x:c>
      <x:c r="B134" s="4" t="str">
        <x:v>MR. D.I.Y. Holding (Thailand) raises up to THB5.6 billion…</x:v>
      </x:c>
      <x:c r="C134" s="4" t="str">
        <x:v>MR. D.I.Y. Holding (Thailand) PCL</x:v>
      </x:c>
      <x:c r="D134" s="15" t="n">
        <x:v>2025</x:v>
      </x:c>
      <x:c r="E134" s="4" t="str">
        <x:v>英文</x:v>
      </x:c>
      <x:c r="F134" s="42" t="b">
        <x:v>1</x:v>
      </x:c>
      <x:c r="G134" s="4" t="str">
        <x:v>C</x:v>
      </x:c>
      <x:c r="H134" s="4" t="str">
        <x:v>opened</x:v>
      </x:c>
      <x:c r="I134" s="4" t="str"/>
      <x:c r="J134" s="4" t="str">
        <x:v>未記錄</x:v>
      </x:c>
      <x:c r="K134" s="24" t="str">
        <x:v>https://investor.mrdiy.co.th/en/updates/ir-press-release/145/mr-diy-holding-thailand-raises-up-to-thb56-billion-usd173-million-largest-ipo-by-market-capitalisation-on-set-in-the-last-3-years</x:v>
      </x:c>
      <x:c r="L134" s="4" t="str">
        <x:v>2025-10-15公司IPO新聞稿第149–150行：市場2024 THB182.6bn、2029預測237.8bn；公司2024收入16.2bn、淨利1.7bn。屬發行人公告約數。</x:v>
      </x:c>
      <x:c r="M134" s="4" t="str">
        <x:v>turn238view0</x:v>
      </x:c>
      <x:c r="N134" s="4" t="str">
        <x:v>MR. D.I.Y. Holding (Thailand) PCL</x:v>
      </x:c>
    </x:row>
    <x:row r="135" ht="38" customHeight="1">
      <x:c r="A135" s="4" t="str">
        <x:v>TH15</x:v>
      </x:c>
      <x:c r="B135" s="4" t="str">
        <x:v>About</x:v>
      </x:c>
      <x:c r="C135" s="4" t="str">
        <x:v>P49 DEESIGN</x:v>
      </x:c>
      <x:c r="D135" s="15" t="str">
        <x:v>2026查閱；頁面未標發布年</x:v>
      </x:c>
      <x:c r="E135" s="4" t="str">
        <x:v>英文</x:v>
      </x:c>
      <x:c r="F135" s="42" t="b">
        <x:v>1</x:v>
      </x:c>
      <x:c r="G135" s="4" t="str">
        <x:v>C</x:v>
      </x:c>
      <x:c r="H135" s="4" t="str">
        <x:v>opened</x:v>
      </x:c>
      <x:c r="I135" s="4" t="str"/>
      <x:c r="J135" s="4" t="str">
        <x:v>未記錄</x:v>
      </x:c>
      <x:c r="K135" s="24" t="str">
        <x:v>https://www.p49deesign.com/about</x:v>
      </x:c>
      <x:c r="L135" s="4" t="str">
        <x:v>已開原頁並核實機構、文件主題與定性用途；此來源沒有本次原指標附錄數值。</x:v>
      </x:c>
      <x:c r="M135" s="4" t="str">
        <x:v>turn238view1</x:v>
      </x:c>
      <x:c r="N135" s="4" t="str">
        <x:v>P49 DEESIGN</x:v>
      </x:c>
    </x:row>
    <x:row r="136" ht="66" customHeight="1">
      <x:c r="A136" s="4" t="str">
        <x:v>TH16</x:v>
      </x:c>
      <x:c r="B136" s="4" t="str">
        <x:v>Thaiwatsadu and BnB home Expo 2025</x:v>
      </x:c>
      <x:c r="C136" s="4" t="str">
        <x:v>Central Retail Corporation</x:v>
      </x:c>
      <x:c r="D136" s="15" t="n">
        <x:v>2025</x:v>
      </x:c>
      <x:c r="E136" s="4" t="str">
        <x:v>英文</x:v>
      </x:c>
      <x:c r="F136" s="42" t="b">
        <x:v>1</x:v>
      </x:c>
      <x:c r="G136" s="4" t="str">
        <x:v>C</x:v>
      </x:c>
      <x:c r="H136" s="4" t="str">
        <x:v>opened</x:v>
      </x:c>
      <x:c r="I136" s="4" t="str"/>
      <x:c r="J136" s="4" t="str">
        <x:v>未記錄</x:v>
      </x:c>
      <x:c r="K136" s="24" t="str">
        <x:v>https://www.centralretail.com/en/newsroom/news-and-activities/943/thaiwatsadu-under-central-retail-joins-forces-with-partnerships-to-launch-thaiwatsadu-bnb-home-expo-2025-the-grandest-expo-big-promotion-for-home-with-unbeatable-discounts-of-up-to-80</x:v>
      </x:c>
      <x:c r="L136" s="4" t="str">
        <x:v>已開原頁並核實機構、文件主題與定性用途；此來源沒有本次原指標附錄數值。</x:v>
      </x:c>
      <x:c r="M136" s="4" t="str">
        <x:v>turn238view2</x:v>
      </x:c>
      <x:c r="N136" s="4" t="str">
        <x:v>Central Retail Corporation</x:v>
      </x:c>
    </x:row>
    <x:row r="137" ht="38" customHeight="1">
      <x:c r="A137" s="4" t="str">
        <x:v>TH17</x:v>
      </x:c>
      <x:c r="B137" s="4" t="str">
        <x:v>About SB Design Square / SB Condo Solutions</x:v>
      </x:c>
      <x:c r="C137" s="4" t="str">
        <x:v>SB Design Square</x:v>
      </x:c>
      <x:c r="D137" s="15" t="str">
        <x:v>2026查閱；頁面未標發布年</x:v>
      </x:c>
      <x:c r="E137" s="4" t="str">
        <x:v>泰文／英文</x:v>
      </x:c>
      <x:c r="F137" s="42" t="b">
        <x:v>1</x:v>
      </x:c>
      <x:c r="G137" s="4" t="str">
        <x:v>C</x:v>
      </x:c>
      <x:c r="H137" s="4" t="str">
        <x:v>opened</x:v>
      </x:c>
      <x:c r="I137" s="4" t="str"/>
      <x:c r="J137" s="4" t="str">
        <x:v>未記錄</x:v>
      </x:c>
      <x:c r="K137" s="24" t="str">
        <x:v>https://www.sbcondosolutions.com/th/page/customer-service/faqs/about</x:v>
      </x:c>
      <x:c r="L137" s="4" t="str">
        <x:v>已開原頁並核實機構、文件主題與定性用途；此來源沒有本次原指標附錄數值。</x:v>
      </x:c>
      <x:c r="M137" s="4" t="str">
        <x:v>turn238view3</x:v>
      </x:c>
      <x:c r="N137" s="4" t="str">
        <x:v>SB Design Square</x:v>
      </x:c>
    </x:row>
    <x:row r="138" ht="38" customHeight="1">
      <x:c r="A138" s="4" t="str">
        <x:v>TH18</x:v>
      </x:c>
      <x:c r="B138" s="4" t="str">
        <x:v>About dwp</x:v>
      </x:c>
      <x:c r="C138" s="4" t="str">
        <x:v>dwp</x:v>
      </x:c>
      <x:c r="D138" s="15" t="str">
        <x:v>2026查閱；頁面未標發布年</x:v>
      </x:c>
      <x:c r="E138" s="4" t="str">
        <x:v>英文</x:v>
      </x:c>
      <x:c r="F138" s="42" t="b">
        <x:v>1</x:v>
      </x:c>
      <x:c r="G138" s="4" t="str">
        <x:v>C</x:v>
      </x:c>
      <x:c r="H138" s="4" t="str">
        <x:v>opened</x:v>
      </x:c>
      <x:c r="I138" s="4" t="str"/>
      <x:c r="J138" s="4" t="str">
        <x:v>未記錄</x:v>
      </x:c>
      <x:c r="K138" s="24" t="str">
        <x:v>https://dwp.com/about</x:v>
      </x:c>
      <x:c r="L138" s="4" t="str">
        <x:v>已開原頁並核實機構、文件主題與定性用途；此來源沒有本次原指標附錄數值。</x:v>
      </x:c>
      <x:c r="M138" s="4" t="str">
        <x:v>turn238view4</x:v>
      </x:c>
      <x:c r="N138" s="4" t="str">
        <x:v>dwp</x:v>
      </x:c>
    </x:row>
    <x:row r="139" ht="38" customHeight="1">
      <x:c r="A139" s="4" t="str">
        <x:v>TH19</x:v>
      </x:c>
      <x:c r="B139" s="4" t="str">
        <x:v>Nature of Business</x:v>
      </x:c>
      <x:c r="C139" s="4" t="str">
        <x:v>Home Product Center Public Company Limited</x:v>
      </x:c>
      <x:c r="D139" s="15" t="n">
        <x:v>2026</x:v>
      </x:c>
      <x:c r="E139" s="4" t="str">
        <x:v>英文</x:v>
      </x:c>
      <x:c r="F139" s="42" t="b">
        <x:v>1</x:v>
      </x:c>
      <x:c r="G139" s="4" t="str">
        <x:v>C</x:v>
      </x:c>
      <x:c r="H139" s="4" t="str">
        <x:v>opened</x:v>
      </x:c>
      <x:c r="I139" s="4" t="str"/>
      <x:c r="J139" s="4" t="str">
        <x:v>未記錄</x:v>
      </x:c>
      <x:c r="K139" s="24" t="str">
        <x:v>https://hmpro.listedcompany.com/nature_business.html</x:v>
      </x:c>
      <x:c r="L139" s="4" t="str">
        <x:v>已開原頁並核實機構、文件主題與定性用途；此來源沒有本次原指標附錄數值。</x:v>
      </x:c>
      <x:c r="M139" s="4" t="str">
        <x:v>turn242view6</x:v>
      </x:c>
      <x:c r="N139" s="4" t="str">
        <x:v>Home Product Center Public Company Limited</x:v>
      </x:c>
    </x:row>
    <x:row r="140" ht="30" customHeight="1">
      <x:c r="A140" s="4" t="str">
        <x:v>TH20</x:v>
      </x:c>
      <x:c r="B140" s="4" t="str">
        <x:v>Thailand Home Decor Market Size, Trends &amp; Report 2034</x:v>
      </x:c>
      <x:c r="C140" s="4" t="str">
        <x:v>IMARC Group</x:v>
      </x:c>
      <x:c r="D140" s="15" t="n">
        <x:v>2026</x:v>
      </x:c>
      <x:c r="E140" s="4" t="str">
        <x:v>英文</x:v>
      </x:c>
      <x:c r="F140" s="42" t="b">
        <x:v>0</x:v>
      </x:c>
      <x:c r="G140" s="4" t="str">
        <x:v>C</x:v>
      </x:c>
      <x:c r="H140" s="4" t="str">
        <x:v>opened</x:v>
      </x:c>
      <x:c r="I140" s="4" t="str"/>
      <x:c r="J140" s="4" t="str">
        <x:v>未記錄</x:v>
      </x:c>
      <x:c r="K140" s="24" t="str">
        <x:v>https://www.imarcgroup.com/thailand-home-decor-market</x:v>
      </x:c>
      <x:c r="L140" s="4" t="str">
        <x:v>IMARC表2025 USD5,086.7m；2034預測USD7,033.9m，產品類型含家具、家紡、地板及其他家飾，非施工。</x:v>
      </x:c>
      <x:c r="M140" s="4" t="str">
        <x:v>turn242view4</x:v>
      </x:c>
      <x:c r="N140" s="4" t="str">
        <x:v>IMARC Group</x:v>
      </x:c>
    </x:row>
    <x:row r="141" ht="38" customHeight="1">
      <x:c r="A141" s="4" t="str">
        <x:v>TH21</x:v>
      </x:c>
      <x:c r="B141" s="4" t="str">
        <x:v>Thailand Interior Design Services Market</x:v>
      </x:c>
      <x:c r="C141" s="4" t="str">
        <x:v>6Wresearch</x:v>
      </x:c>
      <x:c r="D141" s="15" t="n">
        <x:v>2025</x:v>
      </x:c>
      <x:c r="E141" s="4" t="str">
        <x:v>英文</x:v>
      </x:c>
      <x:c r="F141" s="42" t="b">
        <x:v>0</x:v>
      </x:c>
      <x:c r="G141" s="4" t="str">
        <x:v>C</x:v>
      </x:c>
      <x:c r="H141" s="4" t="str">
        <x:v>opened</x:v>
      </x:c>
      <x:c r="I141" s="4" t="str"/>
      <x:c r="J141" s="4" t="str">
        <x:v>未記錄</x:v>
      </x:c>
      <x:c r="K141" s="24" t="str">
        <x:v>https://www.6wresearch.com/industry-report/thailand-interior-design-services-market</x:v>
      </x:c>
      <x:c r="L141" s="4" t="str">
        <x:v>已開原頁並核實機構、文件主題與定性用途；此來源沒有本次原指標附錄數值。</x:v>
      </x:c>
      <x:c r="M141" s="4" t="str">
        <x:v>turn238view7</x:v>
      </x:c>
      <x:c r="N141" s="4" t="str">
        <x:v>6Wresearch</x:v>
      </x:c>
    </x:row>
    <x:row r="142" ht="38" customHeight="1">
      <x:c r="A142" s="4" t="str">
        <x:v>TH22</x:v>
      </x:c>
      <x:c r="B142" s="4" t="str">
        <x:v>Thailand Home Renovation Market</x:v>
      </x:c>
      <x:c r="C142" s="4" t="str">
        <x:v>6Wresearch</x:v>
      </x:c>
      <x:c r="D142" s="15" t="str">
        <x:v>2026查閱</x:v>
      </x:c>
      <x:c r="E142" s="4" t="str">
        <x:v>英文</x:v>
      </x:c>
      <x:c r="F142" s="42" t="b">
        <x:v>0</x:v>
      </x:c>
      <x:c r="G142" s="4" t="str">
        <x:v>C</x:v>
      </x:c>
      <x:c r="H142" s="4" t="str">
        <x:v>opened</x:v>
      </x:c>
      <x:c r="I142" s="4" t="str"/>
      <x:c r="J142" s="4" t="str">
        <x:v>未記錄</x:v>
      </x:c>
      <x:c r="K142" s="24" t="str">
        <x:v>https://www.6wresearch.com/industry-report/thailand-home-renovation-market</x:v>
      </x:c>
      <x:c r="L142" s="4" t="str">
        <x:v>已開原頁並核實機構、文件主題與定性用途；此來源沒有本次原指標附錄數值。</x:v>
      </x:c>
      <x:c r="M142" s="4" t="str">
        <x:v>turn238view8</x:v>
      </x:c>
      <x:c r="N142" s="4" t="str">
        <x:v>6Wresearch</x:v>
      </x:c>
    </x:row>
    <x:row r="143" ht="38" customHeight="1">
      <x:c r="A143" s="4" t="str">
        <x:v>TH23</x:v>
      </x:c>
      <x:c r="B143" s="4" t="str">
        <x:v>ภาพรวมองค์กร / Corporate Overview</x:v>
      </x:c>
      <x:c r="C143" s="4" t="str">
        <x:v>Siam Global House PCL</x:v>
      </x:c>
      <x:c r="D143" s="15" t="str">
        <x:v>2026查閱；頁面未標發布年</x:v>
      </x:c>
      <x:c r="E143" s="4" t="str">
        <x:v>泰文</x:v>
      </x:c>
      <x:c r="F143" s="42" t="b">
        <x:v>1</x:v>
      </x:c>
      <x:c r="G143" s="4" t="str">
        <x:v>C</x:v>
      </x:c>
      <x:c r="H143" s="4" t="str">
        <x:v>opened</x:v>
      </x:c>
      <x:c r="I143" s="4" t="str"/>
      <x:c r="J143" s="4" t="str">
        <x:v>未記錄</x:v>
      </x:c>
      <x:c r="K143" s="24" t="str">
        <x:v>https://investor.globalhouse.co.th/th/about-global/corporate-overview</x:v>
      </x:c>
      <x:c r="L143" s="4" t="str">
        <x:v>已開原頁並核實機構、文件主題與定性用途；此來源沒有本次原指標附錄數值。</x:v>
      </x:c>
      <x:c r="M143" s="4" t="str">
        <x:v>turn238view9</x:v>
      </x:c>
      <x:c r="N143" s="4" t="str">
        <x:v>Siam Global House PCL</x:v>
      </x:c>
    </x:row>
    <x:row r="144" ht="66" customHeight="1">
      <x:c r="A144" s="4" t="str">
        <x:v>TH24</x:v>
      </x:c>
      <x:c r="B144" s="4" t="str">
        <x:v>อัตราค่าจ้างขั้นต่ำ ปี 2568, effective 1 July 2025</x:v>
      </x:c>
      <x:c r="C144" s="4" t="str">
        <x:v>Ministry of Labour / Wage Committee</x:v>
      </x:c>
      <x:c r="D144" s="15" t="n">
        <x:v>2025</x:v>
      </x:c>
      <x:c r="E144" s="4" t="str">
        <x:v>泰文</x:v>
      </x:c>
      <x:c r="F144" s="42" t="b">
        <x:v>1</x:v>
      </x:c>
      <x:c r="G144" s="4" t="str">
        <x:v>D</x:v>
      </x:c>
      <x:c r="H144" s="4" t="str">
        <x:v>fail</x:v>
      </x:c>
      <x:c r="I144" s="4" t="str"/>
      <x:c r="J144" s="4" t="str">
        <x:v>未記錄</x:v>
      </x:c>
      <x:c r="K144" s="24" t="str">
        <x:v>https://www.mol.go.th/wp-content/uploads/sites/2/2025/07/%E0%B8%9B%E0%B8%A3%E0%B8%81%E0%B8%B2%E0%B8%A8-%E0%B8%84%E0%B8%88.%E0%B8%82%E0%B8%B1%E0%B9%89%E0%B8%99%E0%B8%95%E0%B9%88%E0%B8%B3-%E0%B8%8914-%E0%B8%A3%E0%B8%A7%E0%B8%A1.pdf</x:v>
      </x:c>
      <x:c r="L144" s="4" t="str">
        <x:v>原PDF本輪工具開啟失敗；直接下載僅957 bytes HTML防護頁。不得以既有opened:true通過。另增TH25主管機關HTML核對。</x:v>
      </x:c>
      <x:c r="M144" s="4" t="str">
        <x:v>turn238view10</x:v>
      </x:c>
      <x:c r="N144" s="4" t="str">
        <x:v>Ministry of Labour Thailand</x:v>
      </x:c>
    </x:row>
    <x:row r="145" ht="38" customHeight="1">
      <x:c r="A145" s="4" t="str">
        <x:v>VN01</x:v>
      </x:c>
      <x:c r="B145" s="4" t="str">
        <x:v>Thông cáo báo chí tình hình kinh tế – xã hội quý IV và năm 2024</x:v>
      </x:c>
      <x:c r="C145" s="4" t="str">
        <x:v>General Statistics Office / NSO Vietnam</x:v>
      </x:c>
      <x:c r="D145" s="15" t="n">
        <x:v>2025</x:v>
      </x:c>
      <x:c r="E145" s="4" t="str">
        <x:v>越文</x:v>
      </x:c>
      <x:c r="F145" s="4" t="str">
        <x:v>VN</x:v>
      </x:c>
      <x:c r="G145" s="4" t="str">
        <x:v>A</x:v>
      </x:c>
      <x:c r="H145" s="4" t="str">
        <x:v>opened</x:v>
      </x:c>
      <x:c r="I145" s="4" t="str"/>
      <x:c r="J145" s="4" t="str">
        <x:v>未記錄</x:v>
      </x:c>
      <x:c r="K145" s="24" t="str">
        <x:v>https://www.nso.gov.vn/du-lieu-va-so-lieu-thong-ke/2025/01/thong-cao-bao-chi-tinh-hinh-kinh-te-xa-hoi-quy-iv-va-nam-2024/</x:v>
      </x:c>
      <x:c r="L145" s="4" t="str">
        <x:v>已開啟原文；來源層級與指標獨立來源數分開判定。</x:v>
      </x:c>
      <x:c r="M145" s="4" t="str">
        <x:v>turn183view0</x:v>
      </x:c>
      <x:c r="N145" s="4" t="str">
        <x:v>General Statistics Office / NSO Vietnam</x:v>
      </x:c>
    </x:row>
    <x:row r="146" ht="38" customHeight="1">
      <x:c r="A146" s="4" t="str">
        <x:v>VN02</x:v>
      </x:c>
      <x:c r="B146" s="4" t="str">
        <x:v>Thông cáo báo chí Kết quả Điều tra dân số và nhà ở giữa kỳ năm 2024</x:v>
      </x:c>
      <x:c r="C146" s="4" t="str">
        <x:v>NSO Vietnam</x:v>
      </x:c>
      <x:c r="D146" s="15" t="n">
        <x:v>2025</x:v>
      </x:c>
      <x:c r="E146" s="4" t="str">
        <x:v>越文</x:v>
      </x:c>
      <x:c r="F146" s="4" t="str">
        <x:v>VN</x:v>
      </x:c>
      <x:c r="G146" s="4" t="str">
        <x:v>A</x:v>
      </x:c>
      <x:c r="H146" s="4" t="str">
        <x:v>opened</x:v>
      </x:c>
      <x:c r="I146" s="4" t="str"/>
      <x:c r="J146" s="4" t="str">
        <x:v>未記錄</x:v>
      </x:c>
      <x:c r="K146" s="24" t="str">
        <x:v>https://www.nso.gov.vn/du-lieu-va-so-lieu-thong-ke/2025/01/thong-cao-bao-chi-ket-qua-dieu-tra-dan-so-va-nha-o-giua-ky-nam-2024/</x:v>
      </x:c>
      <x:c r="L146" s="4" t="str">
        <x:v>已開啟原文；來源層級與指標獨立來源數分開判定。</x:v>
      </x:c>
      <x:c r="M146" s="4" t="str">
        <x:v>turn183view1</x:v>
      </x:c>
      <x:c r="N146" s="4" t="str">
        <x:v>NSO Vietnam</x:v>
      </x:c>
    </x:row>
    <x:row r="147" ht="38" customHeight="1">
      <x:c r="A147" s="4" t="str">
        <x:v>VN03</x:v>
      </x:c>
      <x:c r="B147" s="4" t="str">
        <x:v>Nghị định 175/2024/NĐ-CP về quản lý hoạt động xây dựng</x:v>
      </x:c>
      <x:c r="C147" s="4" t="str">
        <x:v>越南政府政策入口</x:v>
      </x:c>
      <x:c r="D147" s="15" t="n">
        <x:v>2024</x:v>
      </x:c>
      <x:c r="E147" s="4" t="str">
        <x:v>越文</x:v>
      </x:c>
      <x:c r="F147" s="4" t="str">
        <x:v>VN</x:v>
      </x:c>
      <x:c r="G147" s="4" t="str">
        <x:v>A</x:v>
      </x:c>
      <x:c r="H147" s="4" t="str">
        <x:v>opened</x:v>
      </x:c>
      <x:c r="I147" s="4" t="str"/>
      <x:c r="J147" s="4" t="str">
        <x:v>未記錄</x:v>
      </x:c>
      <x:c r="K147" s="24" t="str">
        <x:v>https://xaydungchinhsach.chinhphu.vn/nghi-dinh-so-175-2024-nd-cp-ve-quan-ly-hoat-dong-xay-dung-119241231085735892.htm</x:v>
      </x:c>
      <x:c r="L147" s="4" t="str">
        <x:v>已開啟原文；來源層級與指標獨立來源數分開判定。</x:v>
      </x:c>
      <x:c r="M147" s="4" t="str">
        <x:v>turn183view2</x:v>
      </x:c>
      <x:c r="N147" s="4" t="str">
        <x:v>越南政府政策入口</x:v>
      </x:c>
    </x:row>
    <x:row r="148" ht="38" customHeight="1">
      <x:c r="A148" s="4" t="str">
        <x:v>VN04</x:v>
      </x:c>
      <x:c r="B148" s="4" t="str">
        <x:v>Thiết kế nội thất</x:v>
      </x:c>
      <x:c r="C148" s="4" t="str">
        <x:v>Nhà Xinh</x:v>
      </x:c>
      <x:c r="D148" s="15" t="n">
        <x:v>2026</x:v>
      </x:c>
      <x:c r="E148" s="4" t="str">
        <x:v>越文</x:v>
      </x:c>
      <x:c r="F148" s="4" t="str">
        <x:v>VN</x:v>
      </x:c>
      <x:c r="G148" s="4" t="str">
        <x:v>D</x:v>
      </x:c>
      <x:c r="H148" s="4" t="str">
        <x:v>failed</x:v>
      </x:c>
      <x:c r="I148" s="4" t="str"/>
      <x:c r="J148" s="4" t="str">
        <x:v>未記錄</x:v>
      </x:c>
      <x:c r="K148" s="24" t="str">
        <x:v>https://nhaxinh.com/thiet-ke-noi-that/?srsltid=AU7gw4XcKVLbl5rR-wd-opz7c0t8d3687qivUsOhDFqTQb2LtzGBUo_5</x:v>
      </x:c>
      <x:c r="L148" s="4" t="str">
        <x:v>原帶 srsltid 的網址此次開啟失敗；另以乾淨網址實讀並建立 VN14，原 URL 不採用。</x:v>
      </x:c>
      <x:c r="M148" s="4" t="str">
        <x:v>turn183view3</x:v>
      </x:c>
      <x:c r="N148" s="4" t="str">
        <x:v>Nhà Xinh</x:v>
      </x:c>
    </x:row>
    <x:row r="149" ht="30" customHeight="1">
      <x:c r="A149" s="4" t="str">
        <x:v>VN05</x:v>
      </x:c>
      <x:c r="B149" s="4" t="str">
        <x:v>Bảng Báo Giá Thiết Kế Nội Thất Mới Nhất 2026</x:v>
      </x:c>
      <x:c r="C149" s="4" t="str">
        <x:v>Doctor Nội Thất</x:v>
      </x:c>
      <x:c r="D149" s="15" t="n">
        <x:v>2026</x:v>
      </x:c>
      <x:c r="E149" s="4" t="str">
        <x:v>越文</x:v>
      </x:c>
      <x:c r="F149" s="4" t="str">
        <x:v>VN</x:v>
      </x:c>
      <x:c r="G149" s="4" t="str">
        <x:v>C</x:v>
      </x:c>
      <x:c r="H149" s="4" t="str">
        <x:v>opened</x:v>
      </x:c>
      <x:c r="I149" s="4" t="str"/>
      <x:c r="J149" s="4" t="str">
        <x:v>未記錄</x:v>
      </x:c>
      <x:c r="K149" s="24" t="str">
        <x:v>https://doctornoithat.com/bao-gia-thiet-ke-noi-that/</x:v>
      </x:c>
      <x:c r="L149" s="4" t="str">
        <x:v>已開啟原文；來源層級與指標獨立來源數分開判定。</x:v>
      </x:c>
      <x:c r="M149" s="4" t="str">
        <x:v>turn183view4</x:v>
      </x:c>
      <x:c r="N149" s="4" t="str">
        <x:v>Doctor Nội Thất</x:v>
      </x:c>
    </x:row>
    <x:row r="150" ht="38" customHeight="1">
      <x:c r="A150" s="4" t="str">
        <x:v>VN06</x:v>
      </x:c>
      <x:c r="B150" s="4" t="str">
        <x:v>Cần thiết bổ sung quy định xử phạt hành vi buôn bán hàng giả, bảo vệ quyền lợi người tiêu dùng</x:v>
      </x:c>
      <x:c r="C150" s="4" t="str">
        <x:v>越南政府新聞網</x:v>
      </x:c>
      <x:c r="D150" s="15" t="n">
        <x:v>2024</x:v>
      </x:c>
      <x:c r="E150" s="4" t="str">
        <x:v>越文</x:v>
      </x:c>
      <x:c r="F150" s="4" t="str">
        <x:v>VN</x:v>
      </x:c>
      <x:c r="G150" s="4" t="str">
        <x:v>A</x:v>
      </x:c>
      <x:c r="H150" s="4" t="str">
        <x:v>opened</x:v>
      </x:c>
      <x:c r="I150" s="4" t="str"/>
      <x:c r="J150" s="4" t="str">
        <x:v>未記錄</x:v>
      </x:c>
      <x:c r="K150" s="24" t="str">
        <x:v>https://baochinhphu.vn/can-thiet-bo-sung-quy-dinh-xu-phat-hanh-vi-buon-ban-hang-gia-bao-ve-quyen-loi-nguoi-tieu-dung-102240318104029579.htm</x:v>
      </x:c>
      <x:c r="L150" s="4" t="str">
        <x:v>已開啟原文；來源層級與指標獨立來源數分開判定。</x:v>
      </x:c>
      <x:c r="M150" s="4" t="str">
        <x:v>turn183view5</x:v>
      </x:c>
      <x:c r="N150" s="4" t="str">
        <x:v>越南政府新聞網</x:v>
      </x:c>
    </x:row>
    <x:row r="151" ht="38" customHeight="1">
      <x:c r="A151" s="4" t="str">
        <x:v>VN07</x:v>
      </x:c>
      <x:c r="B151" s="4" t="str">
        <x:v>2026 AGM Resolution / 2025 Business Results</x:v>
      </x:c>
      <x:c r="C151" s="4" t="str">
        <x:v>An Cường Wood Working JSC</x:v>
      </x:c>
      <x:c r="D151" s="15" t="n">
        <x:v>2026</x:v>
      </x:c>
      <x:c r="E151" s="4" t="str">
        <x:v>越文／英文</x:v>
      </x:c>
      <x:c r="F151" s="4" t="str">
        <x:v>VN</x:v>
      </x:c>
      <x:c r="G151" s="4" t="str">
        <x:v>A</x:v>
      </x:c>
      <x:c r="H151" s="4" t="str">
        <x:v>opened</x:v>
      </x:c>
      <x:c r="I151" s="4" t="str"/>
      <x:c r="J151" s="4" t="str">
        <x:v>未記錄</x:v>
      </x:c>
      <x:c r="K151" s="24" t="str">
        <x:v>https://ancuong.com/pictures/files/pdf/acg-2026/ACG%202026%200805%20-%20Nghi%20quyet%20DHDCD%20thuong%20nien%202026%20%5BVN-EN%5D.pdf</x:v>
      </x:c>
      <x:c r="L151" s="4" t="str">
        <x:v>已開啟原文；來源層級與指標獨立來源數分開判定。</x:v>
      </x:c>
      <x:c r="M151" s="4" t="str">
        <x:v>turn183view6</x:v>
      </x:c>
      <x:c r="N151" s="4" t="str">
        <x:v>An Cường Wood Working JSC</x:v>
      </x:c>
    </x:row>
    <x:row r="152" ht="30" customHeight="1">
      <x:c r="A152" s="4" t="str">
        <x:v>VN08</x:v>
      </x:c>
      <x:c r="B152" s="4" t="str">
        <x:v>Luật số 135/2025/QH15: Luật Xây dựng</x:v>
      </x:c>
      <x:c r="C152" s="4" t="str">
        <x:v>越南國會／政府法規入口</x:v>
      </x:c>
      <x:c r="D152" s="15" t="n">
        <x:v>2025</x:v>
      </x:c>
      <x:c r="E152" s="4" t="str">
        <x:v>越文</x:v>
      </x:c>
      <x:c r="F152" s="4" t="str">
        <x:v>VN</x:v>
      </x:c>
      <x:c r="G152" s="4" t="str">
        <x:v>A</x:v>
      </x:c>
      <x:c r="H152" s="4" t="str">
        <x:v>opened</x:v>
      </x:c>
      <x:c r="I152" s="4" t="str"/>
      <x:c r="J152" s="4" t="str">
        <x:v>未記錄</x:v>
      </x:c>
      <x:c r="K152" s="24" t="str">
        <x:v>https://chinhphu.vn/?classid=1&amp;docid=216514&amp;pageid=27160&amp;typegroupid=3</x:v>
      </x:c>
      <x:c r="L152" s="4" t="str">
        <x:v>已開啟原文；來源層級與指標獨立來源數分開判定。</x:v>
      </x:c>
      <x:c r="M152" s="4" t="str">
        <x:v>turn186view0</x:v>
      </x:c>
      <x:c r="N152" s="4" t="str">
        <x:v>越南國會／政府法規入口</x:v>
      </x:c>
    </x:row>
    <x:row r="153" ht="38" customHeight="1">
      <x:c r="A153" s="4" t="str">
        <x:v>VN09</x:v>
      </x:c>
      <x:c r="B153" s="4" t="str">
        <x:v>Nghị định số 339/2026/NĐ-CP</x:v>
      </x:c>
      <x:c r="C153" s="4" t="str">
        <x:v>越南政府法規入口</x:v>
      </x:c>
      <x:c r="D153" s="15" t="n">
        <x:v>2026</x:v>
      </x:c>
      <x:c r="E153" s="4" t="str">
        <x:v>越文</x:v>
      </x:c>
      <x:c r="F153" s="4" t="str">
        <x:v>VN</x:v>
      </x:c>
      <x:c r="G153" s="4" t="str">
        <x:v>A</x:v>
      </x:c>
      <x:c r="H153" s="4" t="str">
        <x:v>opened</x:v>
      </x:c>
      <x:c r="I153" s="4" t="str"/>
      <x:c r="J153" s="4" t="str">
        <x:v>未記錄</x:v>
      </x:c>
      <x:c r="K153" s="24" t="str">
        <x:v>https://vanban.chinhphu.vn/?classid=1&amp;docid=219369&amp;orggroupid=2&amp;pageid=27160</x:v>
      </x:c>
      <x:c r="L153" s="4" t="str">
        <x:v>已開啟原文；來源層級與指標獨立來源數分開判定。</x:v>
      </x:c>
      <x:c r="M153" s="4" t="str">
        <x:v>turn186view1</x:v>
      </x:c>
      <x:c r="N153" s="4" t="str">
        <x:v>越南政府法規入口</x:v>
      </x:c>
    </x:row>
    <x:row r="154" ht="38" customHeight="1">
      <x:c r="A154" s="4" t="str">
        <x:v>VN10</x:v>
      </x:c>
      <x:c r="B154" s="4" t="str">
        <x:v>Luật Xây dựng 2025 số 135/2025/QH15 全文（法律資料庫轉載）</x:v>
      </x:c>
      <x:c r="C154" s="4" t="str">
        <x:v>越南國會；Thư Viện Pháp Luật轉載</x:v>
      </x:c>
      <x:c r="D154" s="15" t="n">
        <x:v>2025</x:v>
      </x:c>
      <x:c r="E154" s="4" t="str">
        <x:v>越文</x:v>
      </x:c>
      <x:c r="F154" s="4" t="str">
        <x:v>VN</x:v>
      </x:c>
      <x:c r="G154" s="4" t="str">
        <x:v>A</x:v>
      </x:c>
      <x:c r="H154" s="4" t="str">
        <x:v>opened</x:v>
      </x:c>
      <x:c r="I154" s="4" t="str"/>
      <x:c r="J154" s="4" t="str">
        <x:v>未記錄</x:v>
      </x:c>
      <x:c r="K154" s="24" t="str">
        <x:v>https://thuvienphapluat.vn/van-ban/Xay-dung-Do-thi/Luat-Xay-dung-2025-so-135-2025-QH15-675213.aspx</x:v>
      </x:c>
      <x:c r="L154" s="4" t="str">
        <x:v>已開啟原文；來源層級與指標獨立來源數分開判定。</x:v>
      </x:c>
      <x:c r="M154" s="4" t="str">
        <x:v>turn186view2</x:v>
      </x:c>
      <x:c r="N154" s="4" t="str">
        <x:v>越南國會；Thư Viện Pháp Luật轉載</x:v>
      </x:c>
    </x:row>
    <x:row r="155" ht="38" customHeight="1">
      <x:c r="A155" s="4" t="str">
        <x:v>VN11</x:v>
      </x:c>
      <x:c r="B155" s="4" t="str">
        <x:v>Vietnam Home Improvement Market Growth Report 2031</x:v>
      </x:c>
      <x:c r="C155" s="4" t="str">
        <x:v>Mordor Intelligence</x:v>
      </x:c>
      <x:c r="D155" s="15" t="n">
        <x:v>2026</x:v>
      </x:c>
      <x:c r="E155" s="4" t="str">
        <x:v>英文</x:v>
      </x:c>
      <x:c r="F155" s="4" t="str">
        <x:v>VN</x:v>
      </x:c>
      <x:c r="G155" s="4" t="str">
        <x:v>C</x:v>
      </x:c>
      <x:c r="H155" s="4" t="str">
        <x:v>opened</x:v>
      </x:c>
      <x:c r="I155" s="4" t="str"/>
      <x:c r="J155" s="4" t="str">
        <x:v>未記錄</x:v>
      </x:c>
      <x:c r="K155" s="24" t="str">
        <x:v>https://www.mordorintelligence.com/industry-reports/vietnam-home-improvement-market</x:v>
      </x:c>
      <x:c r="L155" s="4" t="str">
        <x:v>已開啟原文；來源層級與指標獨立來源數分開判定。</x:v>
      </x:c>
      <x:c r="M155" s="4" t="str">
        <x:v>turn186view3</x:v>
      </x:c>
      <x:c r="N155" s="4" t="str">
        <x:v>Mordor Intelligence</x:v>
      </x:c>
    </x:row>
    <x:row r="156" ht="38" customHeight="1">
      <x:c r="A156" s="4" t="str">
        <x:v>VN12</x:v>
      </x:c>
      <x:c r="B156" s="4" t="str">
        <x:v>Vietnam Home Furniture Market Data 2031</x:v>
      </x:c>
      <x:c r="C156" s="4" t="str">
        <x:v>Mordor Intelligence</x:v>
      </x:c>
      <x:c r="D156" s="15" t="n">
        <x:v>2026</x:v>
      </x:c>
      <x:c r="E156" s="4" t="str">
        <x:v>英文</x:v>
      </x:c>
      <x:c r="F156" s="4" t="str">
        <x:v>VN</x:v>
      </x:c>
      <x:c r="G156" s="4" t="str">
        <x:v>C</x:v>
      </x:c>
      <x:c r="H156" s="4" t="str">
        <x:v>opened</x:v>
      </x:c>
      <x:c r="I156" s="4" t="str"/>
      <x:c r="J156" s="4" t="str">
        <x:v>未記錄</x:v>
      </x:c>
      <x:c r="K156" s="24" t="str">
        <x:v>https://www.mordorintelligence.com/industry-reports/vietnam-home-furniture-market</x:v>
      </x:c>
      <x:c r="L156" s="4" t="str">
        <x:v>已開啟原文；來源層級與指標獨立來源數分開判定。</x:v>
      </x:c>
      <x:c r="M156" s="4" t="str">
        <x:v>turn186view4</x:v>
      </x:c>
      <x:c r="N156" s="4" t="str">
        <x:v>Mordor Intelligence</x:v>
      </x:c>
    </x:row>
    <x:row r="157" ht="38" customHeight="1">
      <x:c r="A157" s="4" t="str">
        <x:v>VN13</x:v>
      </x:c>
      <x:c r="B157" s="4" t="str">
        <x:v>Vietnam Furniture Market Size &amp; Industry Forecast 2031</x:v>
      </x:c>
      <x:c r="C157" s="4" t="str">
        <x:v>Mordor Intelligence</x:v>
      </x:c>
      <x:c r="D157" s="15" t="n">
        <x:v>2026</x:v>
      </x:c>
      <x:c r="E157" s="4" t="str">
        <x:v>英文</x:v>
      </x:c>
      <x:c r="F157" s="4" t="str">
        <x:v>VN</x:v>
      </x:c>
      <x:c r="G157" s="4" t="str">
        <x:v>C</x:v>
      </x:c>
      <x:c r="H157" s="4" t="str">
        <x:v>opened</x:v>
      </x:c>
      <x:c r="I157" s="4" t="str"/>
      <x:c r="J157" s="4" t="str">
        <x:v>未記錄</x:v>
      </x:c>
      <x:c r="K157" s="24" t="str">
        <x:v>https://www.mordorintelligence.com/industry-reports/vietnam-furniture-market</x:v>
      </x:c>
      <x:c r="L157" s="4" t="str">
        <x:v>已開啟原文；來源層級與指標獨立來源數分開判定。</x:v>
      </x:c>
      <x:c r="M157" s="4" t="str">
        <x:v>turn186view5</x:v>
      </x:c>
      <x:c r="N157" s="4" t="str">
        <x:v>Mordor Intelligence</x:v>
      </x:c>
    </x:row>
    <x:row r="158" ht="38" customHeight="1">
      <x:c r="A158" s="4" t="str">
        <x:v>ID01</x:v>
      </x:c>
      <x:c r="B158" s="4" t="str">
        <x:v>Ekonomi Indonesia Tahun 2024 Tumbuh 5,03 Persen</x:v>
      </x:c>
      <x:c r="C158" s="4" t="str">
        <x:v>Badan Pusat Statistik</x:v>
      </x:c>
      <x:c r="D158" s="15" t="n">
        <x:v>2025</x:v>
      </x:c>
      <x:c r="E158" s="4" t="str">
        <x:v>印尼文</x:v>
      </x:c>
      <x:c r="F158" s="4" t="str">
        <x:v>ID</x:v>
      </x:c>
      <x:c r="G158" s="4" t="str">
        <x:v>A</x:v>
      </x:c>
      <x:c r="H158" s="4" t="str">
        <x:v>opened</x:v>
      </x:c>
      <x:c r="I158" s="4" t="str"/>
      <x:c r="J158" s="4" t="str">
        <x:v>未記錄</x:v>
      </x:c>
      <x:c r="K158" s="24" t="str">
        <x:v>https://www.bps.go.id/id/pressrelease/2025/02/05/2408/economic-growth.html</x:v>
      </x:c>
      <x:c r="L158" s="4" t="str">
        <x:v>已開啟原文；來源層級與指標獨立來源數分開判定。</x:v>
      </x:c>
      <x:c r="M158" s="4" t="str">
        <x:v>turn186view6</x:v>
      </x:c>
      <x:c r="N158" s="4" t="str">
        <x:v>Badan Pusat Statistik</x:v>
      </x:c>
    </x:row>
    <x:row r="159" ht="30" customHeight="1">
      <x:c r="A159" s="4" t="str">
        <x:v>ID02</x:v>
      </x:c>
      <x:c r="B159" s="4" t="str">
        <x:v>PP No.14 Tahun 2021（建築服務條例修正）</x:v>
      </x:c>
      <x:c r="C159" s="4" t="str">
        <x:v>JDIH BPK</x:v>
      </x:c>
      <x:c r="D159" s="15" t="n">
        <x:v>2021</x:v>
      </x:c>
      <x:c r="E159" s="4" t="str">
        <x:v>印尼文</x:v>
      </x:c>
      <x:c r="F159" s="4" t="str">
        <x:v>ID</x:v>
      </x:c>
      <x:c r="G159" s="4" t="str">
        <x:v>A</x:v>
      </x:c>
      <x:c r="H159" s="4" t="str">
        <x:v>opened</x:v>
      </x:c>
      <x:c r="I159" s="4" t="str"/>
      <x:c r="J159" s="4" t="str">
        <x:v>未記錄</x:v>
      </x:c>
      <x:c r="K159" s="24" t="str">
        <x:v>https://peraturan.bpk.go.id/Details/161844/pp-no-14-tahun-2021</x:v>
      </x:c>
      <x:c r="L159" s="4" t="str">
        <x:v>已開啟原文；來源層級與指標獨立來源數分開判定。</x:v>
      </x:c>
      <x:c r="M159" s="4" t="str">
        <x:v>turn189view0</x:v>
      </x:c>
      <x:c r="N159" s="4" t="str">
        <x:v>JDIH BPK</x:v>
      </x:c>
    </x:row>
    <x:row r="160" ht="30" customHeight="1">
      <x:c r="A160" s="4" t="str">
        <x:v>ID03</x:v>
      </x:c>
      <x:c r="B160" s="4" t="str">
        <x:v>About INFORMA</x:v>
      </x:c>
      <x:c r="C160" s="4" t="str">
        <x:v>PT Home Center Indonesia</x:v>
      </x:c>
      <x:c r="D160" s="15" t="n">
        <x:v>2026</x:v>
      </x:c>
      <x:c r="E160" s="4" t="str">
        <x:v>英文</x:v>
      </x:c>
      <x:c r="F160" s="4" t="str">
        <x:v>ID</x:v>
      </x:c>
      <x:c r="G160" s="4" t="str">
        <x:v>C</x:v>
      </x:c>
      <x:c r="H160" s="4" t="str">
        <x:v>opened</x:v>
      </x:c>
      <x:c r="I160" s="4" t="str"/>
      <x:c r="J160" s="4" t="str">
        <x:v>未記錄</x:v>
      </x:c>
      <x:c r="K160" s="24" t="str">
        <x:v>https://informa.co.id/company</x:v>
      </x:c>
      <x:c r="L160" s="4" t="str">
        <x:v>已開啟原文；來源層級與指標獨立來源數分開判定。</x:v>
      </x:c>
      <x:c r="M160" s="4" t="str">
        <x:v>turn189view1</x:v>
      </x:c>
      <x:c r="N160" s="4" t="str">
        <x:v>PT Home Center Indonesia</x:v>
      </x:c>
    </x:row>
    <x:row r="161" ht="30" customHeight="1">
      <x:c r="A161" s="4" t="str">
        <x:v>ID04</x:v>
      </x:c>
      <x:c r="B161" s="4" t="str">
        <x:v>Kawan Lama Group - Bisnis Multisektor di Indonesia</x:v>
      </x:c>
      <x:c r="C161" s="4" t="str">
        <x:v>Kawan Lama Group</x:v>
      </x:c>
      <x:c r="D161" s="15" t="n">
        <x:v>2026</x:v>
      </x:c>
      <x:c r="E161" s="4" t="str">
        <x:v>印尼文</x:v>
      </x:c>
      <x:c r="F161" s="4" t="str">
        <x:v>ID</x:v>
      </x:c>
      <x:c r="G161" s="4" t="str">
        <x:v>C</x:v>
      </x:c>
      <x:c r="H161" s="4" t="str">
        <x:v>opened</x:v>
      </x:c>
      <x:c r="I161" s="4" t="str"/>
      <x:c r="J161" s="4" t="str">
        <x:v>未記錄</x:v>
      </x:c>
      <x:c r="K161" s="24" t="str">
        <x:v>https://www.kawanlamagroup.com/</x:v>
      </x:c>
      <x:c r="L161" s="4" t="str">
        <x:v>已開啟原文；來源層級與指標獨立來源數分開判定。</x:v>
      </x:c>
      <x:c r="M161" s="4" t="str">
        <x:v>turn189view2</x:v>
      </x:c>
      <x:c r="N161" s="4" t="str">
        <x:v>Kawan Lama Group</x:v>
      </x:c>
    </x:row>
    <x:row r="162" ht="38" customHeight="1">
      <x:c r="A162" s="4" t="str">
        <x:v>ID05</x:v>
      </x:c>
      <x:c r="B162" s="4" t="str">
        <x:v>Laporan Tahunan 2024 PT Global Digital Niaga Tbk</x:v>
      </x:c>
      <x:c r="C162" s="4" t="str">
        <x:v>Blibli / PT Global Digital Niaga Tbk</x:v>
      </x:c>
      <x:c r="D162" s="15" t="n">
        <x:v>2025</x:v>
      </x:c>
      <x:c r="E162" s="4" t="str">
        <x:v>印尼文／英文</x:v>
      </x:c>
      <x:c r="F162" s="4" t="str">
        <x:v>ID</x:v>
      </x:c>
      <x:c r="G162" s="4" t="str">
        <x:v>A</x:v>
      </x:c>
      <x:c r="H162" s="4" t="str">
        <x:v>opened</x:v>
      </x:c>
      <x:c r="I162" s="4" t="str"/>
      <x:c r="J162" s="4" t="str">
        <x:v>未記錄</x:v>
      </x:c>
      <x:c r="K162" s="24" t="str">
        <x:v>https://asset-about.blibli.com/2025/04/Laporan-Tahunan-2024-PT-Global-Digital-Niaga-Tbk-.pdf</x:v>
      </x:c>
      <x:c r="L162" s="4" t="str">
        <x:v>已開啟原文；來源層級與指標獨立來源數分開判定。</x:v>
      </x:c>
      <x:c r="M162" s="4" t="str">
        <x:v>turn189view3</x:v>
      </x:c>
      <x:c r="N162" s="4" t="str">
        <x:v>Blibli / PT Global Digital Niaga Tbk</x:v>
      </x:c>
    </x:row>
    <x:row r="163" ht="38" customHeight="1">
      <x:c r="A163" s="4" t="str">
        <x:v>ID06</x:v>
      </x:c>
      <x:c r="B163" s="4" t="str">
        <x:v>Frequently Asked Question (FAQ) Proyek Desain Interior</x:v>
      </x:c>
      <x:c r="C163" s="4" t="str">
        <x:v>Dekoruma Help Center</x:v>
      </x:c>
      <x:c r="D163" s="15" t="n">
        <x:v>2025</x:v>
      </x:c>
      <x:c r="E163" s="4" t="str">
        <x:v>印尼文</x:v>
      </x:c>
      <x:c r="F163" s="4" t="str">
        <x:v>ID</x:v>
      </x:c>
      <x:c r="G163" s="4" t="str">
        <x:v>C</x:v>
      </x:c>
      <x:c r="H163" s="4" t="str">
        <x:v>opened</x:v>
      </x:c>
      <x:c r="I163" s="4" t="str"/>
      <x:c r="J163" s="4" t="str">
        <x:v>未記錄</x:v>
      </x:c>
      <x:c r="K163" s="24" t="str">
        <x:v>https://dekoruma.freshdesk.com/support/solutions/articles/17000118208-frequently-asked-question-faq-proyek-desain-interior</x:v>
      </x:c>
      <x:c r="L163" s="4" t="str">
        <x:v>已開啟原文；來源層級與指標獨立來源數分開判定。</x:v>
      </x:c>
      <x:c r="M163" s="4" t="str">
        <x:v>turn189view4</x:v>
      </x:c>
      <x:c r="N163" s="4" t="str">
        <x:v>Dekoruma Help Center</x:v>
      </x:c>
    </x:row>
    <x:row r="164" ht="30" customHeight="1">
      <x:c r="A164" s="4" t="str">
        <x:v>ID07</x:v>
      </x:c>
      <x:c r="B164" s="4" t="str">
        <x:v>Detail konversi · 74120 → 74191</x:v>
      </x:c>
      <x:c r="C164" s="4" t="str">
        <x:v>OSS / BKPM</x:v>
      </x:c>
      <x:c r="D164" s="15" t="n">
        <x:v>2026</x:v>
      </x:c>
      <x:c r="E164" s="4" t="str">
        <x:v>印尼文</x:v>
      </x:c>
      <x:c r="F164" s="4" t="str">
        <x:v>ID</x:v>
      </x:c>
      <x:c r="G164" s="4" t="str">
        <x:v>A</x:v>
      </x:c>
      <x:c r="H164" s="4" t="str">
        <x:v>opened</x:v>
      </x:c>
      <x:c r="I164" s="4" t="str"/>
      <x:c r="J164" s="4" t="str">
        <x:v>未記錄</x:v>
      </x:c>
      <x:c r="K164" s="24" t="str">
        <x:v>https://oss.go.id/id/kbli/konversi/74120</x:v>
      </x:c>
      <x:c r="L164" s="4" t="str">
        <x:v>已開啟原文；來源層級與指標獨立來源數分開判定。</x:v>
      </x:c>
      <x:c r="M164" s="4" t="str">
        <x:v>turn189view5</x:v>
      </x:c>
      <x:c r="N164" s="4" t="str">
        <x:v>OSS / BKPM</x:v>
      </x:c>
    </x:row>
    <x:row r="165" ht="38" customHeight="1">
      <x:c r="A165" s="4" t="str">
        <x:v>ID08</x:v>
      </x:c>
      <x:c r="B165" s="4" t="str">
        <x:v>Infografis SHPR Triwulan IV 2024</x:v>
      </x:c>
      <x:c r="C165" s="4" t="str">
        <x:v>Bank Indonesia</x:v>
      </x:c>
      <x:c r="D165" s="15" t="n">
        <x:v>2025</x:v>
      </x:c>
      <x:c r="E165" s="4" t="str">
        <x:v>印尼文</x:v>
      </x:c>
      <x:c r="F165" s="4" t="str">
        <x:v>ID</x:v>
      </x:c>
      <x:c r="G165" s="4" t="str">
        <x:v>A</x:v>
      </x:c>
      <x:c r="H165" s="4" t="str">
        <x:v>opened</x:v>
      </x:c>
      <x:c r="I165" s="4" t="str"/>
      <x:c r="J165" s="4" t="str">
        <x:v>未記錄</x:v>
      </x:c>
      <x:c r="K165" s="24" t="str">
        <x:v>https://www.bi.go.id/id/edukasi/Documents/Infografis-Survei-Harga-properti-Residensial-di-Pasar-Primer-Triwulan-IV-2024.pdf</x:v>
      </x:c>
      <x:c r="L165" s="4" t="str">
        <x:v>已開啟原文；來源層級與指標獨立來源數分開判定。</x:v>
      </x:c>
      <x:c r="M165" s="4" t="str">
        <x:v>turn189view6</x:v>
      </x:c>
      <x:c r="N165" s="4" t="str">
        <x:v>Bank Indonesia</x:v>
      </x:c>
    </x:row>
    <x:row r="166" ht="30" customHeight="1">
      <x:c r="A166" s="4" t="str">
        <x:v>ID09</x:v>
      </x:c>
      <x:c r="B166" s="4" t="str">
        <x:v>Menghitung Estimasi Biaya Renovasi Rumah</x:v>
      </x:c>
      <x:c r="C166" s="4" t="str">
        <x:v>Sejasa</x:v>
      </x:c>
      <x:c r="D166" s="15" t="n">
        <x:v>2025</x:v>
      </x:c>
      <x:c r="E166" s="4" t="str">
        <x:v>印尼文</x:v>
      </x:c>
      <x:c r="F166" s="4" t="str">
        <x:v>ID</x:v>
      </x:c>
      <x:c r="G166" s="4" t="str">
        <x:v>D</x:v>
      </x:c>
      <x:c r="H166" s="4" t="str">
        <x:v>opened</x:v>
      </x:c>
      <x:c r="I166" s="4" t="str"/>
      <x:c r="J166" s="4" t="str">
        <x:v>未記錄</x:v>
      </x:c>
      <x:c r="K166" s="24" t="str">
        <x:v>https://www.sejasa.com/blog/estimasi-biaya-renovasi-rumah/</x:v>
      </x:c>
      <x:c r="L166" s="4" t="str">
        <x:v>成功開啟且數字存在；但為平台部落格，依提供的協議 D 級不採用。</x:v>
      </x:c>
      <x:c r="M166" s="4" t="str">
        <x:v>turn192view0</x:v>
      </x:c>
      <x:c r="N166" s="4" t="str">
        <x:v>Sejasa</x:v>
      </x:c>
    </x:row>
    <x:row r="167" ht="38" customHeight="1">
      <x:c r="A167" s="4" t="str">
        <x:v>ID10</x:v>
      </x:c>
      <x:c r="B167" s="4" t="str">
        <x:v>Indonesia Furniture Market Analysis 2025–2030</x:v>
      </x:c>
      <x:c r="C167" s="4" t="str">
        <x:v>Mordor Intelligence</x:v>
      </x:c>
      <x:c r="D167" s="15" t="n">
        <x:v>2025</x:v>
      </x:c>
      <x:c r="E167" s="4" t="str">
        <x:v>英文</x:v>
      </x:c>
      <x:c r="F167" s="4" t="str">
        <x:v>ID</x:v>
      </x:c>
      <x:c r="G167" s="4" t="str">
        <x:v>C</x:v>
      </x:c>
      <x:c r="H167" s="4" t="str">
        <x:v>opened</x:v>
      </x:c>
      <x:c r="I167" s="4" t="str"/>
      <x:c r="J167" s="4" t="str">
        <x:v>未記錄</x:v>
      </x:c>
      <x:c r="K167" s="24" t="str">
        <x:v>https://www.mordorintelligence.com/industry-reports/indonesia-furniture-market</x:v>
      </x:c>
      <x:c r="L167" s="4" t="str">
        <x:v>已開啟原文；來源層級與指標獨立來源數分開判定。</x:v>
      </x:c>
      <x:c r="M167" s="4" t="str">
        <x:v>turn192view1</x:v>
      </x:c>
      <x:c r="N167" s="4" t="str">
        <x:v>Mordor Intelligence</x:v>
      </x:c>
    </x:row>
    <x:row r="168" ht="38" customHeight="1">
      <x:c r="A168" s="4" t="str">
        <x:v>ID11</x:v>
      </x:c>
      <x:c r="B168" s="4" t="str">
        <x:v>Investor Updates 1H2026</x:v>
      </x:c>
      <x:c r="C168" s="4" t="str">
        <x:v>PT Global Digital Niaga Tbk</x:v>
      </x:c>
      <x:c r="D168" s="15" t="n">
        <x:v>2026</x:v>
      </x:c>
      <x:c r="E168" s="4" t="str">
        <x:v>英文</x:v>
      </x:c>
      <x:c r="F168" s="4" t="str">
        <x:v>ID</x:v>
      </x:c>
      <x:c r="G168" s="4" t="str">
        <x:v>C</x:v>
      </x:c>
      <x:c r="H168" s="4" t="str">
        <x:v>opened</x:v>
      </x:c>
      <x:c r="I168" s="4" t="str"/>
      <x:c r="J168" s="4" t="str">
        <x:v>未記錄</x:v>
      </x:c>
      <x:c r="K168" s="24" t="str">
        <x:v>https://asset-about.blibli.com/2026/08/Update-Investor-1H26-PT-Global-Digital-Niaga-Tbk.pdf</x:v>
      </x:c>
      <x:c r="L168" s="4" t="str">
        <x:v>已開啟原文；來源層級與指標獨立來源數分開判定。</x:v>
      </x:c>
      <x:c r="M168" s="4" t="str">
        <x:v>turn192view2</x:v>
      </x:c>
      <x:c r="N168" s="4" t="str">
        <x:v>PT Global Digital Niaga Tbk</x:v>
      </x:c>
    </x:row>
    <x:row r="169" ht="38" customHeight="1">
      <x:c r="A169" s="4" t="str">
        <x:v>ID12</x:v>
      </x:c>
      <x:c r="B169" s="4" t="str">
        <x:v>Keputusan Direktur Jenderal Bina Konstruksi 37/KPTS/Dk/2025：Standar Skema Sertifikasi BUJK</x:v>
      </x:c>
      <x:c r="C169" s="4" t="str">
        <x:v>建設總局原文，認證機構PT BMR寄存</x:v>
      </x:c>
      <x:c r="D169" s="15" t="n">
        <x:v>2025</x:v>
      </x:c>
      <x:c r="E169" s="4" t="str">
        <x:v>印尼文</x:v>
      </x:c>
      <x:c r="F169" s="4" t="str">
        <x:v>ID</x:v>
      </x:c>
      <x:c r="G169" s="4" t="str">
        <x:v>A</x:v>
      </x:c>
      <x:c r="H169" s="4" t="str">
        <x:v>opened</x:v>
      </x:c>
      <x:c r="I169" s="4" t="str"/>
      <x:c r="J169" s="4" t="str">
        <x:v>未記錄</x:v>
      </x:c>
      <x:c r="K169" s="24" t="str">
        <x:v>https://ptbmr.co.id/wp-content/uploads/2025/04/KEPDIRJEN_BINA_KONSTRUKSI_37_KPTS_DK_2025_STANDAR_SKEMA_SERTIFIKASI_BUJK.pdf</x:v>
      </x:c>
      <x:c r="L169" s="4" t="str">
        <x:v>政府簽署認證方案原文由認證機構寄存；本輪已核對全文第 53 頁，最終適用需專業確認。</x:v>
      </x:c>
      <x:c r="M169" s="4" t="str">
        <x:v>turn192view3</x:v>
      </x:c>
      <x:c r="N169" s="4" t="str">
        <x:v>建設總局原文，認證機構PT BMR寄存</x:v>
      </x:c>
    </x:row>
    <x:row r="170" ht="38" customHeight="1">
      <x:c r="A170" s="4" t="str">
        <x:v>ID13</x:v>
      </x:c>
      <x:c r="B170" s="4" t="str">
        <x:v>Investing in Indonesia 2025</x:v>
      </x:c>
      <x:c r="C170" s="4" t="str">
        <x:v>KPMG Indonesia</x:v>
      </x:c>
      <x:c r="D170" s="15" t="n">
        <x:v>2025</x:v>
      </x:c>
      <x:c r="E170" s="4" t="str">
        <x:v>英文</x:v>
      </x:c>
      <x:c r="F170" s="4" t="str">
        <x:v>ID</x:v>
      </x:c>
      <x:c r="G170" s="4" t="str">
        <x:v>B</x:v>
      </x:c>
      <x:c r="H170" s="4" t="str">
        <x:v>opened</x:v>
      </x:c>
      <x:c r="I170" s="4" t="str"/>
      <x:c r="J170" s="4" t="str">
        <x:v>未記錄</x:v>
      </x:c>
      <x:c r="K170" s="24" t="str">
        <x:v>https://assets.kpmg.com/content/dam/kpmgsites/id/pdf/2025/09/id-investing-in-indonesia-2025.pdf</x:v>
      </x:c>
      <x:c r="L170" s="4" t="str">
        <x:v>已開啟原文；來源層級與指標獨立來源數分開判定。</x:v>
      </x:c>
      <x:c r="M170" s="4" t="str">
        <x:v>turn192view4</x:v>
      </x:c>
      <x:c r="N170" s="4" t="str">
        <x:v>KPMG Indonesia</x:v>
      </x:c>
    </x:row>
    <x:row r="171" ht="52" customHeight="1">
      <x:c r="A171" s="4" t="str">
        <x:v>ID14</x:v>
      </x:c>
      <x:c r="B171" s="4" t="str">
        <x:v>Tingkat Pengangguran Terbuka 4,85 persen; rata-rata upah buruh 3,33 juta</x:v>
      </x:c>
      <x:c r="C171" s="4" t="str">
        <x:v>Badan Pusat Statistik</x:v>
      </x:c>
      <x:c r="D171" s="15" t="n">
        <x:v>2025</x:v>
      </x:c>
      <x:c r="E171" s="4" t="str">
        <x:v>印尼文</x:v>
      </x:c>
      <x:c r="F171" s="4" t="str">
        <x:v>ID</x:v>
      </x:c>
      <x:c r="G171" s="4" t="str">
        <x:v>A</x:v>
      </x:c>
      <x:c r="H171" s="4" t="str">
        <x:v>opened</x:v>
      </x:c>
      <x:c r="I171" s="4" t="str"/>
      <x:c r="J171" s="4" t="str">
        <x:v>未記錄</x:v>
      </x:c>
      <x:c r="K171" s="24" t="str">
        <x:v>https://www.bps.go.id/assets/pressrelease/2025/11/05/2479/tingkat-pengangguran-terbuka--tpt--sebesar-4-85-persen--rata-rata-upah-buruh-sebesar-3-33-juta-rupiah-.html</x:v>
      </x:c>
      <x:c r="L171" s="4" t="str">
        <x:v>已開啟原文；來源層級與指標獨立來源數分開判定。</x:v>
      </x:c>
      <x:c r="M171" s="4" t="str">
        <x:v>turn192view5</x:v>
      </x:c>
      <x:c r="N171" s="4" t="str">
        <x:v>Badan Pusat Statistik</x:v>
      </x:c>
    </x:row>
    <x:row r="172" ht="38" customHeight="1">
      <x:c r="A172" s="4" t="str">
        <x:v>PH01</x:v>
      </x:c>
      <x:c r="B172" s="4" t="str">
        <x:v>Construction Statistics from Approved Building Permits: Annual 2024 final</x:v>
      </x:c>
      <x:c r="C172" s="4" t="str">
        <x:v>Philippine Statistics Authority</x:v>
      </x:c>
      <x:c r="D172" s="15" t="n">
        <x:v>2025</x:v>
      </x:c>
      <x:c r="E172" s="4" t="str">
        <x:v>英語（當地官方／商業用語）</x:v>
      </x:c>
      <x:c r="F172" s="42" t="b">
        <x:v>1</x:v>
      </x:c>
      <x:c r="G172" s="4" t="str">
        <x:v>A</x:v>
      </x:c>
      <x:c r="H172" s="4" t="str">
        <x:v>opened_read</x:v>
      </x:c>
      <x:c r="I172" s="4" t="str"/>
      <x:c r="J172" s="4" t="str">
        <x:v>未記錄</x:v>
      </x:c>
      <x:c r="K172" s="24" t="str">
        <x:v>https://psa.gov.ph/statistics/construction/pcs/node/1684076766</x:v>
      </x:c>
      <x:c r="L172" s="4" t="str">
        <x:v>PSA 官方建照統計表 A 與正文；數量、價值、面積及年增率均已讀。</x:v>
      </x:c>
      <x:c r="M172" s="4" t="str">
        <x:v>turn194view0</x:v>
      </x:c>
      <x:c r="N172" s="4" t="str">
        <x:v>Philippine Statistics Authority</x:v>
      </x:c>
    </x:row>
    <x:row r="173" ht="30" customHeight="1">
      <x:c r="A173" s="4" t="str">
        <x:v>PH02</x:v>
      </x:c>
      <x:c r="B173" s="4" t="str">
        <x:v>Wilcon Depot SEC Form 17-A FY2024 financial summary</x:v>
      </x:c>
      <x:c r="C173" s="4" t="str">
        <x:v>Wilcon / Philippine Stock Exchange</x:v>
      </x:c>
      <x:c r="D173" s="15" t="n">
        <x:v>2025</x:v>
      </x:c>
      <x:c r="E173" s="4" t="str">
        <x:v>英語（當地官方／商業用語）</x:v>
      </x:c>
      <x:c r="F173" s="42" t="b">
        <x:v>1</x:v>
      </x:c>
      <x:c r="G173" s="4" t="str">
        <x:v>A</x:v>
      </x:c>
      <x:c r="H173" s="4" t="str">
        <x:v>opened_read</x:v>
      </x:c>
      <x:c r="I173" s="4" t="str"/>
      <x:c r="J173" s="4" t="str">
        <x:v>未記錄</x:v>
      </x:c>
      <x:c r="K173" s="24" t="str">
        <x:v>https://edge.pse.com.ph/downloadHtml.do?file_id=1709278</x:v>
      </x:c>
      <x:c r="L173" s="4" t="str">
        <x:v>PSE 發行人申報 FY2024 財務摘要；已核 PHP 原幣與 gross revenue、稅後淨利欄。</x:v>
      </x:c>
      <x:c r="M173" s="4" t="str">
        <x:v>turn205view5</x:v>
      </x:c>
      <x:c r="N173" s="4" t="str">
        <x:v>Wilcon / Philippine Stock Exchange</x:v>
      </x:c>
    </x:row>
    <x:row r="174" ht="38" customHeight="1">
      <x:c r="A174" s="4" t="str">
        <x:v>PH03</x:v>
      </x:c>
      <x:c r="B174" s="4" t="str">
        <x:v>Wilcon Depot Form 17-Q second quarter 2024</x:v>
      </x:c>
      <x:c r="C174" s="4" t="str">
        <x:v>Wilcon Depot</x:v>
      </x:c>
      <x:c r="D174" s="15" t="n">
        <x:v>2024</x:v>
      </x:c>
      <x:c r="E174" s="4" t="str">
        <x:v>英語（當地官方／商業用語）</x:v>
      </x:c>
      <x:c r="F174" s="42" t="b">
        <x:v>1</x:v>
      </x:c>
      <x:c r="G174" s="4" t="str">
        <x:v>A</x:v>
      </x:c>
      <x:c r="H174" s="4" t="str">
        <x:v>opened_read</x:v>
      </x:c>
      <x:c r="I174" s="4" t="str"/>
      <x:c r="J174" s="4" t="str">
        <x:v>未記錄</x:v>
      </x:c>
      <x:c r="K174" s="24" t="str">
        <x:v>https://investor.wilcon.com.ph/wp-content/uploads/2024/08/WLCON-17Q-Q2-2024-FS.pdf</x:v>
      </x:c>
      <x:c r="L174" s="4" t="str">
        <x:v>上市公司期中財報 PDF 第 3 頁（P2），已核 H1 銷售、毛利、淨利率、同店與店數。</x:v>
      </x:c>
      <x:c r="M174" s="4" t="str">
        <x:v>turn198view6</x:v>
      </x:c>
      <x:c r="N174" s="4" t="str">
        <x:v>Wilcon Depot</x:v>
      </x:c>
    </x:row>
    <x:row r="175" ht="30" customHeight="1">
      <x:c r="A175" s="4" t="str">
        <x:v>PH04</x:v>
      </x:c>
      <x:c r="B175" s="4" t="str">
        <x:v>Republic Act No. 10350 Philippine Interior Design Act</x:v>
      </x:c>
      <x:c r="C175" s="4" t="str">
        <x:v>Republic of the Philippines / Lawphil</x:v>
      </x:c>
      <x:c r="D175" s="15" t="n">
        <x:v>2012</x:v>
      </x:c>
      <x:c r="E175" s="4" t="str">
        <x:v>英語（當地官方／商業用語）</x:v>
      </x:c>
      <x:c r="F175" s="42" t="b">
        <x:v>1</x:v>
      </x:c>
      <x:c r="G175" s="4" t="str">
        <x:v>A</x:v>
      </x:c>
      <x:c r="H175" s="4" t="str">
        <x:v>opened_read</x:v>
      </x:c>
      <x:c r="I175" s="4" t="str"/>
      <x:c r="J175" s="4" t="str">
        <x:v>未記錄</x:v>
      </x:c>
      <x:c r="K175" s="24" t="str">
        <x:v>https://lawphil.net/statutes/repacts/ra2012/ra_10350_2012.html</x:v>
      </x:c>
      <x:c r="L175" s="4" t="str">
        <x:v>RA 10350 原法全文由 Lawphil 提供；已讀第 14、15、26–30、34 條。</x:v>
      </x:c>
      <x:c r="M175" s="4" t="str">
        <x:v>turn243view2</x:v>
      </x:c>
      <x:c r="N175" s="4" t="str">
        <x:v>Republic of the Philippines / Lawphil</x:v>
      </x:c>
    </x:row>
    <x:row r="176" ht="38" customHeight="1">
      <x:c r="A176" s="4" t="str">
        <x:v>PH05</x:v>
      </x:c>
      <x:c r="B176" s="4" t="str">
        <x:v>PCAB v Manila Water, G.R. No. 217590</x:v>
      </x:c>
      <x:c r="C176" s="4" t="str">
        <x:v>Supreme Court of the Philippines / Lawphil</x:v>
      </x:c>
      <x:c r="D176" s="15" t="n">
        <x:v>2020</x:v>
      </x:c>
      <x:c r="E176" s="4" t="str">
        <x:v>英語（當地官方／商業用語）</x:v>
      </x:c>
      <x:c r="F176" s="42" t="b">
        <x:v>1</x:v>
      </x:c>
      <x:c r="G176" s="4" t="str">
        <x:v>A</x:v>
      </x:c>
      <x:c r="H176" s="4" t="str">
        <x:v>opened_read</x:v>
      </x:c>
      <x:c r="I176" s="4" t="str"/>
      <x:c r="J176" s="4" t="str">
        <x:v>未記錄</x:v>
      </x:c>
      <x:c r="K176" s="24" t="str">
        <x:v>https://lawphil.net/judjuris/juri2020/mar2020/gr_217590_2020.html</x:v>
      </x:c>
      <x:c r="L176" s="4" t="str">
        <x:v>最高法院判決；已讀主文撤銷承包商舊 IRR 國籍股權限制之範圍。</x:v>
      </x:c>
      <x:c r="M176" s="4" t="str">
        <x:v>turn205view9</x:v>
      </x:c>
      <x:c r="N176" s="4" t="str">
        <x:v>Supreme Court of the Philippines / Lawphil</x:v>
      </x:c>
    </x:row>
    <x:row r="177" ht="30" customHeight="1">
      <x:c r="A177" s="4" t="str">
        <x:v>PH06</x:v>
      </x:c>
      <x:c r="B177" s="4" t="str">
        <x:v>July 2024 Interior Designers Licensure Examination results</x:v>
      </x:c>
      <x:c r="C177" s="4" t="str">
        <x:v>Professional Regulation Commission</x:v>
      </x:c>
      <x:c r="D177" s="15" t="n">
        <x:v>2024</x:v>
      </x:c>
      <x:c r="E177" s="4" t="str">
        <x:v>英語（當地官方／商業用語）</x:v>
      </x:c>
      <x:c r="F177" s="42" t="b">
        <x:v>1</x:v>
      </x:c>
      <x:c r="G177" s="4" t="str">
        <x:v>A</x:v>
      </x:c>
      <x:c r="H177" s="4" t="str">
        <x:v>opened_read</x:v>
      </x:c>
      <x:c r="I177" s="4" t="str"/>
      <x:c r="J177" s="4" t="str">
        <x:v>未記錄</x:v>
      </x:c>
      <x:c r="K177" s="24" t="str">
        <x:v>https://prc.gov.ph/index.php/node/6770</x:v>
      </x:c>
      <x:c r="L177" s="4" t="str">
        <x:v>PRC 公告正文已讀 2024 年 7 月考試 119／400。</x:v>
      </x:c>
      <x:c r="M177" s="4" t="str">
        <x:v>turn205view6</x:v>
      </x:c>
      <x:c r="N177" s="4" t="str">
        <x:v>Professional Regulation Commission</x:v>
      </x:c>
    </x:row>
    <x:row r="178" ht="30" customHeight="1">
      <x:c r="A178" s="4" t="str">
        <x:v>PH07</x:v>
      </x:c>
      <x:c r="B178" s="4" t="str">
        <x:v>July 2026 Interior Designers Licensure Examination results</x:v>
      </x:c>
      <x:c r="C178" s="4" t="str">
        <x:v>Professional Regulation Commission</x:v>
      </x:c>
      <x:c r="D178" s="15" t="n">
        <x:v>2026</x:v>
      </x:c>
      <x:c r="E178" s="4" t="str">
        <x:v>英語（當地官方／商業用語）</x:v>
      </x:c>
      <x:c r="F178" s="42" t="b">
        <x:v>1</x:v>
      </x:c>
      <x:c r="G178" s="4" t="str">
        <x:v>A</x:v>
      </x:c>
      <x:c r="H178" s="4" t="str">
        <x:v>opened_read</x:v>
      </x:c>
      <x:c r="I178" s="4" t="str"/>
      <x:c r="J178" s="4" t="str">
        <x:v>未記錄</x:v>
      </x:c>
      <x:c r="K178" s="24" t="str">
        <x:v>https://www.prc.gov.ph/node/9177</x:v>
      </x:c>
      <x:c r="L178" s="4" t="str">
        <x:v>PRC 公告正文已讀 2026 年 7 月考試 381／432。</x:v>
      </x:c>
      <x:c r="M178" s="4" t="str">
        <x:v>turn205view7</x:v>
      </x:c>
      <x:c r="N178" s="4" t="str">
        <x:v>Professional Regulation Commission</x:v>
      </x:c>
    </x:row>
    <x:row r="179" ht="30" customHeight="1">
      <x:c r="A179" s="4" t="str">
        <x:v>PH09</x:v>
      </x:c>
      <x:c r="B179" s="4" t="str">
        <x:v>Construction Materials Retail Price Index NCR December 2025</x:v>
      </x:c>
      <x:c r="C179" s="4" t="str">
        <x:v>Philippine Statistics Authority</x:v>
      </x:c>
      <x:c r="D179" s="15" t="n">
        <x:v>2026</x:v>
      </x:c>
      <x:c r="E179" s="4" t="str">
        <x:v>英語（當地官方／商業用語）</x:v>
      </x:c>
      <x:c r="F179" s="42" t="b">
        <x:v>1</x:v>
      </x:c>
      <x:c r="G179" s="4" t="str">
        <x:v>A</x:v>
      </x:c>
      <x:c r="H179" s="4" t="str">
        <x:v>opened_read</x:v>
      </x:c>
      <x:c r="I179" s="4" t="str"/>
      <x:c r="J179" s="4" t="str">
        <x:v>未記錄</x:v>
      </x:c>
      <x:c r="K179" s="24" t="str">
        <x:v>https://psa.gov.ph/price-indices/cmrpi/node/1684082307</x:v>
      </x:c>
      <x:c r="L179" s="4" t="str">
        <x:v>PSA 原表與正文已讀，2025 年全年平均 1.0%、2024 年 1.2%。</x:v>
      </x:c>
      <x:c r="M179" s="4" t="str">
        <x:v>turn205view8</x:v>
      </x:c>
      <x:c r="N179" s="4" t="str">
        <x:v>Philippine Statistics Authority</x:v>
      </x:c>
    </x:row>
    <x:row r="180" ht="30" customHeight="1">
      <x:c r="A180" s="4" t="str">
        <x:v>PH10</x:v>
      </x:c>
      <x:c r="B180" s="4" t="str">
        <x:v>Republic Act No. 11595 Retail Trade Liberalization amendment</x:v>
      </x:c>
      <x:c r="C180" s="4" t="str">
        <x:v>Republic of the Philippines / Lawphil</x:v>
      </x:c>
      <x:c r="D180" s="15" t="n">
        <x:v>2021</x:v>
      </x:c>
      <x:c r="E180" s="4" t="str">
        <x:v>英語（當地官方／商業用語）</x:v>
      </x:c>
      <x:c r="F180" s="42" t="b">
        <x:v>1</x:v>
      </x:c>
      <x:c r="G180" s="4" t="str">
        <x:v>A</x:v>
      </x:c>
      <x:c r="H180" s="4" t="str">
        <x:v>opened_read</x:v>
      </x:c>
      <x:c r="I180" s="4" t="str"/>
      <x:c r="J180" s="4" t="str">
        <x:v>未記錄</x:v>
      </x:c>
      <x:c r="K180" s="24" t="str">
        <x:v>https://www.lawphil.net/statutes/repacts/ra2021/ra_11595_2021.html</x:v>
      </x:c>
      <x:c r="L180" s="4" t="str">
        <x:v>RA 11595 第 2 條改寫零售法條件；已讀 PHP25m／PHP10m、互惠及例外。</x:v>
      </x:c>
      <x:c r="M180" s="4" t="str">
        <x:v>turn211view5</x:v>
      </x:c>
      <x:c r="N180" s="4" t="str">
        <x:v>Republic of the Philippines / Lawphil</x:v>
      </x:c>
    </x:row>
    <x:row r="181" ht="38" customHeight="1">
      <x:c r="A181" s="4" t="str">
        <x:v>PH11</x:v>
      </x:c>
      <x:c r="B181" s="4" t="str">
        <x:v>Philippines Furniture and Interior Design Market</x:v>
      </x:c>
      <x:c r="C181" s="4" t="str">
        <x:v>Ken Research</x:v>
      </x:c>
      <x:c r="D181" s="15" t="n">
        <x:v>2025</x:v>
      </x:c>
      <x:c r="E181" s="4" t="str">
        <x:v>英語</x:v>
      </x:c>
      <x:c r="F181" s="42" t="b">
        <x:v>0</x:v>
      </x:c>
      <x:c r="G181" s="4" t="str">
        <x:v>C</x:v>
      </x:c>
      <x:c r="H181" s="4" t="str">
        <x:v>opened_read</x:v>
      </x:c>
      <x:c r="I181" s="4" t="str"/>
      <x:c r="J181" s="4" t="str">
        <x:v>未記錄</x:v>
      </x:c>
      <x:c r="K181" s="24" t="str">
        <x:v>https://www.kenresearch.com/philippines-furniture-and-interior-design-market</x:v>
      </x:c>
      <x:c r="L181" s="4" t="str">
        <x:v>市調銷售頁可讀；USD4.1bn 與 Base Year2024 明列，完整模型未取得。</x:v>
      </x:c>
      <x:c r="M181" s="4" t="str">
        <x:v>turn211view6</x:v>
      </x:c>
      <x:c r="N181" s="4" t="str">
        <x:v>Ken Research</x:v>
      </x:c>
    </x:row>
    <x:row r="182" ht="38" customHeight="1">
      <x:c r="A182" s="4" t="str">
        <x:v>PH12</x:v>
      </x:c>
      <x:c r="B182" s="4" t="str">
        <x:v>Philippines Selected Indicators</x:v>
      </x:c>
      <x:c r="C182" s="4" t="str">
        <x:v>World Bank</x:v>
      </x:c>
      <x:c r="D182" s="15" t="n">
        <x:v>2026</x:v>
      </x:c>
      <x:c r="E182" s="4" t="str">
        <x:v>英語</x:v>
      </x:c>
      <x:c r="F182" s="42" t="b">
        <x:v>0</x:v>
      </x:c>
      <x:c r="G182" s="4" t="str">
        <x:v>A</x:v>
      </x:c>
      <x:c r="H182" s="4" t="str">
        <x:v>opened_read</x:v>
      </x:c>
      <x:c r="I182" s="4" t="str"/>
      <x:c r="J182" s="4" t="str">
        <x:v>未記錄</x:v>
      </x:c>
      <x:c r="K182" s="24" t="str">
        <x:v>https://thedocs.worldbank.org/en/doc/b991970a7f5096ab093720e27d5f0b68-0500012021/related/data-phl.pdf</x:v>
      </x:c>
      <x:c r="L182" s="4" t="str">
        <x:v>世界銀行 Selected Indicators PDF 第 1 頁已讀曆年欄位。</x:v>
      </x:c>
      <x:c r="M182" s="4" t="str">
        <x:v>turn211view7</x:v>
      </x:c>
      <x:c r="N182" s="4" t="str">
        <x:v>World Bank（含WDI／Selected Indicators／FRED轉載）</x:v>
      </x:c>
    </x:row>
    <x:row r="183" ht="30" customHeight="1">
      <x:c r="A183" s="4" t="str">
        <x:v>PH13</x:v>
      </x:c>
      <x:c r="B183" s="4" t="str">
        <x:v>DTI Consumer CARe System</x:v>
      </x:c>
      <x:c r="C183" s="4" t="str">
        <x:v>Department of Trade and Industry</x:v>
      </x:c>
      <x:c r="D183" s="15" t="str">
        <x:v>2026存取</x:v>
      </x:c>
      <x:c r="E183" s="4" t="str">
        <x:v>英語（當地官方／商業用語）</x:v>
      </x:c>
      <x:c r="F183" s="42" t="b">
        <x:v>1</x:v>
      </x:c>
      <x:c r="G183" s="4" t="str">
        <x:v>D</x:v>
      </x:c>
      <x:c r="H183" s="4" t="str">
        <x:v>fail_empty</x:v>
      </x:c>
      <x:c r="I183" s="4" t="str">
        <x:v>entrypoint/catalog</x:v>
      </x:c>
      <x:c r="J183" s="4" t="str">
        <x:v>否</x:v>
      </x:c>
      <x:c r="K183" s="24" t="str">
        <x:v>https://consumercare.dti.gov.ph/</x:v>
      </x:c>
      <x:c r="L183" s="4" t="str">
        <x:v>只回傳網頁標題及 0 行，未取得正文；不能支持申訴流程或統計，排除。</x:v>
      </x:c>
      <x:c r="M183" s="4" t="str">
        <x:v>turn205view3</x:v>
      </x:c>
      <x:c r="N183" s="4" t="str">
        <x:v>Department of Trade and Industry</x:v>
      </x:c>
    </x:row>
    <x:row r="184" ht="38" customHeight="1">
      <x:c r="A184" s="4" t="str">
        <x:v>PH14</x:v>
      </x:c>
      <x:c r="B184" s="4" t="str">
        <x:v>Philippine Contractors Accreditation Board Forms</x:v>
      </x:c>
      <x:c r="C184" s="4" t="str">
        <x:v>Construction Industry Authority of the Philippines</x:v>
      </x:c>
      <x:c r="D184" s="15" t="str">
        <x:v>2026存取／部分2018表單</x:v>
      </x:c>
      <x:c r="E184" s="4" t="str">
        <x:v>英語（當地官方／商業用語）</x:v>
      </x:c>
      <x:c r="F184" s="42" t="b">
        <x:v>1</x:v>
      </x:c>
      <x:c r="G184" s="4" t="str">
        <x:v>A</x:v>
      </x:c>
      <x:c r="H184" s="4" t="str">
        <x:v>opened_read</x:v>
      </x:c>
      <x:c r="I184" s="4" t="str"/>
      <x:c r="J184" s="4" t="str">
        <x:v>未記錄</x:v>
      </x:c>
      <x:c r="K184" s="24" t="str">
        <x:v>https://construction.gov.ph/philippine-contractors-accreditation-board-forms/</x:v>
      </x:c>
      <x:c r="L184" s="4" t="str">
        <x:v>官方表單入口可讀，但外國 Special License 表單標 2018，不當作 2026 股权規則。</x:v>
      </x:c>
      <x:c r="M184" s="4" t="str">
        <x:v>turn211view8</x:v>
      </x:c>
      <x:c r="N184" s="4" t="str">
        <x:v>Construction Industry Authority of the Philippines</x:v>
      </x:c>
    </x:row>
    <x:row r="185" ht="38" customHeight="1">
      <x:c r="A185" s="4" t="str">
        <x:v>IN01</x:v>
      </x:c>
      <x:c r="B185" s="4" t="str">
        <x:v>India Interior Design Market Size and Share</x:v>
      </x:c>
      <x:c r="C185" s="4" t="str">
        <x:v>Mordor Intelligence</x:v>
      </x:c>
      <x:c r="D185" s="15" t="n">
        <x:v>2026</x:v>
      </x:c>
      <x:c r="E185" s="4" t="str">
        <x:v>英語</x:v>
      </x:c>
      <x:c r="F185" s="42" t="b">
        <x:v>0</x:v>
      </x:c>
      <x:c r="G185" s="4" t="str">
        <x:v>C</x:v>
      </x:c>
      <x:c r="H185" s="4" t="str">
        <x:v>opened_read</x:v>
      </x:c>
      <x:c r="I185" s="4" t="str"/>
      <x:c r="J185" s="4" t="str">
        <x:v>未記錄</x:v>
      </x:c>
      <x:c r="K185" s="24" t="str">
        <x:v>https://www.mordorintelligence.com/industry-reports/india-interior-design-market</x:v>
      </x:c>
      <x:c r="L185" s="4" t="str">
        <x:v>市調銷售頁及範圍方法摘要可讀；沒有可重建完整模型，按市調自報 C 級。</x:v>
      </x:c>
      <x:c r="M185" s="4" t="str">
        <x:v>turn234view1</x:v>
      </x:c>
      <x:c r="N185" s="4" t="str">
        <x:v>Mordor Intelligence</x:v>
      </x:c>
    </x:row>
    <x:row r="186" ht="38" customHeight="1">
      <x:c r="A186" s="4" t="str">
        <x:v>IN02</x:v>
      </x:c>
      <x:c r="B186" s="4" t="str">
        <x:v>Small Cities, Big Interior Dreams: Home &amp; Home+ Conclave sample</x:v>
      </x:c>
      <x:c r="C186" s="4" t="str">
        <x:v>Magicbricks Research</x:v>
      </x:c>
      <x:c r="D186" s="15" t="n">
        <x:v>2025</x:v>
      </x:c>
      <x:c r="E186" s="4" t="str">
        <x:v>英語（當地官方／商業用語）</x:v>
      </x:c>
      <x:c r="F186" s="42" t="b">
        <x:v>1</x:v>
      </x:c>
      <x:c r="G186" s="4" t="str">
        <x:v>C</x:v>
      </x:c>
      <x:c r="H186" s="4" t="str">
        <x:v>opened_read</x:v>
      </x:c>
      <x:c r="I186" s="4" t="str"/>
      <x:c r="J186" s="4" t="str">
        <x:v>未記錄</x:v>
      </x:c>
      <x:c r="K186" s="24" t="str">
        <x:v>https://property.magicbricks.com/microsite/research-insights/src/pdf/sample/Interiors-Sample-Report.pdf</x:v>
      </x:c>
      <x:c r="L186" s="4" t="str">
        <x:v>Magicbricks 平台研究樣本 PDF 第 4–5 頁；非獨立普查，部分樣本年份未指明。</x:v>
      </x:c>
      <x:c r="M186" s="4" t="str">
        <x:v>turn216view4</x:v>
      </x:c>
      <x:c r="N186" s="4" t="str">
        <x:v>Magicbricks Research</x:v>
      </x:c>
    </x:row>
    <x:row r="187" ht="38" customHeight="1">
      <x:c r="A187" s="4" t="str">
        <x:v>IN03</x:v>
      </x:c>
      <x:c r="B187" s="4" t="str">
        <x:v>Indian Residential Real Estate Annual Update 2024</x:v>
      </x:c>
      <x:c r="C187" s="4" t="str">
        <x:v>ANAROCK</x:v>
      </x:c>
      <x:c r="D187" s="15" t="n">
        <x:v>2025</x:v>
      </x:c>
      <x:c r="E187" s="4" t="str">
        <x:v>英語（當地官方／商業用語）</x:v>
      </x:c>
      <x:c r="F187" s="42" t="b">
        <x:v>1</x:v>
      </x:c>
      <x:c r="G187" s="4" t="str">
        <x:v>B</x:v>
      </x:c>
      <x:c r="H187" s="4" t="str">
        <x:v>opened_read</x:v>
      </x:c>
      <x:c r="I187" s="4" t="str"/>
      <x:c r="J187" s="4" t="str">
        <x:v>未記錄</x:v>
      </x:c>
      <x:c r="K187" s="24" t="str">
        <x:v>https://websitemedia.anarock.com/media/ANAROCK_Research_Indian_Residential_Market_Annual_Update_2024_3b5aa5b04d.pdf</x:v>
      </x:c>
      <x:c r="L187" s="4" t="str">
        <x:v>ANAROCK 原報告 PDF 第 7 頁，明載 Pan India 只代表七城市，四捨五入數字。</x:v>
      </x:c>
      <x:c r="M187" s="4" t="str">
        <x:v>turn229view4</x:v>
      </x:c>
      <x:c r="N187" s="4" t="str">
        <x:v>ANAROCK</x:v>
      </x:c>
    </x:row>
    <x:row r="188" ht="38" customHeight="1">
      <x:c r="A188" s="4" t="str">
        <x:v>IN04</x:v>
      </x:c>
      <x:c r="B188" s="4" t="str">
        <x:v>Decoding Interior Designer Cost: India Design Price Guide 2026</x:v>
      </x:c>
      <x:c r="C188" s="4" t="str">
        <x:v>Livspace</x:v>
      </x:c>
      <x:c r="D188" s="15" t="n">
        <x:v>2026</x:v>
      </x:c>
      <x:c r="E188" s="4" t="str">
        <x:v>英語（當地官方／商業用語）</x:v>
      </x:c>
      <x:c r="F188" s="42" t="b">
        <x:v>1</x:v>
      </x:c>
      <x:c r="G188" s="4" t="str">
        <x:v>C</x:v>
      </x:c>
      <x:c r="H188" s="4" t="str">
        <x:v>opened_read</x:v>
      </x:c>
      <x:c r="I188" s="4" t="str"/>
      <x:c r="J188" s="4" t="str">
        <x:v>未記錄</x:v>
      </x:c>
      <x:c r="K188" s="24" t="str">
        <x:v>https://www.livspace.com/in/magazine/how-much-does-an-interior-designer-charge</x:v>
      </x:c>
      <x:c r="L188" s="4" t="str">
        <x:v>Livspace 品牌價格頁，2026 兩房套餐表可讀；屬供應商示意而非成交樣本。</x:v>
      </x:c>
      <x:c r="M188" s="4" t="str">
        <x:v>turn216view8</x:v>
      </x:c>
      <x:c r="N188" s="4" t="str">
        <x:v>Livspace</x:v>
      </x:c>
    </x:row>
    <x:row r="189" ht="38" customHeight="1">
      <x:c r="A189" s="4" t="str">
        <x:v>IN05</x:v>
      </x:c>
      <x:c r="B189" s="4" t="str">
        <x:v>HomeLane Terms and Conditions</x:v>
      </x:c>
      <x:c r="C189" s="4" t="str">
        <x:v>HomeLane</x:v>
      </x:c>
      <x:c r="D189" s="15" t="str">
        <x:v>2026存取；含2025-11生效條款</x:v>
      </x:c>
      <x:c r="E189" s="4" t="str">
        <x:v>英語（當地官方／商業用語）</x:v>
      </x:c>
      <x:c r="F189" s="42" t="b">
        <x:v>1</x:v>
      </x:c>
      <x:c r="G189" s="4" t="str">
        <x:v>C</x:v>
      </x:c>
      <x:c r="H189" s="4" t="str">
        <x:v>opened_read</x:v>
      </x:c>
      <x:c r="I189" s="4" t="str"/>
      <x:c r="J189" s="4" t="str">
        <x:v>未記錄</x:v>
      </x:c>
      <x:c r="K189" s="24" t="str">
        <x:v>https://www.homelane.com/homelane-terms-conditions</x:v>
      </x:c>
      <x:c r="L189" s="4" t="str">
        <x:v>HomeLane 合約頁可讀，45 天有開工前提與範圍排除，非全案工期。</x:v>
      </x:c>
      <x:c r="M189" s="4" t="str">
        <x:v>turn229view5</x:v>
      </x:c>
      <x:c r="N189" s="4" t="str">
        <x:v>HomeLane</x:v>
      </x:c>
    </x:row>
    <x:row r="190" ht="52" customHeight="1">
      <x:c r="A190" s="4" t="str">
        <x:v>IN06</x:v>
      </x:c>
      <x:c r="B190" s="4" t="str">
        <x:v>Livspace FY25 revenue rises 23% to Rs 1,460 crore</x:v>
      </x:c>
      <x:c r="C190" s="4" t="str">
        <x:v>The Economic Times</x:v>
      </x:c>
      <x:c r="D190" s="15" t="n">
        <x:v>2025</x:v>
      </x:c>
      <x:c r="E190" s="4" t="str">
        <x:v>英語（當地官方／商業用語）</x:v>
      </x:c>
      <x:c r="F190" s="42" t="b">
        <x:v>1</x:v>
      </x:c>
      <x:c r="G190" s="4" t="str">
        <x:v>B</x:v>
      </x:c>
      <x:c r="H190" s="4" t="str">
        <x:v>opened_read</x:v>
      </x:c>
      <x:c r="I190" s="4" t="str"/>
      <x:c r="J190" s="4" t="str">
        <x:v>未記錄</x:v>
      </x:c>
      <x:c r="K190" s="24" t="str">
        <x:v>https://economictimes.indiatimes.com/tech/startups/homedecor-startup-livspaces-fy25-revenue-rises-23-to-rs-1460-crore/articleshow/124520597.cms?from=mdr</x:v>
      </x:c>
      <x:c r="L190" s="4" t="str">
        <x:v>主流財經媒體引用公司 FY25 原始數據；尚未取得審計財報，不當上市年報。</x:v>
      </x:c>
      <x:c r="M190" s="4" t="str">
        <x:v>turn234view2</x:v>
      </x:c>
      <x:c r="N190" s="4" t="str">
        <x:v>The Economic Times</x:v>
      </x:c>
    </x:row>
    <x:row r="191" ht="38" customHeight="1">
      <x:c r="A191" s="4" t="str">
        <x:v>IN07</x:v>
      </x:c>
      <x:c r="B191" s="4" t="str">
        <x:v>HomeLane acquiring DesignCafe and raising ₹225 crores announcement</x:v>
      </x:c>
      <x:c r="C191" s="4" t="str">
        <x:v>HomeLane official LinkedIn</x:v>
      </x:c>
      <x:c r="D191" s="15" t="n">
        <x:v>2024</x:v>
      </x:c>
      <x:c r="E191" s="4" t="str">
        <x:v>英語（當地官方／商業用語）</x:v>
      </x:c>
      <x:c r="F191" s="42" t="b">
        <x:v>1</x:v>
      </x:c>
      <x:c r="G191" s="4" t="str">
        <x:v>C</x:v>
      </x:c>
      <x:c r="H191" s="4" t="str">
        <x:v>opened_read</x:v>
      </x:c>
      <x:c r="I191" s="4" t="str"/>
      <x:c r="J191" s="4" t="str">
        <x:v>未記錄</x:v>
      </x:c>
      <x:c r="K191" s="24" t="str">
        <x:v>https://www.linkedin.com/posts/homelane_growth-acquisition-homeinteriors-activity-7249658945546428416-Bt0D</x:v>
      </x:c>
      <x:c r="L191" s="4" t="str">
        <x:v>公司官方 LinkedIn 公告可讀；225 crore 及收購說法可讀，頁面僅顯示 2y。</x:v>
      </x:c>
      <x:c r="M191" s="4" t="str">
        <x:v>turn229view1</x:v>
      </x:c>
      <x:c r="N191" s="4" t="str">
        <x:v>HomeLane official LinkedIn</x:v>
      </x:c>
    </x:row>
    <x:row r="192" ht="52" customHeight="1">
      <x:c r="A192" s="4" t="str">
        <x:v>IN08</x:v>
      </x:c>
      <x:c r="B192" s="4" t="str">
        <x:v>HomeLane acquires DesignCafe, raises primary funds</x:v>
      </x:c>
      <x:c r="C192" s="4" t="str">
        <x:v>JSA Advocates and Solicitors via Mondaq</x:v>
      </x:c>
      <x:c r="D192" s="15" t="n">
        <x:v>2024</x:v>
      </x:c>
      <x:c r="E192" s="4" t="str">
        <x:v>英語（當地官方／商業用語）</x:v>
      </x:c>
      <x:c r="F192" s="42" t="b">
        <x:v>1</x:v>
      </x:c>
      <x:c r="G192" s="4" t="str">
        <x:v>C</x:v>
      </x:c>
      <x:c r="H192" s="4" t="str">
        <x:v>opened_read</x:v>
      </x:c>
      <x:c r="I192" s="4" t="str"/>
      <x:c r="J192" s="4" t="str">
        <x:v>未記錄</x:v>
      </x:c>
      <x:c r="K192" s="24" t="str">
        <x:v>https://www.mondaq.com/pressrelease/154532/homelane-acquires-designcafe-raises-primary-funds-from-an-investor-club-consisting-of-hero-enterprise-claypond-capital-partners-westbridge-and-others</x:v>
      </x:c>
      <x:c r="L192" s="4" t="str">
        <x:v>交易法律顧問 JSA 的公告；具有直接交易參與性，但估值無計算底稿，C 級。</x:v>
      </x:c>
      <x:c r="M192" s="4" t="str">
        <x:v>turn247view0</x:v>
      </x:c>
      <x:c r="N192" s="4" t="str">
        <x:v>JSA Advocates and Solicitors via Mondaq</x:v>
      </x:c>
    </x:row>
    <x:row r="193" ht="38" customHeight="1">
      <x:c r="A193" s="4" t="str">
        <x:v>IN09</x:v>
      </x:c>
      <x:c r="B193" s="4" t="str">
        <x:v>Livspace US$180m Series F led by KKR</x:v>
      </x:c>
      <x:c r="C193" s="4" t="str">
        <x:v>KKR</x:v>
      </x:c>
      <x:c r="D193" s="15" t="n">
        <x:v>2022</x:v>
      </x:c>
      <x:c r="E193" s="4" t="str">
        <x:v>英語</x:v>
      </x:c>
      <x:c r="F193" s="42" t="b">
        <x:v>0</x:v>
      </x:c>
      <x:c r="G193" s="4" t="str">
        <x:v>C</x:v>
      </x:c>
      <x:c r="H193" s="4" t="str">
        <x:v>opened_read</x:v>
      </x:c>
      <x:c r="I193" s="4" t="str"/>
      <x:c r="J193" s="4" t="str">
        <x:v>未記錄</x:v>
      </x:c>
      <x:c r="K193" s="24" t="str">
        <x:v>https://media.kkr.com/rss-feed/news-release?news_id=a4de6b9d-bdf9-44cc-9d56-02e9e632942a</x:v>
      </x:c>
      <x:c r="L193" s="4" t="str">
        <x:v>投資方 KKR 的募資新聞稿；不是年報，也不是獨立驗證，C 級單源。</x:v>
      </x:c>
      <x:c r="M193" s="4" t="str">
        <x:v>turn229view3</x:v>
      </x:c>
      <x:c r="N193" s="4" t="str">
        <x:v>KKR</x:v>
      </x:c>
    </x:row>
    <x:row r="194" ht="38" customHeight="1">
      <x:c r="A194" s="4" t="str">
        <x:v>IN10</x:v>
      </x:c>
      <x:c r="B194" s="4" t="str">
        <x:v>The Architects Act 1972</x:v>
      </x:c>
      <x:c r="C194" s="4" t="str">
        <x:v>Council of Architecture / Government of India</x:v>
      </x:c>
      <x:c r="D194" s="15" t="n">
        <x:v>1972</x:v>
      </x:c>
      <x:c r="E194" s="4" t="str">
        <x:v>英語（當地官方／商業用語）</x:v>
      </x:c>
      <x:c r="F194" s="42" t="b">
        <x:v>1</x:v>
      </x:c>
      <x:c r="G194" s="4" t="str">
        <x:v>A</x:v>
      </x:c>
      <x:c r="H194" s="4" t="str">
        <x:v>opened_read</x:v>
      </x:c>
      <x:c r="I194" s="4" t="str"/>
      <x:c r="J194" s="4" t="str">
        <x:v>未記錄</x:v>
      </x:c>
      <x:c r="K194" s="24" t="str">
        <x:v>https://coa.gov.in/showfile.php?lang=1&amp;level=1&amp;lid=792&amp;sublinkid=1344</x:v>
      </x:c>
      <x:c r="L194" s="4" t="str">
        <x:v>COA 提供 Architects Act PDF；已讀註冊、外國資格與稱謂相關條文。</x:v>
      </x:c>
      <x:c r="M194" s="4" t="str">
        <x:v>turn225view0</x:v>
      </x:c>
      <x:c r="N194" s="4" t="str">
        <x:v>Council of Architecture India</x:v>
      </x:c>
    </x:row>
    <x:row r="195" ht="30" customHeight="1">
      <x:c r="A195" s="4" t="str">
        <x:v>IN11</x:v>
      </x:c>
      <x:c r="B195" s="4" t="str">
        <x:v>Public notice on Section 37 and unregistered architects</x:v>
      </x:c>
      <x:c r="C195" s="4" t="str">
        <x:v>Council of Architecture</x:v>
      </x:c>
      <x:c r="D195" s="15" t="n">
        <x:v>2020</x:v>
      </x:c>
      <x:c r="E195" s="4" t="str">
        <x:v>英語（當地官方／商業用語）</x:v>
      </x:c>
      <x:c r="F195" s="42" t="b">
        <x:v>1</x:v>
      </x:c>
      <x:c r="G195" s="4" t="str">
        <x:v>A</x:v>
      </x:c>
      <x:c r="H195" s="4" t="str">
        <x:v>opened_read</x:v>
      </x:c>
      <x:c r="I195" s="4" t="str"/>
      <x:c r="J195" s="4" t="str">
        <x:v>未記錄</x:v>
      </x:c>
      <x:c r="K195" s="24" t="str">
        <x:v>https://coa.gov.in/show_img.php?fid=645</x:v>
      </x:c>
      <x:c r="L195" s="4" t="str">
        <x:v>COA 2020 公告已讀；說明 Architect 稱謂，不推出室內設計全面禁令。</x:v>
      </x:c>
      <x:c r="M195" s="4" t="str">
        <x:v>turn234view0</x:v>
      </x:c>
      <x:c r="N195" s="4" t="str">
        <x:v>Council of Architecture India</x:v>
      </x:c>
    </x:row>
    <x:row r="196" ht="38" customHeight="1">
      <x:c r="A196" s="4" t="str">
        <x:v>IN12</x:v>
      </x:c>
      <x:c r="B196" s="4" t="str">
        <x:v>Consolidated FDI Policy 2020</x:v>
      </x:c>
      <x:c r="C196" s="4" t="str">
        <x:v>DPIIT</x:v>
      </x:c>
      <x:c r="D196" s="15" t="n">
        <x:v>2020</x:v>
      </x:c>
      <x:c r="E196" s="4" t="str">
        <x:v>英語（當地官方／商業用語）</x:v>
      </x:c>
      <x:c r="F196" s="42" t="b">
        <x:v>1</x:v>
      </x:c>
      <x:c r="G196" s="4" t="str">
        <x:v>A</x:v>
      </x:c>
      <x:c r="H196" s="4" t="str">
        <x:v>opened_read</x:v>
      </x:c>
      <x:c r="I196" s="4" t="str"/>
      <x:c r="J196" s="4" t="str">
        <x:v>未記錄</x:v>
      </x:c>
      <x:c r="K196" s="24" t="str">
        <x:v>https://www.dpiit.gov.in/static/uploads/2025/07/6457fc2703ee6082366c4a958b6473a8.pdf</x:v>
      </x:c>
      <x:c r="L196" s="4" t="str">
        <x:v>DPIIT 2020 FDI 綜合政策原文第 29 頁；一般條件须與後續修改合讀。</x:v>
      </x:c>
      <x:c r="M196" s="4" t="str">
        <x:v>turn234view4</x:v>
      </x:c>
      <x:c r="N196" s="4" t="str">
        <x:v>DPIIT</x:v>
      </x:c>
    </x:row>
    <x:row r="197" ht="30" customHeight="1">
      <x:c r="A197" s="4" t="str">
        <x:v>IN13</x:v>
      </x:c>
      <x:c r="B197" s="4" t="str">
        <x:v>Interior Design Conditions of Engagement</x:v>
      </x:c>
      <x:c r="C197" s="4" t="str">
        <x:v>Council of Architecture</x:v>
      </x:c>
      <x:c r="D197" s="15" t="str">
        <x:v>2026存取</x:v>
      </x:c>
      <x:c r="E197" s="4" t="str">
        <x:v>英語（當地官方／商業用語）</x:v>
      </x:c>
      <x:c r="F197" s="42" t="b">
        <x:v>1</x:v>
      </x:c>
      <x:c r="G197" s="4" t="str">
        <x:v>A</x:v>
      </x:c>
      <x:c r="H197" s="4" t="str">
        <x:v>opened_read</x:v>
      </x:c>
      <x:c r="I197" s="4" t="str"/>
      <x:c r="J197" s="4" t="str">
        <x:v>未記錄</x:v>
      </x:c>
      <x:c r="K197" s="24" t="str">
        <x:v>https://coa.gov.in/index1.php?lang=1&amp;level=2&amp;lid=82&amp;sublinkid=295</x:v>
      </x:c>
      <x:c r="L197" s="4" t="str">
        <x:v>COA 室內建築服務委任條件全文相關階段已讀；不是住宅市場平均服務內容。</x:v>
      </x:c>
      <x:c r="M197" s="4" t="str">
        <x:v>turn234view6</x:v>
      </x:c>
      <x:c r="N197" s="4" t="str">
        <x:v>Council of Architecture India</x:v>
      </x:c>
    </x:row>
    <x:row r="198" ht="30" customHeight="1">
      <x:c r="A198" s="4" t="str">
        <x:v>IN14</x:v>
      </x:c>
      <x:c r="B198" s="4" t="str">
        <x:v>Scale of Charges</x:v>
      </x:c>
      <x:c r="C198" s="4" t="str">
        <x:v>Council of Architecture</x:v>
      </x:c>
      <x:c r="D198" s="15" t="str">
        <x:v>2026存取</x:v>
      </x:c>
      <x:c r="E198" s="4" t="str">
        <x:v>英語（當地官方／商業用語）</x:v>
      </x:c>
      <x:c r="F198" s="42" t="b">
        <x:v>1</x:v>
      </x:c>
      <x:c r="G198" s="4" t="str">
        <x:v>A</x:v>
      </x:c>
      <x:c r="H198" s="4" t="str">
        <x:v>opened_read</x:v>
      </x:c>
      <x:c r="I198" s="4" t="str"/>
      <x:c r="J198" s="4" t="str">
        <x:v>未記錄</x:v>
      </x:c>
      <x:c r="K198" s="24" t="str">
        <x:v>https://coa.gov.in/index1.php?lang=1&amp;level=2&amp;lid=86&amp;sublinkid=299</x:v>
      </x:c>
      <x:c r="L198" s="4" t="str">
        <x:v>COA 收費表第 3、7 項已讀；7.5% 分母工程額，10% 分母專業費。</x:v>
      </x:c>
      <x:c r="M198" s="4" t="str">
        <x:v>turn229view6</x:v>
      </x:c>
      <x:c r="N198" s="4" t="str">
        <x:v>Council of Architecture India</x:v>
      </x:c>
    </x:row>
    <x:row r="199" ht="38" customHeight="1">
      <x:c r="A199" s="4" t="str">
        <x:v>IN15</x:v>
      </x:c>
      <x:c r="B199" s="4" t="str">
        <x:v>Consumer Protection Act 2019</x:v>
      </x:c>
      <x:c r="C199" s="4" t="str">
        <x:v>Department of Consumer Affairs</x:v>
      </x:c>
      <x:c r="D199" s="15" t="n">
        <x:v>2019</x:v>
      </x:c>
      <x:c r="E199" s="4" t="str">
        <x:v>英語（當地官方／商業用語）</x:v>
      </x:c>
      <x:c r="F199" s="42" t="b">
        <x:v>1</x:v>
      </x:c>
      <x:c r="G199" s="4" t="str">
        <x:v>A</x:v>
      </x:c>
      <x:c r="H199" s="4" t="str">
        <x:v>opened_read</x:v>
      </x:c>
      <x:c r="I199" s="4" t="str"/>
      <x:c r="J199" s="4" t="str">
        <x:v>未記錄</x:v>
      </x:c>
      <x:c r="K199" s="24" t="str">
        <x:v>https://consumeraffairs.gov.in/public/upload/files/CP%20Act%202019_1732700731.pdf</x:v>
      </x:c>
      <x:c r="L199" s="4" t="str">
        <x:v>政府 Consumer Protection Act PDF 已讀消費者服務瑕疵定義。</x:v>
      </x:c>
      <x:c r="M199" s="4" t="str">
        <x:v>turn234view7</x:v>
      </x:c>
      <x:c r="N199" s="4" t="str">
        <x:v>Department of Consumer Affairs</x:v>
      </x:c>
    </x:row>
    <x:row r="200" ht="38" customHeight="1">
      <x:c r="A200" s="4" t="str">
        <x:v>IN16</x:v>
      </x:c>
      <x:c r="B200" s="4" t="str">
        <x:v>India Selected Indicators</x:v>
      </x:c>
      <x:c r="C200" s="4" t="str">
        <x:v>World Bank</x:v>
      </x:c>
      <x:c r="D200" s="15" t="n">
        <x:v>2026</x:v>
      </x:c>
      <x:c r="E200" s="4" t="str">
        <x:v>英語</x:v>
      </x:c>
      <x:c r="F200" s="42" t="b">
        <x:v>0</x:v>
      </x:c>
      <x:c r="G200" s="4" t="str">
        <x:v>A</x:v>
      </x:c>
      <x:c r="H200" s="4" t="str">
        <x:v>opened_read</x:v>
      </x:c>
      <x:c r="I200" s="4" t="str"/>
      <x:c r="J200" s="4" t="str">
        <x:v>未記錄</x:v>
      </x:c>
      <x:c r="K200" s="24" t="str">
        <x:v>https://thedocs.worldbank.org/en/doc/ab46b9f05a34cb860d84774b7bfbd77f-0500052021/related/data-ind.pdf</x:v>
      </x:c>
      <x:c r="L200" s="4" t="str">
        <x:v>世界銀行指標 PDF 第 1 頁已讀，2591.5 為 FY2024/25E 而非曆年實際。</x:v>
      </x:c>
      <x:c r="M200" s="4" t="str">
        <x:v>turn229view7</x:v>
      </x:c>
      <x:c r="N200" s="4" t="str">
        <x:v>World Bank（含WDI／Selected Indicators／FRED轉載）</x:v>
      </x:c>
    </x:row>
    <x:row r="201" ht="38" customHeight="1">
      <x:c r="A201" s="4" t="str">
        <x:v>IN17</x:v>
      </x:c>
      <x:c r="B201" s="4" t="str">
        <x:v>Revised FDI Framework implementation, 21 August 2026</x:v>
      </x:c>
      <x:c r="C201" s="4" t="str">
        <x:v>Press Information Bureau, Ministry of Commerce &amp; Industry</x:v>
      </x:c>
      <x:c r="D201" s="15" t="n">
        <x:v>2026</x:v>
      </x:c>
      <x:c r="E201" s="4" t="str">
        <x:v>英語（當地官方／商業用語）</x:v>
      </x:c>
      <x:c r="F201" s="42" t="b">
        <x:v>1</x:v>
      </x:c>
      <x:c r="G201" s="4" t="str">
        <x:v>A</x:v>
      </x:c>
      <x:c r="H201" s="4" t="str">
        <x:v>opened_read</x:v>
      </x:c>
      <x:c r="I201" s="4" t="str"/>
      <x:c r="J201" s="4" t="str">
        <x:v>未記錄</x:v>
      </x:c>
      <x:c r="K201" s="24" t="str">
        <x:v>https://www.pib.gov.in/PressReleasePage.aspx?PRID=2301992</x:v>
      </x:c>
      <x:c r="L201" s="4" t="str">
        <x:v>PIB 2026-08-21 官方公告已讀；2026-05-01 修改與非控制 LBC &lt;=10% 條件。</x:v>
      </x:c>
      <x:c r="M201" s="4" t="str">
        <x:v>turn229view8</x:v>
      </x:c>
      <x:c r="N201" s="4" t="str">
        <x:v>Press Information Bureau, Ministry of Commerce &amp; Industry</x:v>
      </x:c>
    </x:row>
    <x:row r="202" ht="38" customHeight="1">
      <x:c r="A202" s="4" t="str">
        <x:v>X01</x:v>
      </x:c>
      <x:c r="B202" s="4" t="str">
        <x:v>Foreign Exchange Rates G.5A Annual, 2025</x:v>
      </x:c>
      <x:c r="C202" s="4" t="str">
        <x:v>Federal Reserve</x:v>
      </x:c>
      <x:c r="D202" s="15" t="n">
        <x:v>2026</x:v>
      </x:c>
      <x:c r="E202" s="4" t="str">
        <x:v>英文</x:v>
      </x:c>
      <x:c r="F202" s="4" t="str">
        <x:v>跨國</x:v>
      </x:c>
      <x:c r="G202" s="4" t="str">
        <x:v>A</x:v>
      </x:c>
      <x:c r="H202" s="4" t="str">
        <x:v>opened_read</x:v>
      </x:c>
      <x:c r="I202" s="4" t="str"/>
      <x:c r="J202" s="4" t="str">
        <x:v>未記錄</x:v>
      </x:c>
      <x:c r="K202" s="24" t="str">
        <x:v>https://www.federalreserve.gov/releases/g5a/current/default.htm</x:v>
      </x:c>
      <x:c r="L202" s="4" t="str">
        <x:v>2026-01-05發布，2025年度日匯率平均；CNY7.1875、EUR1.1306USD/EUR、HKD7.7956、INR87.1468、JPY149.5686、MYR4.2809、SGD1.3065、KRW1421.3963、TWD31.1663、THB32.8619。</x:v>
      </x:c>
      <x:c r="M202" s="4" t="str">
        <x:v>turn202view0</x:v>
      </x:c>
      <x:c r="N202" s="4" t="str">
        <x:v>Federal Reserve</x:v>
      </x:c>
    </x:row>
    <x:row r="203" ht="38" customHeight="1">
      <x:c r="A203" s="4" t="str">
        <x:v>X02</x:v>
      </x:c>
      <x:c r="B203" s="4" t="str">
        <x:v>APAC Office Fit Out Cost Guide 2026, pp.30–31</x:v>
      </x:c>
      <x:c r="C203" s="4" t="str">
        <x:v>Cushman &amp; Wakefield</x:v>
      </x:c>
      <x:c r="D203" s="15" t="n">
        <x:v>2026</x:v>
      </x:c>
      <x:c r="E203" s="4" t="str">
        <x:v>英文</x:v>
      </x:c>
      <x:c r="F203" s="4" t="str">
        <x:v>跨國</x:v>
      </x:c>
      <x:c r="G203" s="4" t="str">
        <x:v>B</x:v>
      </x:c>
      <x:c r="H203" s="4" t="str">
        <x:v>opened_read</x:v>
      </x:c>
      <x:c r="I203" s="4" t="str"/>
      <x:c r="J203" s="4" t="str">
        <x:v>未記錄</x:v>
      </x:c>
      <x:c r="K203" s="24" t="str">
        <x:v>https://digital.cushmanwakefield.com/fitoutcostguide-03-2026-apac-regional-en-content-pds-office/30-31/</x:v>
      </x:c>
      <x:c r="L203" s="4" t="str">
        <x:v>成本頁逐城讀USD/ft²；配合X11方法頁確定價格2025-12，報告2026。</x:v>
      </x:c>
      <x:c r="M203" s="4" t="str">
        <x:v>turn202view1</x:v>
      </x:c>
      <x:c r="N203" s="4" t="str">
        <x:v>Cushman &amp; Wakefield APAC 2026</x:v>
      </x:c>
    </x:row>
    <x:row r="204" ht="30" customHeight="1">
      <x:c r="A204" s="4" t="str">
        <x:v>X03</x:v>
      </x:c>
      <x:c r="B204" s="4" t="str">
        <x:v>Global office fit-out costs guide 2026</x:v>
      </x:c>
      <x:c r="C204" s="4" t="str">
        <x:v>JLL</x:v>
      </x:c>
      <x:c r="D204" s="15" t="n">
        <x:v>2026</x:v>
      </x:c>
      <x:c r="E204" s="4" t="str">
        <x:v>英文</x:v>
      </x:c>
      <x:c r="F204" s="4" t="str">
        <x:v>跨國</x:v>
      </x:c>
      <x:c r="G204" s="4" t="str">
        <x:v>B</x:v>
      </x:c>
      <x:c r="H204" s="4" t="str">
        <x:v>opened_read</x:v>
      </x:c>
      <x:c r="I204" s="4" t="str"/>
      <x:c r="J204" s="4" t="str">
        <x:v>未記錄</x:v>
      </x:c>
      <x:c r="K204" s="24" t="str">
        <x:v>https://www.jll.com/en-us/guides/global-office-fit-out-costs-guide</x:v>
      </x:c>
      <x:c r="L204" s="4" t="str">
        <x:v>2026-04-16發布；APAC moderate辦公fit-out平均1,550USD/m²；區域均值不能與单城值當同一指標互驗。</x:v>
      </x:c>
      <x:c r="M204" s="4" t="str">
        <x:v>turn255view0</x:v>
      </x:c>
      <x:c r="N204" s="4" t="str">
        <x:v>JLL</x:v>
      </x:c>
    </x:row>
    <x:row r="205" ht="38" customHeight="1">
      <x:c r="A205" s="4" t="str">
        <x:v>X04</x:v>
      </x:c>
      <x:c r="B205" s="4" t="str">
        <x:v>2025年3月期決算短信〔IFRS〕連結</x:v>
      </x:c>
      <x:c r="C205" s="4" t="str">
        <x:v>Nitori Holdings</x:v>
      </x:c>
      <x:c r="D205" s="15" t="n">
        <x:v>2025</x:v>
      </x:c>
      <x:c r="E205" s="4" t="str">
        <x:v>日文</x:v>
      </x:c>
      <x:c r="F205" s="4" t="str">
        <x:v>JP</x:v>
      </x:c>
      <x:c r="G205" s="4" t="str">
        <x:v>A</x:v>
      </x:c>
      <x:c r="H205" s="4" t="str">
        <x:v>opened_read</x:v>
      </x:c>
      <x:c r="I205" s="4" t="str"/>
      <x:c r="J205" s="4" t="str">
        <x:v>未記錄</x:v>
      </x:c>
      <x:c r="K205" s="24" t="str">
        <x:v>https://www.nitorihd.co.jp/ir/items/IFRS202503_4Q_tanshin_20250625.pdf</x:v>
      </x:c>
      <x:c r="L205" s="4" t="str">
        <x:v>財报PDF第1頁FY2025-03營收928828百萬JPY、營業利益117665百萬JPY；未以本次未找到的段落支持中國虧損店調整敘述。</x:v>
      </x:c>
      <x:c r="M205" s="4" t="str">
        <x:v>turn255view1</x:v>
      </x:c>
      <x:c r="N205" s="4" t="str">
        <x:v>Nitori Holdings</x:v>
      </x:c>
    </x:row>
    <x:row r="206" ht="38" customHeight="1">
      <x:c r="A206" s="4" t="str">
        <x:v>X05</x:v>
      </x:c>
      <x:c r="B206" s="4" t="str">
        <x:v>FY25 financial results</x:v>
      </x:c>
      <x:c r="C206" s="4" t="str">
        <x:v>Inter IKEA Group</x:v>
      </x:c>
      <x:c r="D206" s="15" t="n">
        <x:v>2025</x:v>
      </x:c>
      <x:c r="E206" s="4" t="str">
        <x:v>英文</x:v>
      </x:c>
      <x:c r="F206" s="4" t="str">
        <x:v>跨國</x:v>
      </x:c>
      <x:c r="G206" s="4" t="str">
        <x:v>C</x:v>
      </x:c>
      <x:c r="H206" s="4" t="str">
        <x:v>opened_read</x:v>
      </x:c>
      <x:c r="I206" s="4" t="str"/>
      <x:c r="J206" s="4" t="str">
        <x:v>未記錄</x:v>
      </x:c>
      <x:c r="K206" s="24" t="str">
        <x:v>https://www.inter.ikea.com/en/performance/fy25-financial-results</x:v>
      </x:c>
      <x:c r="L206" s="4" t="str">
        <x:v>表FY25單位million EUR：revenue26306、grossprofit4978、operating1725、net1496；加盟費一般為淨銷售3%。卡片14.2%與表算18.92%毛利率不一致。</x:v>
      </x:c>
      <x:c r="M206" s="4" t="str">
        <x:v>turn202view2</x:v>
      </x:c>
      <x:c r="N206" s="4" t="str">
        <x:v>Inter IKEA Group</x:v>
      </x:c>
    </x:row>
    <x:row r="207" ht="38" customHeight="1">
      <x:c r="A207" s="4" t="str">
        <x:v>X06</x:v>
      </x:c>
      <x:c r="B207" s="4" t="str">
        <x:v>会社案内2025–2026</x:v>
      </x:c>
      <x:c r="C207" s="4" t="str">
        <x:v>良品計画</x:v>
      </x:c>
      <x:c r="D207" s="15" t="n">
        <x:v>2025</x:v>
      </x:c>
      <x:c r="E207" s="4" t="str">
        <x:v>日文</x:v>
      </x:c>
      <x:c r="F207" s="4" t="str">
        <x:v>JP</x:v>
      </x:c>
      <x:c r="G207" s="4" t="str">
        <x:v>C</x:v>
      </x:c>
      <x:c r="H207" s="4" t="str">
        <x:v>opened_read</x:v>
      </x:c>
      <x:c r="I207" s="4" t="str"/>
      <x:c r="J207" s="4" t="str">
        <x:v>未記錄</x:v>
      </x:c>
      <x:c r="K207" s="24" t="str">
        <x:v>https://www.ryohin-keikaku.jp/pdf/corporate/overview/2025-2026_jp.pdf</x:v>
      </x:c>
      <x:c r="L207" s="4" t="str">
        <x:v>PDF第4頁營收7,846億29百萬円；第8頁生活雜貨3,681億84百萬円、營業利益738億円（已取整），FY2025-08。</x:v>
      </x:c>
      <x:c r="M207" s="4" t="str">
        <x:v>turn252view0</x:v>
      </x:c>
      <x:c r="N207" s="4" t="str">
        <x:v>良品計画</x:v>
      </x:c>
    </x:row>
    <x:row r="208" ht="38" customHeight="1">
      <x:c r="A208" s="4" t="str">
        <x:v>X07</x:v>
      </x:c>
      <x:c r="B208" s="4" t="str">
        <x:v>Enterprise: How to use AI template?</x:v>
      </x:c>
      <x:c r="C208" s="4" t="str">
        <x:v>Coohom</x:v>
      </x:c>
      <x:c r="D208" s="15" t="n">
        <x:v>2024</x:v>
      </x:c>
      <x:c r="E208" s="4" t="str">
        <x:v>英文</x:v>
      </x:c>
      <x:c r="F208" s="4" t="str">
        <x:v>跨國</x:v>
      </x:c>
      <x:c r="G208" s="4" t="str">
        <x:v>C</x:v>
      </x:c>
      <x:c r="H208" s="4" t="str">
        <x:v>opened_read</x:v>
      </x:c>
      <x:c r="I208" s="4" t="str"/>
      <x:c r="J208" s="4" t="str">
        <x:v>未記錄</x:v>
      </x:c>
      <x:c r="K208" s="24" t="str">
        <x:v>https://www.coohom.com/helpcenter/enterprise-how-to-use-ai-template?hl=tw</x:v>
      </x:c>
      <x:c r="L208" s="4" t="str">
        <x:v>官方說明頁更新2024-12-11，企業／個人／公開模板及全屋／單室功能；不作效率或ROI證據。</x:v>
      </x:c>
      <x:c r="M208" s="4" t="str">
        <x:v>turn255view2</x:v>
      </x:c>
      <x:c r="N208" s="4" t="str">
        <x:v>Coohom</x:v>
      </x:c>
    </x:row>
    <x:row r="209" ht="30" customHeight="1">
      <x:c r="A209" s="4" t="str">
        <x:v>X08</x:v>
      </x:c>
      <x:c r="B209" s="4" t="str">
        <x:v>Table 12 Philippine Peso per US Dollar Exchange Rate</x:v>
      </x:c>
      <x:c r="C209" s="4" t="str">
        <x:v>Bangko Sentral ng Pilipinas</x:v>
      </x:c>
      <x:c r="D209" s="15" t="n">
        <x:v>2026</x:v>
      </x:c>
      <x:c r="E209" s="4" t="str">
        <x:v>英文</x:v>
      </x:c>
      <x:c r="F209" s="4" t="str">
        <x:v>PH</x:v>
      </x:c>
      <x:c r="G209" s="4" t="str">
        <x:v>A</x:v>
      </x:c>
      <x:c r="H209" s="4" t="str">
        <x:v>opened_read</x:v>
      </x:c>
      <x:c r="I209" s="4" t="str"/>
      <x:c r="J209" s="4" t="str">
        <x:v>未記錄</x:v>
      </x:c>
      <x:c r="K209" s="24" t="str">
        <x:v>https://www.bsp.gov.ph/statistics/external/tab12_pus_data.aspx</x:v>
      </x:c>
      <x:c r="L209" s="4" t="str">
        <x:v>BSP Table12年平均列：2025=57.5051PHP/USD。</x:v>
      </x:c>
      <x:c r="M209" s="4" t="str">
        <x:v>turn252view1</x:v>
      </x:c>
      <x:c r="N209" s="4" t="str">
        <x:v>Bangko Sentral ng Pilipinas</x:v>
      </x:c>
    </x:row>
    <x:row r="210" ht="38" customHeight="1">
      <x:c r="A210" s="4" t="str">
        <x:v>X09</x:v>
      </x:c>
      <x:c r="B210" s="4" t="str">
        <x:v>V.40 Selected foreign exchange middle rates against Rupiah</x:v>
      </x:c>
      <x:c r="C210" s="4" t="str">
        <x:v>Bank Indonesia</x:v>
      </x:c>
      <x:c r="D210" s="15" t="n">
        <x:v>2026</x:v>
      </x:c>
      <x:c r="E210" s="4" t="str">
        <x:v>印尼文／英文</x:v>
      </x:c>
      <x:c r="F210" s="4" t="str">
        <x:v>ID</x:v>
      </x:c>
      <x:c r="G210" s="4" t="str">
        <x:v>A</x:v>
      </x:c>
      <x:c r="H210" s="4" t="str">
        <x:v>opened_read</x:v>
      </x:c>
      <x:c r="I210" s="4" t="str"/>
      <x:c r="J210" s="4" t="str">
        <x:v>未記錄</x:v>
      </x:c>
      <x:c r="K210" s="24" t="str">
        <x:v>https://www.bi.go.id/SEKI/tabel/TABEL5_40.pdf</x:v>
      </x:c>
      <x:c r="L210" s="4" t="str">
        <x:v>SEKI表5.40：2025末四個月份Sep/Oct/Nov/Dec=16680/16640/16644/16782。原16680錯標年末；用16782修正，X18同機構另一表確認。</x:v>
      </x:c>
      <x:c r="M210" s="4" t="str">
        <x:v>turn261view0</x:v>
      </x:c>
      <x:c r="N210" s="4" t="str">
        <x:v>Bank Indonesia</x:v>
      </x:c>
    </x:row>
    <x:row r="211" ht="38" customHeight="1">
      <x:c r="A211" s="4" t="str">
        <x:v>X10</x:v>
      </x:c>
      <x:c r="B211" s="4" t="str">
        <x:v>Thông cáo báo chí tình hình kinh tế – xã hội quý IV và năm 2025</x:v>
      </x:c>
      <x:c r="C211" s="4" t="str">
        <x:v>越南國家統計局</x:v>
      </x:c>
      <x:c r="D211" s="15" t="n">
        <x:v>2026</x:v>
      </x:c>
      <x:c r="E211" s="4" t="str">
        <x:v>越文</x:v>
      </x:c>
      <x:c r="F211" s="4" t="str">
        <x:v>VN</x:v>
      </x:c>
      <x:c r="G211" s="4" t="str">
        <x:v>A</x:v>
      </x:c>
      <x:c r="H211" s="4" t="str">
        <x:v>opened_read</x:v>
      </x:c>
      <x:c r="I211" s="4" t="str"/>
      <x:c r="J211" s="4" t="str">
        <x:v>未記錄</x:v>
      </x:c>
      <x:c r="K211" s="24" t="str">
        <x:v>https://www.nso.gov.vn/tin-tuc-thong-ke/2026/01/thong-cao-bao-chi-tinh-hinh-kinh-te-xa-hoi-quy-iv-va-nam-2025/</x:v>
      </x:c>
      <x:c r="L211" s="4" t="str">
        <x:v>2025全年經社會新聞稿註11：平均中央匯率24.976,91 VND/USD。</x:v>
      </x:c>
      <x:c r="M211" s="4" t="str">
        <x:v>turn244view8</x:v>
      </x:c>
      <x:c r="N211" s="4" t="str">
        <x:v>越南國家統計局</x:v>
      </x:c>
    </x:row>
    <x:row r="212" ht="38" customHeight="1">
      <x:c r="A212" s="4" t="str">
        <x:v>X11</x:v>
      </x:c>
      <x:c r="B212" s="4" t="str">
        <x:v>APAC Office Fit Out Cost Guide 2026：方法與需求概覽</x:v>
      </x:c>
      <x:c r="C212" s="4" t="str">
        <x:v>Cushman &amp; Wakefield</x:v>
      </x:c>
      <x:c r="D212" s="15" t="n">
        <x:v>2026</x:v>
      </x:c>
      <x:c r="E212" s="4" t="str">
        <x:v>英文</x:v>
      </x:c>
      <x:c r="F212" s="4" t="str">
        <x:v>跨國</x:v>
      </x:c>
      <x:c r="G212" s="4" t="str">
        <x:v>B</x:v>
      </x:c>
      <x:c r="H212" s="4" t="str">
        <x:v>opened_read</x:v>
      </x:c>
      <x:c r="I212" s="4" t="str"/>
      <x:c r="J212" s="4" t="str">
        <x:v>未記錄</x:v>
      </x:c>
      <x:c r="K212" s="24" t="str">
        <x:v>https://digital.cushmanwakefield.com/fitoutcostguide-03-2026-apac-regional-en-content-pds-office</x:v>
      </x:c>
      <x:c r="L212" s="4" t="str">
        <x:v>方法頁說明2025年12月價格，涵蓋家具、M&amp;E、builder works、AV/IT，indicative benchmarks。</x:v>
      </x:c>
      <x:c r="M212" s="4" t="str">
        <x:v>turn255view3</x:v>
      </x:c>
      <x:c r="N212" s="4" t="str">
        <x:v>Cushman &amp; Wakefield APAC 2026</x:v>
      </x:c>
    </x:row>
    <x:row r="213" ht="30" customHeight="1">
      <x:c r="A213" s="4" t="str">
        <x:v>X12</x:v>
      </x:c>
      <x:c r="B213" s="4" t="str">
        <x:v>2025年3月期決算短信</x:v>
      </x:c>
      <x:c r="C213" s="4" t="str">
        <x:v>カチタス／JPX</x:v>
      </x:c>
      <x:c r="D213" s="15" t="n">
        <x:v>2025</x:v>
      </x:c>
      <x:c r="E213" s="4" t="str">
        <x:v>日文</x:v>
      </x:c>
      <x:c r="F213" s="4" t="str">
        <x:v>JP</x:v>
      </x:c>
      <x:c r="G213" s="4" t="str">
        <x:v>A</x:v>
      </x:c>
      <x:c r="H213" s="4" t="str">
        <x:v>opened_read</x:v>
      </x:c>
      <x:c r="I213" s="4" t="str"/>
      <x:c r="J213" s="4" t="str">
        <x:v>未記錄</x:v>
      </x:c>
      <x:c r="K213" s="24" t="str">
        <x:v>https://www2.jpx.co.jp/disc/89190/140120250509536651.pdf</x:v>
      </x:c>
      <x:c r="L213" s="4" t="str">
        <x:v>PDF第1／8頁FY2025-03營收129537、營業利益14222、淨利9550百萬JPY；營業利益率11.0%。</x:v>
      </x:c>
      <x:c r="M213" s="4" t="str">
        <x:v>turn255view4</x:v>
      </x:c>
      <x:c r="N213" s="4" t="str">
        <x:v>カチタス／JPX</x:v>
      </x:c>
    </x:row>
    <x:row r="214" ht="38" customHeight="1">
      <x:c r="A214" s="4" t="str">
        <x:v>X13</x:v>
      </x:c>
      <x:c r="B214" s="4" t="str">
        <x:v>About dwp</x:v>
      </x:c>
      <x:c r="C214" s="4" t="str">
        <x:v>dwp</x:v>
      </x:c>
      <x:c r="D214" s="15" t="n">
        <x:v>2026</x:v>
      </x:c>
      <x:c r="E214" s="4" t="str">
        <x:v>英文</x:v>
      </x:c>
      <x:c r="F214" s="4" t="str">
        <x:v>跨國</x:v>
      </x:c>
      <x:c r="G214" s="4" t="str">
        <x:v>C</x:v>
      </x:c>
      <x:c r="H214" s="4" t="str">
        <x:v>opened_read</x:v>
      </x:c>
      <x:c r="I214" s="4" t="str"/>
      <x:c r="J214" s="4" t="str">
        <x:v>未記錄</x:v>
      </x:c>
      <x:c r="K214" s="24" t="str">
        <x:v>https://dwp.com/about</x:v>
      </x:c>
      <x:c r="L214" s="4" t="str">
        <x:v>官方about列450專業人員及Interior、FF&amp;E、turnkey服務、上海／胡志明市／曼谷據點；官網自述不能證明各區獲利。</x:v>
      </x:c>
      <x:c r="M214" s="4" t="str">
        <x:v>turn255view5</x:v>
      </x:c>
      <x:c r="N214" s="4" t="str">
        <x:v>dwp</x:v>
      </x:c>
    </x:row>
    <x:row r="215" ht="30" customHeight="1">
      <x:c r="A215" s="4" t="str">
        <x:v>X14</x:v>
      </x:c>
      <x:c r="B215" s="4" t="str">
        <x:v>關於Homestyler：AI與3D平台</x:v>
      </x:c>
      <x:c r="C215" s="4" t="str">
        <x:v>Homestyler</x:v>
      </x:c>
      <x:c r="D215" s="15" t="n">
        <x:v>2026</x:v>
      </x:c>
      <x:c r="E215" s="4" t="str">
        <x:v>繁中</x:v>
      </x:c>
      <x:c r="F215" s="4" t="str">
        <x:v>跨國</x:v>
      </x:c>
      <x:c r="G215" s="4" t="str">
        <x:v>C</x:v>
      </x:c>
      <x:c r="H215" s="4" t="str">
        <x:v>opened_read</x:v>
      </x:c>
      <x:c r="I215" s="4" t="str"/>
      <x:c r="J215" s="4" t="str">
        <x:v>未記錄</x:v>
      </x:c>
      <x:c r="K215" s="24" t="str">
        <x:v>https://www.homestyler.com/zh-tw/about</x:v>
      </x:c>
      <x:c r="L215" s="4" t="str">
        <x:v>官方about列AI／3D與B2B白標/API功能；只支持工具能力，不支持導入報酬。</x:v>
      </x:c>
      <x:c r="M215" s="4" t="str">
        <x:v>turn259view0</x:v>
      </x:c>
      <x:c r="N215" s="4" t="str">
        <x:v>Homestyler</x:v>
      </x:c>
    </x:row>
    <x:row r="216" ht="30" customHeight="1">
      <x:c r="A216" s="4" t="str">
        <x:v>X15</x:v>
      </x:c>
      <x:c r="B216" s="4" t="str">
        <x:v>匯僑設計：服務及上海松江廠展示廳案例</x:v>
      </x:c>
      <x:c r="C216" s="4" t="str">
        <x:v>匯僑設計</x:v>
      </x:c>
      <x:c r="D216" s="15" t="n">
        <x:v>2026</x:v>
      </x:c>
      <x:c r="E216" s="4" t="str">
        <x:v>繁中</x:v>
      </x:c>
      <x:c r="F216" s="4" t="str">
        <x:v>TW</x:v>
      </x:c>
      <x:c r="G216" s="4" t="str">
        <x:v>C</x:v>
      </x:c>
      <x:c r="H216" s="4" t="str">
        <x:v>opened_read</x:v>
      </x:c>
      <x:c r="I216" s="4" t="str"/>
      <x:c r="J216" s="4" t="str">
        <x:v>未記錄</x:v>
      </x:c>
      <x:c r="K216" s="24" t="str">
        <x:v>https://www.richhonour.com/tw</x:v>
      </x:c>
      <x:c r="L216" s="4" t="str">
        <x:v>首頁L108–117：克麗緹娜松江廠展示廳，上海625平米，2022完工，設計及工程。</x:v>
      </x:c>
      <x:c r="M216" s="4" t="str">
        <x:v>turn273view1</x:v>
      </x:c>
      <x:c r="N216" s="4" t="str">
        <x:v>匯僑設計</x:v>
      </x:c>
    </x:row>
    <x:row r="217" ht="30" customHeight="1">
      <x:c r="A217" s="4" t="str">
        <x:v>X16</x:v>
      </x:c>
      <x:c r="B217" s="4" t="str">
        <x:v>Projects：越南頭頓商辦設計</x:v>
      </x:c>
      <x:c r="C217" s="4" t="str">
        <x:v>Gentourstudio</x:v>
      </x:c>
      <x:c r="D217" s="15" t="n">
        <x:v>2026</x:v>
      </x:c>
      <x:c r="E217" s="4" t="str">
        <x:v>繁中</x:v>
      </x:c>
      <x:c r="F217" s="4" t="str">
        <x:v>TW</x:v>
      </x:c>
      <x:c r="G217" s="4" t="str">
        <x:v>C</x:v>
      </x:c>
      <x:c r="H217" s="4" t="str">
        <x:v>opened_read</x:v>
      </x:c>
      <x:c r="I217" s="4" t="str"/>
      <x:c r="J217" s="4" t="str">
        <x:v>未記錄</x:v>
      </x:c>
      <x:c r="K217" s="24" t="str">
        <x:v>https://gentourstudio.com/pages/projets</x:v>
      </x:c>
      <x:c r="L217" s="4" t="str">
        <x:v>作品頁L62–64：越南頭頓商辦450m²／136坪，建築規劃及室內與建商合作；未有獨立完工及利潤驗證。</x:v>
      </x:c>
      <x:c r="M217" s="4" t="str">
        <x:v>turn259view2</x:v>
      </x:c>
      <x:c r="N217" s="4" t="str">
        <x:v>Gentourstudio</x:v>
      </x:c>
    </x:row>
    <x:row r="218" ht="30" customHeight="1">
      <x:c r="A218" s="4" t="str">
        <x:v>X17</x:v>
      </x:c>
      <x:c r="B218" s="4" t="str">
        <x:v>About：台北與上海據點</x:v>
      </x:c>
      <x:c r="C218" s="4" t="str">
        <x:v>WELLS未來示</x:v>
      </x:c>
      <x:c r="D218" s="15" t="n">
        <x:v>2026</x:v>
      </x:c>
      <x:c r="E218" s="4" t="str">
        <x:v>繁中</x:v>
      </x:c>
      <x:c r="F218" s="4" t="str">
        <x:v>TW</x:v>
      </x:c>
      <x:c r="G218" s="4" t="str">
        <x:v>C</x:v>
      </x:c>
      <x:c r="H218" s="4" t="str">
        <x:v>opened_read</x:v>
      </x:c>
      <x:c r="I218" s="4" t="str"/>
      <x:c r="J218" s="4" t="str">
        <x:v>未記錄</x:v>
      </x:c>
      <x:c r="K218" s="24" t="str">
        <x:v>https://www.wellsfuture.com/about</x:v>
      </x:c>
      <x:c r="L218" s="4" t="str">
        <x:v>about L21–39明列台北與上海辦公室／辦事處，L54–57地址；無發布日，以查閱日識別。</x:v>
      </x:c>
      <x:c r="M218" s="4" t="str">
        <x:v>turn273view0</x:v>
      </x:c>
      <x:c r="N218" s="4" t="str">
        <x:v>WELLS未來示</x:v>
      </x:c>
    </x:row>
    <x:row r="219" ht="38" customHeight="1">
      <x:c r="A219" s="4" t="str">
        <x:v>MJP</x:v>
      </x:c>
      <x:c r="B219" s="4" t="str">
        <x:v>日本 World Development Indicators country profile</x:v>
      </x:c>
      <x:c r="C219" s="4" t="str">
        <x:v>World Bank</x:v>
      </x:c>
      <x:c r="D219" s="15" t="n">
        <x:v>2025</x:v>
      </x:c>
      <x:c r="E219" s="4" t="str">
        <x:v>英文</x:v>
      </x:c>
      <x:c r="F219" s="4" t="str">
        <x:v>跨國</x:v>
      </x:c>
      <x:c r="G219" s="4" t="str">
        <x:v>A</x:v>
      </x:c>
      <x:c r="H219" s="4" t="str">
        <x:v>opened_read</x:v>
      </x:c>
      <x:c r="I219" s="4" t="str"/>
      <x:c r="J219" s="4" t="str">
        <x:v>未記錄</x:v>
      </x:c>
      <x:c r="K219" s="24" t="str">
        <x:v>https://data.worldbank.org/country/japan</x:v>
      </x:c>
      <x:c r="L219" s="4" t="str">
        <x:v>WDI國家頁Latest value(2025)：人均GDP=35951.045 USD/人；人口=123366734 人；GDP=4440000000000.0 USD。GDP和CN/IN人口按頁面取整，不提高精度。</x:v>
      </x:c>
      <x:c r="M219" s="4" t="str">
        <x:v>turn215view0</x:v>
      </x:c>
      <x:c r="N219" s="4" t="str">
        <x:v>World Bank（含WDI／Selected Indicators／FRED轉載）</x:v>
      </x:c>
    </x:row>
    <x:row r="220" ht="38" customHeight="1">
      <x:c r="A220" s="4" t="str">
        <x:v>MKR</x:v>
      </x:c>
      <x:c r="B220" s="4" t="str">
        <x:v>韓國 World Development Indicators country profile</x:v>
      </x:c>
      <x:c r="C220" s="4" t="str">
        <x:v>World Bank</x:v>
      </x:c>
      <x:c r="D220" s="15" t="n">
        <x:v>2025</x:v>
      </x:c>
      <x:c r="E220" s="4" t="str">
        <x:v>英文</x:v>
      </x:c>
      <x:c r="F220" s="4" t="str">
        <x:v>跨國</x:v>
      </x:c>
      <x:c r="G220" s="4" t="str">
        <x:v>A</x:v>
      </x:c>
      <x:c r="H220" s="4" t="str">
        <x:v>opened_read</x:v>
      </x:c>
      <x:c r="I220" s="4" t="str"/>
      <x:c r="J220" s="4" t="str">
        <x:v>未記錄</x:v>
      </x:c>
      <x:c r="K220" s="24" t="str">
        <x:v>https://data.worldbank.org/country/korea-rep</x:v>
      </x:c>
      <x:c r="L220" s="4" t="str">
        <x:v>WDI國家頁Latest value(2025)：人均GDP=36226.966 USD/人；人口=51684564 人；GDP=1870000000000.0 USD。GDP和CN/IN人口按頁面取整，不提高精度。</x:v>
      </x:c>
      <x:c r="M220" s="4" t="str">
        <x:v>turn215view1</x:v>
      </x:c>
      <x:c r="N220" s="4" t="str">
        <x:v>World Bank（含WDI／Selected Indicators／FRED轉載）</x:v>
      </x:c>
    </x:row>
    <x:row r="221" ht="38" customHeight="1">
      <x:c r="A221" s="4" t="str">
        <x:v>MSG</x:v>
      </x:c>
      <x:c r="B221" s="4" t="str">
        <x:v>新加坡 World Development Indicators country profile</x:v>
      </x:c>
      <x:c r="C221" s="4" t="str">
        <x:v>World Bank</x:v>
      </x:c>
      <x:c r="D221" s="15" t="n">
        <x:v>2025</x:v>
      </x:c>
      <x:c r="E221" s="4" t="str">
        <x:v>英文</x:v>
      </x:c>
      <x:c r="F221" s="4" t="str">
        <x:v>跨國</x:v>
      </x:c>
      <x:c r="G221" s="4" t="str">
        <x:v>A</x:v>
      </x:c>
      <x:c r="H221" s="4" t="str">
        <x:v>opened_read</x:v>
      </x:c>
      <x:c r="I221" s="4" t="str"/>
      <x:c r="J221" s="4" t="str">
        <x:v>未記錄</x:v>
      </x:c>
      <x:c r="K221" s="24" t="str">
        <x:v>https://data.worldbank.org/country/singapore</x:v>
      </x:c>
      <x:c r="L221" s="4" t="str">
        <x:v>WDI國家頁Latest value(2025)：人均GDP=98813.979 USD/人；人口=6111175 人；GDP=603870000000.0 USD。GDP和CN/IN人口按頁面取整，不提高精度。</x:v>
      </x:c>
      <x:c r="M221" s="4" t="str">
        <x:v>turn215view2</x:v>
      </x:c>
      <x:c r="N221" s="4" t="str">
        <x:v>World Bank（含WDI／Selected Indicators／FRED轉載）</x:v>
      </x:c>
    </x:row>
    <x:row r="222" ht="38" customHeight="1">
      <x:c r="A222" s="4" t="str">
        <x:v>MHK</x:v>
      </x:c>
      <x:c r="B222" s="4" t="str">
        <x:v>香港 World Development Indicators country profile</x:v>
      </x:c>
      <x:c r="C222" s="4" t="str">
        <x:v>World Bank</x:v>
      </x:c>
      <x:c r="D222" s="15" t="n">
        <x:v>2025</x:v>
      </x:c>
      <x:c r="E222" s="4" t="str">
        <x:v>英文</x:v>
      </x:c>
      <x:c r="F222" s="4" t="str">
        <x:v>跨國</x:v>
      </x:c>
      <x:c r="G222" s="4" t="str">
        <x:v>A</x:v>
      </x:c>
      <x:c r="H222" s="4" t="str">
        <x:v>opened_read</x:v>
      </x:c>
      <x:c r="I222" s="4" t="str"/>
      <x:c r="J222" s="4" t="str">
        <x:v>未記錄</x:v>
      </x:c>
      <x:c r="K222" s="24" t="str">
        <x:v>https://data.worldbank.org/country/hong-kong-sar-china</x:v>
      </x:c>
      <x:c r="L222" s="4" t="str">
        <x:v>WDI國家頁Latest value(2025)：人均GDP=56983.066 USD/人；人口=7498900 人；GDP=427310000000.0 USD。GDP和CN/IN人口按頁面取整，不提高精度。</x:v>
      </x:c>
      <x:c r="M222" s="4" t="str">
        <x:v>turn215view3</x:v>
      </x:c>
      <x:c r="N222" s="4" t="str">
        <x:v>World Bank（含WDI／Selected Indicators／FRED轉載）</x:v>
      </x:c>
    </x:row>
    <x:row r="223" ht="38" customHeight="1">
      <x:c r="A223" s="4" t="str">
        <x:v>MCN</x:v>
      </x:c>
      <x:c r="B223" s="4" t="str">
        <x:v>中國大陸 World Development Indicators country profile</x:v>
      </x:c>
      <x:c r="C223" s="4" t="str">
        <x:v>World Bank</x:v>
      </x:c>
      <x:c r="D223" s="15" t="n">
        <x:v>2025</x:v>
      </x:c>
      <x:c r="E223" s="4" t="str">
        <x:v>英文</x:v>
      </x:c>
      <x:c r="F223" s="4" t="str">
        <x:v>跨國</x:v>
      </x:c>
      <x:c r="G223" s="4" t="str">
        <x:v>A</x:v>
      </x:c>
      <x:c r="H223" s="4" t="str">
        <x:v>opened_read</x:v>
      </x:c>
      <x:c r="I223" s="4" t="str"/>
      <x:c r="J223" s="4" t="str">
        <x:v>未記錄</x:v>
      </x:c>
      <x:c r="K223" s="24" t="str">
        <x:v>https://data.worldbank.org/country/china</x:v>
      </x:c>
      <x:c r="L223" s="4" t="str">
        <x:v>WDI國家頁Latest value(2025)：人均GDP=13862 USD/人；人口=1410000000.0 人；GDP=19500000000000.0 USD。GDP和CN/IN人口按頁面取整，不提高精度。</x:v>
      </x:c>
      <x:c r="M223" s="4" t="str">
        <x:v>turn215view4</x:v>
      </x:c>
      <x:c r="N223" s="4" t="str">
        <x:v>World Bank（含WDI／Selected Indicators／FRED轉載）</x:v>
      </x:c>
    </x:row>
    <x:row r="224" ht="38" customHeight="1">
      <x:c r="A224" s="4" t="str">
        <x:v>MTH</x:v>
      </x:c>
      <x:c r="B224" s="4" t="str">
        <x:v>泰國 World Development Indicators country profile</x:v>
      </x:c>
      <x:c r="C224" s="4" t="str">
        <x:v>World Bank</x:v>
      </x:c>
      <x:c r="D224" s="15" t="n">
        <x:v>2025</x:v>
      </x:c>
      <x:c r="E224" s="4" t="str">
        <x:v>英文</x:v>
      </x:c>
      <x:c r="F224" s="4" t="str">
        <x:v>跨國</x:v>
      </x:c>
      <x:c r="G224" s="4" t="str">
        <x:v>A</x:v>
      </x:c>
      <x:c r="H224" s="4" t="str">
        <x:v>opened_read</x:v>
      </x:c>
      <x:c r="I224" s="4" t="str"/>
      <x:c r="J224" s="4" t="str">
        <x:v>未記錄</x:v>
      </x:c>
      <x:c r="K224" s="24" t="str">
        <x:v>https://data.worldbank.org/country/thailand</x:v>
      </x:c>
      <x:c r="L224" s="4" t="str">
        <x:v>WDI國家頁Latest value(2025)：人均GDP=8056.564 USD/人；人口=71619863 人；GDP=577010000000.0 USD。GDP和CN/IN人口按頁面取整，不提高精度。</x:v>
      </x:c>
      <x:c r="M224" s="4" t="str">
        <x:v>turn244view0</x:v>
      </x:c>
      <x:c r="N224" s="4" t="str">
        <x:v>World Bank（含WDI／Selected Indicators／FRED轉載）</x:v>
      </x:c>
    </x:row>
    <x:row r="225" ht="38" customHeight="1">
      <x:c r="A225" s="4" t="str">
        <x:v>MVN</x:v>
      </x:c>
      <x:c r="B225" s="4" t="str">
        <x:v>越南 World Development Indicators country profile</x:v>
      </x:c>
      <x:c r="C225" s="4" t="str">
        <x:v>World Bank</x:v>
      </x:c>
      <x:c r="D225" s="15" t="n">
        <x:v>2025</x:v>
      </x:c>
      <x:c r="E225" s="4" t="str">
        <x:v>英文</x:v>
      </x:c>
      <x:c r="F225" s="4" t="str">
        <x:v>跨國</x:v>
      </x:c>
      <x:c r="G225" s="4" t="str">
        <x:v>A</x:v>
      </x:c>
      <x:c r="H225" s="4" t="str">
        <x:v>opened_read</x:v>
      </x:c>
      <x:c r="I225" s="4" t="str"/>
      <x:c r="J225" s="4" t="str">
        <x:v>未記錄</x:v>
      </x:c>
      <x:c r="K225" s="24" t="str">
        <x:v>https://data.worldbank.org/country/viet-nam</x:v>
      </x:c>
      <x:c r="L225" s="4" t="str">
        <x:v>WDI國家頁Latest value(2025)：人均GDP=5065.991 USD/人；人口=101598527 人；GDP=514700000000.0 USD。GDP和CN/IN人口按頁面取整，不提高精度。</x:v>
      </x:c>
      <x:c r="M225" s="4" t="str">
        <x:v>turn244view1</x:v>
      </x:c>
      <x:c r="N225" s="4" t="str">
        <x:v>World Bank（含WDI／Selected Indicators／FRED轉載）</x:v>
      </x:c>
    </x:row>
    <x:row r="226" ht="52" customHeight="1">
      <x:c r="A226" s="4" t="str">
        <x:v>MID</x:v>
      </x:c>
      <x:c r="B226" s="4" t="str">
        <x:v>印尼 World Development Indicators country profile</x:v>
      </x:c>
      <x:c r="C226" s="4" t="str">
        <x:v>World Bank</x:v>
      </x:c>
      <x:c r="D226" s="15" t="n">
        <x:v>2025</x:v>
      </x:c>
      <x:c r="E226" s="4" t="str">
        <x:v>英文</x:v>
      </x:c>
      <x:c r="F226" s="4" t="str">
        <x:v>跨國</x:v>
      </x:c>
      <x:c r="G226" s="4" t="str">
        <x:v>A</x:v>
      </x:c>
      <x:c r="H226" s="4" t="str">
        <x:v>opened_read</x:v>
      </x:c>
      <x:c r="I226" s="4" t="str"/>
      <x:c r="J226" s="4" t="str">
        <x:v>未記錄</x:v>
      </x:c>
      <x:c r="K226" s="24" t="str">
        <x:v>https://data.worldbank.org/country/indonesia</x:v>
      </x:c>
      <x:c r="L226" s="4" t="str">
        <x:v>WDI國家頁Latest value(2025)：人均GDP=5059.6 USD/人；人口=285721236 人；GDP=1450000000000.0 USD。GDP和CN/IN人口按頁面取整，不提高精度。人均GDP頁面完整值5059.626，R1保留一位小數5059.6；R2保存來源精度。</x:v>
      </x:c>
      <x:c r="M226" s="4" t="str">
        <x:v>turn244view2</x:v>
      </x:c>
      <x:c r="N226" s="4" t="str">
        <x:v>World Bank（含WDI／Selected Indicators／FRED轉載）</x:v>
      </x:c>
    </x:row>
    <x:row r="227" ht="38" customHeight="1">
      <x:c r="A227" s="4" t="str">
        <x:v>MPH</x:v>
      </x:c>
      <x:c r="B227" s="4" t="str">
        <x:v>菲律賓 World Development Indicators country profile</x:v>
      </x:c>
      <x:c r="C227" s="4" t="str">
        <x:v>World Bank</x:v>
      </x:c>
      <x:c r="D227" s="15" t="n">
        <x:v>2025</x:v>
      </x:c>
      <x:c r="E227" s="4" t="str">
        <x:v>英文</x:v>
      </x:c>
      <x:c r="F227" s="4" t="str">
        <x:v>跨國</x:v>
      </x:c>
      <x:c r="G227" s="4" t="str">
        <x:v>A</x:v>
      </x:c>
      <x:c r="H227" s="4" t="str">
        <x:v>opened_read</x:v>
      </x:c>
      <x:c r="I227" s="4" t="str"/>
      <x:c r="J227" s="4" t="str">
        <x:v>未記錄</x:v>
      </x:c>
      <x:c r="K227" s="24" t="str">
        <x:v>https://data.worldbank.org/country/philippines</x:v>
      </x:c>
      <x:c r="L227" s="4" t="str">
        <x:v>WDI國家頁Latest value(2025)：人均GDP=4170.723 USD/人；人口=116786962 人；GDP=487090000000.0 USD。GDP和CN/IN人口按頁面取整，不提高精度。</x:v>
      </x:c>
      <x:c r="M227" s="4" t="str">
        <x:v>turn244view3</x:v>
      </x:c>
      <x:c r="N227" s="4" t="str">
        <x:v>World Bank（含WDI／Selected Indicators／FRED轉載）</x:v>
      </x:c>
    </x:row>
    <x:row r="228" ht="38" customHeight="1">
      <x:c r="A228" s="4" t="str">
        <x:v>MIN</x:v>
      </x:c>
      <x:c r="B228" s="4" t="str">
        <x:v>印度 World Development Indicators country profile</x:v>
      </x:c>
      <x:c r="C228" s="4" t="str">
        <x:v>World Bank</x:v>
      </x:c>
      <x:c r="D228" s="15" t="n">
        <x:v>2025</x:v>
      </x:c>
      <x:c r="E228" s="4" t="str">
        <x:v>英文</x:v>
      </x:c>
      <x:c r="F228" s="4" t="str">
        <x:v>跨國</x:v>
      </x:c>
      <x:c r="G228" s="4" t="str">
        <x:v>A</x:v>
      </x:c>
      <x:c r="H228" s="4" t="str">
        <x:v>opened_read</x:v>
      </x:c>
      <x:c r="I228" s="4" t="str"/>
      <x:c r="J228" s="4" t="str">
        <x:v>未記錄</x:v>
      </x:c>
      <x:c r="K228" s="24" t="str">
        <x:v>https://data.worldbank.org/country/india</x:v>
      </x:c>
      <x:c r="L228" s="4" t="str">
        <x:v>WDI國家頁Latest value(2025)：人均GDP=2702.48 USD/人；人口=1460000000.0 人；GDP=3960000000000.0 USD。GDP和CN/IN人口按頁面取整，不提高精度。</x:v>
      </x:c>
      <x:c r="M228" s="4" t="str">
        <x:v>turn244view4</x:v>
      </x:c>
      <x:c r="N228" s="4" t="str">
        <x:v>World Bank（含WDI／Selected Indicators／FRED轉載）</x:v>
      </x:c>
    </x:row>
    <x:row r="229" ht="38" customHeight="1">
      <x:c r="A229" s="4" t="str">
        <x:v>TW21</x:v>
      </x:c>
      <x:c r="B229" s="4" t="str">
        <x:v>內政部將推動老宅延壽計畫</x:v>
      </x:c>
      <x:c r="C229" s="4" t="str">
        <x:v>內政部</x:v>
      </x:c>
      <x:c r="D229" s="15" t="n">
        <x:v>2025</x:v>
      </x:c>
      <x:c r="E229" s="4" t="str">
        <x:v>繁體中文</x:v>
      </x:c>
      <x:c r="F229" s="4" t="str">
        <x:v>TW</x:v>
      </x:c>
      <x:c r="G229" s="4" t="str">
        <x:v>A</x:v>
      </x:c>
      <x:c r="H229" s="4" t="str">
        <x:v>open</x:v>
      </x:c>
      <x:c r="I229" s="4" t="str"/>
      <x:c r="J229" s="4" t="str">
        <x:v>未記錄</x:v>
      </x:c>
      <x:c r="K229" s="24" t="str">
        <x:v>https://www.moi.gov.tw/News_Content.aspx?n=4&amp;s=325449</x:v>
      </x:c>
      <x:c r="L229" s="4" t="str">
        <x:v>L245–249，2025-02-06公告：30年以上老宅約500萬戶，超過整體住宅存量半數；新聞稿約數，未提供原始統計期與分母。</x:v>
      </x:c>
      <x:c r="M229" s="4" t="str">
        <x:v>turn265view0</x:v>
      </x:c>
      <x:c r="N229" s="4" t="str">
        <x:v>內政部</x:v>
      </x:c>
    </x:row>
    <x:row r="230" ht="38" customHeight="1">
      <x:c r="A230" s="4" t="str">
        <x:v>TW22</x:v>
      </x:c>
      <x:c r="B230" s="4" t="str">
        <x:v>114年職類別薪資調查統計結果</x:v>
      </x:c>
      <x:c r="C230" s="4" t="str">
        <x:v>勞動部</x:v>
      </x:c>
      <x:c r="D230" s="15" t="n">
        <x:v>2026</x:v>
      </x:c>
      <x:c r="E230" s="4" t="str">
        <x:v>繁體中文</x:v>
      </x:c>
      <x:c r="F230" s="4" t="str">
        <x:v>TW</x:v>
      </x:c>
      <x:c r="G230" s="4" t="str">
        <x:v>A</x:v>
      </x:c>
      <x:c r="H230" s="4" t="str">
        <x:v>open</x:v>
      </x:c>
      <x:c r="I230" s="4" t="str"/>
      <x:c r="J230" s="4" t="str">
        <x:v>未記錄</x:v>
      </x:c>
      <x:c r="K230" s="24" t="str">
        <x:v>https://www.mol.gov.tw/1607/1632/1633/90814/</x:v>
      </x:c>
      <x:c r="L230" s="4" t="str">
        <x:v>L48–50：2025年職類別薪資調查於8月辦理，月薪基期2025年7月、年薪基期2024，排除雇主、自營作業者、無酬家屬與部分工時；有效9,977家。未取得室內設計細項。</x:v>
      </x:c>
      <x:c r="M230" s="4" t="str">
        <x:v>turn265view1</x:v>
      </x:c>
      <x:c r="N230" s="4" t="str">
        <x:v>勞動部</x:v>
      </x:c>
    </x:row>
    <x:row r="231" ht="38" customHeight="1">
      <x:c r="A231" s="4" t="str">
        <x:v>JP20</x:v>
      </x:c>
      <x:c r="B231" s="4" t="str">
        <x:v>リフォームにおける建築確認要否の解説事例集（木造一戸建て住宅）</x:v>
      </x:c>
      <x:c r="C231" s="4" t="str">
        <x:v>国土交通省</x:v>
      </x:c>
      <x:c r="D231" s="15" t="str">
        <x:v>發布年未載；2025制度</x:v>
      </x:c>
      <x:c r="E231" s="4" t="str">
        <x:v>日文</x:v>
      </x:c>
      <x:c r="F231" s="4" t="str">
        <x:v>JP</x:v>
      </x:c>
      <x:c r="G231" s="4" t="str">
        <x:v>A</x:v>
      </x:c>
      <x:c r="H231" s="4" t="str">
        <x:v>open</x:v>
      </x:c>
      <x:c r="I231" s="4" t="str"/>
      <x:c r="J231" s="4" t="str">
        <x:v>未記錄</x:v>
      </x:c>
      <x:c r="K231" s="24" t="str">
        <x:v>https://www.mlit.go.jp/common/001853472.pdf</x:v>
      </x:c>
      <x:c r="L231" s="4" t="str">
        <x:v>7頁PDF第2–7頁：2025-04起2層木造住宅大規模修繕／改造需建築確認；主要構造部一種以上過半；水回設備或扶手等小修不需確認但仍須符合法規。</x:v>
      </x:c>
      <x:c r="M231" s="4" t="str">
        <x:v>turn251view0</x:v>
      </x:c>
      <x:c r="N231" s="4" t="str">
        <x:v>国土交通省</x:v>
      </x:c>
    </x:row>
    <x:row r="232" ht="38" customHeight="1">
      <x:c r="A232" s="4" t="str">
        <x:v>KR20</x:v>
      </x:c>
      <x:c r="B232" s="4" t="str">
        <x:v>실내건축의 구조·시공방법 등에 관한 기준</x:v>
      </x:c>
      <x:c r="C232" s="4" t="str">
        <x:v>國家法令資訊中心</x:v>
      </x:c>
      <x:c r="D232" s="15" t="str">
        <x:v>2026</x:v>
      </x:c>
      <x:c r="E232" s="4" t="str">
        <x:v>韓文</x:v>
      </x:c>
      <x:c r="F232" s="4" t="str">
        <x:v>KR</x:v>
      </x:c>
      <x:c r="G232" s="4" t="str">
        <x:v>A</x:v>
      </x:c>
      <x:c r="H232" s="4" t="str">
        <x:v>opened_partial</x:v>
      </x:c>
      <x:c r="I232" s="4" t="str"/>
      <x:c r="J232" s="4" t="str">
        <x:v>未記錄</x:v>
      </x:c>
      <x:c r="K232" s="24" t="str">
        <x:v>https://www.law.go.kr/LSW/admRulLsInfoP.do?admRulSeq=2100000272946</x:v>
      </x:c>
      <x:c r="L232" s="4" t="str">
        <x:v>L11 核實 2026-01-22 施行與國土交通部第2026-38號；僅版本資訊可核，細部正文抽取有限，不宣稱全部條文已核。</x:v>
      </x:c>
      <x:c r="M232" s="4" t="str">
        <x:v>turn231view2</x:v>
      </x:c>
      <x:c r="N232" s="4" t="str">
        <x:v>國家法令資訊中心</x:v>
      </x:c>
    </x:row>
    <x:row r="233" ht="30" customHeight="1">
      <x:c r="A233" s="4" t="str">
        <x:v>KR21</x:v>
      </x:c>
      <x:c r="B233" s="4" t="str">
        <x:v>실내건축공사업 협의회</x:v>
      </x:c>
      <x:c r="C233" s="4" t="str">
        <x:v>室內建築工程協議會</x:v>
      </x:c>
      <x:c r="D233" s="15" t="str">
        <x:v>查閱2026</x:v>
      </x:c>
      <x:c r="E233" s="4" t="str">
        <x:v>韓文</x:v>
      </x:c>
      <x:c r="F233" s="4" t="str">
        <x:v>KR</x:v>
      </x:c>
      <x:c r="G233" s="4" t="str">
        <x:v>B</x:v>
      </x:c>
      <x:c r="H233" s="4" t="str">
        <x:v>opened</x:v>
      </x:c>
      <x:c r="I233" s="4" t="str"/>
      <x:c r="J233" s="4" t="str">
        <x:v>未記錄</x:v>
      </x:c>
      <x:c r="K233" s="24" t="str">
        <x:v>https://kicc.or.kr/</x:v>
      </x:c>
      <x:c r="L233" s="4" t="str">
        <x:v>協議會首頁實讀 L31、37–50；有登記、業者及工項單價入口，首頁不含詳細單價。</x:v>
      </x:c>
      <x:c r="M233" s="4" t="str">
        <x:v>turn231view3</x:v>
      </x:c>
      <x:c r="N233" s="4" t="str">
        <x:v>室內建築工程協議會</x:v>
      </x:c>
    </x:row>
    <x:row r="234" ht="38" customHeight="1">
      <x:c r="A234" s="4" t="str">
        <x:v>SG14</x:v>
      </x:c>
      <x:c r="B234" s="4" t="str">
        <x:v>Plan Approval</x:v>
      </x:c>
      <x:c r="C234" s="4" t="str">
        <x:v>SCDF</x:v>
      </x:c>
      <x:c r="D234" s="15" t="str">
        <x:v>查閱2026</x:v>
      </x:c>
      <x:c r="E234" s="4" t="str">
        <x:v>英文</x:v>
      </x:c>
      <x:c r="F234" s="4" t="str">
        <x:v>SG</x:v>
      </x:c>
      <x:c r="G234" s="4" t="str">
        <x:v>A</x:v>
      </x:c>
      <x:c r="H234" s="4" t="str">
        <x:v>opened</x:v>
      </x:c>
      <x:c r="I234" s="4" t="str"/>
      <x:c r="J234" s="4" t="str">
        <x:v>未記錄</x:v>
      </x:c>
      <x:c r="K234" s="24" t="str">
        <x:v>https://www.scdf.gov.sg/fire-safety-services-listing/plans-submission-process/plan-approval</x:v>
      </x:c>
      <x:c r="L234" s="4" t="str">
        <x:v>L517–544；Fire Safety Act 1993、消防工程範圍、QP 及豁免／小幅 A&amp;A 呈報區別。</x:v>
      </x:c>
      <x:c r="M234" s="4" t="str">
        <x:v>turn237view3</x:v>
      </x:c>
      <x:c r="N234" s="4" t="str">
        <x:v>SCDF</x:v>
      </x:c>
    </x:row>
    <x:row r="235" ht="38" customHeight="1">
      <x:c r="A235" s="4" t="str">
        <x:v>SG15</x:v>
      </x:c>
      <x:c r="B235" s="4" t="str">
        <x:v>Builders Licensing Scheme</x:v>
      </x:c>
      <x:c r="C235" s="4" t="str">
        <x:v>BCA</x:v>
      </x:c>
      <x:c r="D235" s="15" t="str">
        <x:v>2026</x:v>
      </x:c>
      <x:c r="E235" s="4" t="str">
        <x:v>英文</x:v>
      </x:c>
      <x:c r="F235" s="4" t="str">
        <x:v>SG</x:v>
      </x:c>
      <x:c r="G235" s="4" t="str">
        <x:v>A</x:v>
      </x:c>
      <x:c r="H235" s="4" t="str">
        <x:v>opened</x:v>
      </x:c>
      <x:c r="I235" s="4" t="str"/>
      <x:c r="J235" s="4" t="str">
        <x:v>未記錄</x:v>
      </x:c>
      <x:c r="K235" s="24" t="str">
        <x:v>https://www1.bca.gov.sg/safety-and-standards/applications-and-licenses/builders-licensing-scheme-bls/</x:v>
      </x:c>
      <x:c r="L235" s="4" t="str">
        <x:v>L42–64；需建管核准圖說的 building works 主承包及指定專業工程；不是所有分包均需一般營造牌照。</x:v>
      </x:c>
      <x:c r="M235" s="4" t="str">
        <x:v>turn237view1</x:v>
      </x:c>
      <x:c r="N235" s="4" t="str">
        <x:v>BCA</x:v>
      </x:c>
    </x:row>
    <x:row r="236" ht="38" customHeight="1">
      <x:c r="A236" s="4" t="str">
        <x:v>SG16</x:v>
      </x:c>
      <x:c r="B236" s="4" t="str">
        <x:v>CaseTrust Accreditation for Renovation Businesses</x:v>
      </x:c>
      <x:c r="C236" s="4" t="str">
        <x:v>CASE</x:v>
      </x:c>
      <x:c r="D236" s="15" t="str">
        <x:v>查閱2026</x:v>
      </x:c>
      <x:c r="E236" s="4" t="str">
        <x:v>英文</x:v>
      </x:c>
      <x:c r="F236" s="4" t="str">
        <x:v>SG</x:v>
      </x:c>
      <x:c r="G236" s="4" t="str">
        <x:v>B</x:v>
      </x:c>
      <x:c r="H236" s="4" t="str">
        <x:v>opened</x:v>
      </x:c>
      <x:c r="I236" s="4" t="str"/>
      <x:c r="J236" s="4" t="str">
        <x:v>未記錄</x:v>
      </x:c>
      <x:c r="K236" s="24" t="str">
        <x:v>https://www.case.org.sg/casetrust/casetrust-accreditation-for-renovation-businesses/</x:v>
      </x:c>
      <x:c r="L236" s="4" t="str">
        <x:v>L49–72：認證者須訂金履約保障、標準契約、12個月工藝保固、初始訂金上限20%；屬認證方案條件，非全部業者法定義務。</x:v>
      </x:c>
      <x:c r="M236" s="4" t="str">
        <x:v>turn220view2</x:v>
      </x:c>
      <x:c r="N236" s="4" t="str">
        <x:v>CASE</x:v>
      </x:c>
    </x:row>
    <x:row r="237" ht="38" customHeight="1">
      <x:c r="A237" s="4" t="str">
        <x:v>SG17</x:v>
      </x:c>
      <x:c r="B237" s="4" t="str">
        <x:v>Contractors Registration System</x:v>
      </x:c>
      <x:c r="C237" s="4" t="str">
        <x:v>BCA</x:v>
      </x:c>
      <x:c r="D237" s="15" t="str">
        <x:v>2026</x:v>
      </x:c>
      <x:c r="E237" s="4" t="str">
        <x:v>英文</x:v>
      </x:c>
      <x:c r="F237" s="4" t="str">
        <x:v>SG</x:v>
      </x:c>
      <x:c r="G237" s="4" t="str">
        <x:v>A</x:v>
      </x:c>
      <x:c r="H237" s="4" t="str">
        <x:v>opened</x:v>
      </x:c>
      <x:c r="I237" s="4" t="str"/>
      <x:c r="J237" s="4" t="str">
        <x:v>未記錄</x:v>
      </x:c>
      <x:c r="K237" s="24" t="str">
        <x:v>https://www1.bca.gov.sg/growth-and-transformation/procurement/registration-of-built-environment-firms/contractors-registration-system-crs/</x:v>
      </x:c>
      <x:c r="L237" s="4" t="str">
        <x:v>L36–49；2025-06-01 起雇建造業 S Pass／WP 須 CRS；另公共工程投標／第一層分包亦需。</x:v>
      </x:c>
      <x:c r="M237" s="4" t="str">
        <x:v>turn237view2</x:v>
      </x:c>
      <x:c r="N237" s="4" t="str">
        <x:v>BCA</x:v>
      </x:c>
    </x:row>
    <x:row r="238" ht="38" customHeight="1">
      <x:c r="A238" s="4" t="str">
        <x:v>SG18</x:v>
      </x:c>
      <x:c r="B238" s="4" t="str">
        <x:v>Registering a local company via Bizfile</x:v>
      </x:c>
      <x:c r="C238" s="4" t="str">
        <x:v>ACRA</x:v>
      </x:c>
      <x:c r="D238" s="15" t="str">
        <x:v>2026</x:v>
      </x:c>
      <x:c r="E238" s="4" t="str">
        <x:v>英文</x:v>
      </x:c>
      <x:c r="F238" s="4" t="str">
        <x:v>SG</x:v>
      </x:c>
      <x:c r="G238" s="4" t="str">
        <x:v>A</x:v>
      </x:c>
      <x:c r="H238" s="4" t="str">
        <x:v>opened</x:v>
      </x:c>
      <x:c r="I238" s="4" t="str"/>
      <x:c r="J238" s="4" t="str">
        <x:v>未記錄</x:v>
      </x:c>
      <x:c r="K238" s="24" t="str">
        <x:v>https://www.acra.gov.sg/register/business/registering-different-business-structures/local-company/registering-via-bizfile/</x:v>
      </x:c>
      <x:c r="L238" s="4" t="str">
        <x:v>2026-10-08 更新；本地董事、地址、控制人與股東文件；註冊費 SGD300，不是總設立成本。</x:v>
      </x:c>
      <x:c r="M238" s="4" t="str">
        <x:v>turn213view1</x:v>
      </x:c>
      <x:c r="N238" s="4" t="str">
        <x:v>ACRA</x:v>
      </x:c>
    </x:row>
    <x:row r="239" ht="30" customHeight="1">
      <x:c r="A239" s="4" t="str">
        <x:v>SG19</x:v>
      </x:c>
      <x:c r="B239" s="4" t="str">
        <x:v>Eligibility for Employment Pass</x:v>
      </x:c>
      <x:c r="C239" s="4" t="str">
        <x:v>MOM</x:v>
      </x:c>
      <x:c r="D239" s="15" t="str">
        <x:v>查閱2026</x:v>
      </x:c>
      <x:c r="E239" s="4" t="str">
        <x:v>英文</x:v>
      </x:c>
      <x:c r="F239" s="4" t="str">
        <x:v>SG</x:v>
      </x:c>
      <x:c r="G239" s="4" t="str">
        <x:v>A</x:v>
      </x:c>
      <x:c r="H239" s="4" t="str">
        <x:v>opened</x:v>
      </x:c>
      <x:c r="I239" s="4" t="str"/>
      <x:c r="J239" s="4" t="str">
        <x:v>未記錄</x:v>
      </x:c>
      <x:c r="K239" s="24" t="str">
        <x:v>https://www.mom.gov.sg/passes-and-permits/employment-pass/eligibility</x:v>
      </x:c>
      <x:c r="L239" s="4" t="str">
        <x:v>L60–100；非金融業現最低 SGD5,600，隨年齡提高；2027新申請提高至6,000。薪資以外還有COMPASS等。</x:v>
      </x:c>
      <x:c r="M239" s="4" t="str">
        <x:v>turn231view0</x:v>
      </x:c>
      <x:c r="N239" s="4" t="str">
        <x:v>MOM</x:v>
      </x:c>
    </x:row>
    <x:row r="240" ht="30" customHeight="1">
      <x:c r="A240" s="4" t="str">
        <x:v>SG20</x:v>
      </x:c>
      <x:c r="B240" s="4" t="str">
        <x:v>Singapore Interior Design Accreditation Scheme</x:v>
      </x:c>
      <x:c r="C240" s="4" t="str">
        <x:v>SIDAC／SIDS</x:v>
      </x:c>
      <x:c r="D240" s="15" t="str">
        <x:v>查閱2026</x:v>
      </x:c>
      <x:c r="E240" s="4" t="str">
        <x:v>英文</x:v>
      </x:c>
      <x:c r="F240" s="4" t="str">
        <x:v>SG</x:v>
      </x:c>
      <x:c r="G240" s="4" t="str">
        <x:v>B</x:v>
      </x:c>
      <x:c r="H240" s="4" t="str">
        <x:v>opened</x:v>
      </x:c>
      <x:c r="I240" s="4" t="str"/>
      <x:c r="J240" s="4" t="str">
        <x:v>未記錄</x:v>
      </x:c>
      <x:c r="K240" s="24" t="str">
        <x:v>https://sidac.org.sg/</x:v>
      </x:c>
      <x:c r="L240" s="4" t="str">
        <x:v>L34–40；SIDS主導 SIDAS 業界認證及持續教育，不能替代 BCA、HDB、SCDF 法定工程要求。</x:v>
      </x:c>
      <x:c r="M240" s="4" t="str">
        <x:v>turn231view1</x:v>
      </x:c>
      <x:c r="N240" s="4" t="str">
        <x:v>SIDAC／SIDS</x:v>
      </x:c>
    </x:row>
    <x:row r="241" ht="38" customHeight="1">
      <x:c r="A241" s="4" t="str">
        <x:v>SG21</x:v>
      </x:c>
      <x:c r="B241" s="4" t="str">
        <x:v>Industry Overview slide 17 original chart</x:v>
      </x:c>
      <x:c r="C241" s="4" t="str">
        <x:v>Springview／Frost &amp; Sullivan</x:v>
      </x:c>
      <x:c r="D241" s="15" t="str">
        <x:v>2024</x:v>
      </x:c>
      <x:c r="E241" s="4" t="str">
        <x:v>英文</x:v>
      </x:c>
      <x:c r="F241" s="4" t="str">
        <x:v>SG</x:v>
      </x:c>
      <x:c r="G241" s="4" t="str">
        <x:v>B</x:v>
      </x:c>
      <x:c r="H241" s="4" t="str">
        <x:v>opened</x:v>
      </x:c>
      <x:c r="I241" s="4" t="str"/>
      <x:c r="J241" s="4" t="str">
        <x:v>未記錄</x:v>
      </x:c>
      <x:c r="K241" s="24" t="str">
        <x:v>https://www.sec.gov/Archives/edgar/data/2002236/000121390024045316/image_017.jpg</x:v>
      </x:c>
      <x:c r="L241" s="4" t="str">
        <x:v>已以web開圖及本地view_image視讀圖例：Renovation住宅2022 1,638.7、2024E 1,771.5、2025E 1,847.5、2027E 2,048.5 百萬SGD；同SG11文件，不增獨立來源數。</x:v>
      </x:c>
      <x:c r="M241" s="4" t="str">
        <x:v>turn237view0</x:v>
      </x:c>
      <x:c r="N241" s="4" t="str">
        <x:v>Frost &amp; Sullivan／Springview 2024簡報</x:v>
      </x:c>
    </x:row>
    <x:row r="242" ht="38" customHeight="1">
      <x:c r="A242" s="4" t="str">
        <x:v>HK13</x:v>
      </x:c>
      <x:c r="B242" s="4" t="str">
        <x:v>倡規範家居裝修 建舒適美滿之家：研究方法與摘要</x:v>
      </x:c>
      <x:c r="C242" s="4" t="str">
        <x:v>香港消費者委員會</x:v>
      </x:c>
      <x:c r="D242" s="15" t="n">
        <x:v>2024</x:v>
      </x:c>
      <x:c r="E242" s="4" t="str">
        <x:v>繁體中文</x:v>
      </x:c>
      <x:c r="F242" s="4" t="str">
        <x:v>HK</x:v>
      </x:c>
      <x:c r="G242" s="4" t="str">
        <x:v>B</x:v>
      </x:c>
      <x:c r="H242" s="4" t="str">
        <x:v>opened</x:v>
      </x:c>
      <x:c r="I242" s="4" t="str"/>
      <x:c r="J242" s="4" t="str">
        <x:v>未記錄</x:v>
      </x:c>
      <x:c r="K242" s="24" t="str">
        <x:v>https://www.consumer.org.hk/tc/advocacy/study-report/home_renovation_study</x:v>
      </x:c>
      <x:c r="L242" s="4" t="str">
        <x:v>已實際開頁讀取內容；來源身分與數值/定義另作指標級核對。</x:v>
      </x:c>
      <x:c r="M242" s="4" t="str">
        <x:v>turn232view0</x:v>
      </x:c>
      <x:c r="N242" s="4" t="str">
        <x:v>香港消費者委員會家居裝修研究</x:v>
      </x:c>
    </x:row>
    <x:row r="243" ht="30" customHeight="1">
      <x:c r="A243" s="4" t="str">
        <x:v>CN14</x:v>
      </x:c>
      <x:c r="B243" s="4" t="str">
        <x:v>國家統計局發布2024年全國房地產市場基本情況（官方轉載）</x:v>
      </x:c>
      <x:c r="C243" s="4" t="str">
        <x:v>福建省住房和城鄉建設廳／國家統計局</x:v>
      </x:c>
      <x:c r="D243" s="15" t="n">
        <x:v>2025</x:v>
      </x:c>
      <x:c r="E243" s="4" t="str">
        <x:v>簡體中文</x:v>
      </x:c>
      <x:c r="F243" s="4" t="str">
        <x:v>CN</x:v>
      </x:c>
      <x:c r="G243" s="4" t="str">
        <x:v>A</x:v>
      </x:c>
      <x:c r="H243" s="4" t="str">
        <x:v>opened</x:v>
      </x:c>
      <x:c r="I243" s="4" t="str"/>
      <x:c r="J243" s="4" t="str">
        <x:v>未記錄</x:v>
      </x:c>
      <x:c r="K243" s="24" t="str">
        <x:v>https://zjt.fujian.gov.cn/jdhy/hygq/202501/t20250122_6706379.htm</x:v>
      </x:c>
      <x:c r="L243" s="4" t="str">
        <x:v>已實際開頁讀取內容；來源身分與數值/定義另作指標級核對。</x:v>
      </x:c>
      <x:c r="M243" s="4" t="str">
        <x:v>turn214view0</x:v>
      </x:c>
      <x:c r="N243" s="4" t="str">
        <x:v>國家統計局中國（含官方轉載）</x:v>
      </x:c>
    </x:row>
    <x:row r="244" ht="30" customHeight="1">
      <x:c r="A244" s="4" t="str">
        <x:v>CN15</x:v>
      </x:c>
      <x:c r="B244" s="4" t="str">
        <x:v>2026年1—8月份全國房地產市場基本情況</x:v>
      </x:c>
      <x:c r="C244" s="4" t="str">
        <x:v>國家統計局</x:v>
      </x:c>
      <x:c r="D244" s="15" t="n">
        <x:v>2026</x:v>
      </x:c>
      <x:c r="E244" s="4" t="str">
        <x:v>簡體中文</x:v>
      </x:c>
      <x:c r="F244" s="4" t="str">
        <x:v>CN</x:v>
      </x:c>
      <x:c r="G244" s="4" t="str">
        <x:v>A</x:v>
      </x:c>
      <x:c r="H244" s="4" t="str">
        <x:v>opened</x:v>
      </x:c>
      <x:c r="I244" s="4" t="str"/>
      <x:c r="J244" s="4" t="str">
        <x:v>未記錄</x:v>
      </x:c>
      <x:c r="K244" s="24" t="str">
        <x:v>https://www.stats.gov.cn/sj/zxfb/202609/t20260915_1965310.html</x:v>
      </x:c>
      <x:c r="L244" s="4" t="str">
        <x:v>已實際開頁讀取內容；來源身分與數值/定義另作指標級核對。</x:v>
      </x:c>
      <x:c r="M244" s="4" t="str">
        <x:v>turn208view4</x:v>
      </x:c>
      <x:c r="N244" s="4" t="str">
        <x:v>國家統計局中國（含官方轉載）</x:v>
      </x:c>
    </x:row>
    <x:row r="245" ht="30" customHeight="1">
      <x:c r="A245" s="4" t="str">
        <x:v>HK14</x:v>
      </x:c>
      <x:c r="B245" s="4" t="str">
        <x:v>一般就業政策：資格與台灣居民申請文件</x:v>
      </x:c>
      <x:c r="C245" s="4" t="str">
        <x:v>香港入境事務處</x:v>
      </x:c>
      <x:c r="D245" s="15" t="str">
        <x:v>2026查閱</x:v>
      </x:c>
      <x:c r="E245" s="4" t="str">
        <x:v>繁體中文</x:v>
      </x:c>
      <x:c r="F245" s="4" t="str">
        <x:v>HK</x:v>
      </x:c>
      <x:c r="G245" s="4" t="str">
        <x:v>A</x:v>
      </x:c>
      <x:c r="H245" s="4" t="str">
        <x:v>opened</x:v>
      </x:c>
      <x:c r="I245" s="4" t="str"/>
      <x:c r="J245" s="4" t="str">
        <x:v>未記錄</x:v>
      </x:c>
      <x:c r="K245" s="24" t="str">
        <x:v>https://www.immd.gov.hk/hkt/services/visas/GEP.html</x:v>
      </x:c>
      <x:c r="L245" s="4" t="str">
        <x:v>已實際開頁讀取內容；來源身分與數值/定義另作指標級核對。</x:v>
      </x:c>
      <x:c r="M245" s="4" t="str">
        <x:v>turn278view0</x:v>
      </x:c>
      <x:c r="N245" s="4" t="str">
        <x:v>香港入境事務處</x:v>
      </x:c>
    </x:row>
    <x:row r="246" ht="30" customHeight="1">
      <x:c r="A246" s="4" t="str">
        <x:v>HK15</x:v>
      </x:c>
      <x:c r="B246" s="4" t="str">
        <x:v>消防裝置承辦商：註冊及名單入口</x:v>
      </x:c>
      <x:c r="C246" s="4" t="str">
        <x:v>香港消防處</x:v>
      </x:c>
      <x:c r="D246" s="15" t="str">
        <x:v>2026查閱</x:v>
      </x:c>
      <x:c r="E246" s="4" t="str">
        <x:v>繁體中文</x:v>
      </x:c>
      <x:c r="F246" s="4" t="str">
        <x:v>HK</x:v>
      </x:c>
      <x:c r="G246" s="4" t="str">
        <x:v>A</x:v>
      </x:c>
      <x:c r="H246" s="4" t="str">
        <x:v>opened</x:v>
      </x:c>
      <x:c r="I246" s="4" t="str"/>
      <x:c r="J246" s="4" t="str">
        <x:v>未記錄</x:v>
      </x:c>
      <x:c r="K246" s="24" t="str">
        <x:v>https://www.hkfsd.gov.hk/chi/fire_protection/cert/</x:v>
      </x:c>
      <x:c r="L246" s="4" t="str">
        <x:v>已實際開頁讀取內容；來源身分與數值/定義另作指標級核對。</x:v>
      </x:c>
      <x:c r="M246" s="4" t="str">
        <x:v>turn278view1</x:v>
      </x:c>
      <x:c r="N246" s="4" t="str">
        <x:v>香港消防處</x:v>
      </x:c>
    </x:row>
    <x:row r="247" ht="30" customHeight="1">
      <x:c r="A247" s="4" t="str">
        <x:v>HK16</x:v>
      </x:c>
      <x:c r="B247" s="4" t="str">
        <x:v>綜合用途建築物及住用建築物的消防安全</x:v>
      </x:c>
      <x:c r="C247" s="4" t="str">
        <x:v>香港消防處</x:v>
      </x:c>
      <x:c r="D247" s="15" t="str">
        <x:v>2026查閱</x:v>
      </x:c>
      <x:c r="E247" s="4" t="str">
        <x:v>繁體中文</x:v>
      </x:c>
      <x:c r="F247" s="4" t="str">
        <x:v>HK</x:v>
      </x:c>
      <x:c r="G247" s="4" t="str">
        <x:v>A</x:v>
      </x:c>
      <x:c r="H247" s="4" t="str">
        <x:v>opened</x:v>
      </x:c>
      <x:c r="I247" s="4" t="str"/>
      <x:c r="J247" s="4" t="str">
        <x:v>未記錄</x:v>
      </x:c>
      <x:c r="K247" s="24" t="str">
        <x:v>https://www.hkfsd.gov.hk/chi/fire_protection/fire-safety/</x:v>
      </x:c>
      <x:c r="L247" s="4" t="str">
        <x:v>已實際開頁讀取內容；來源身分與數值/定義另作指標級核對。</x:v>
      </x:c>
      <x:c r="M247" s="4" t="str">
        <x:v>turn278view2</x:v>
      </x:c>
      <x:c r="N247" s="4" t="str">
        <x:v>香港消防處</x:v>
      </x:c>
    </x:row>
    <x:row r="248" ht="30" customHeight="1">
      <x:c r="A248" s="4" t="str">
        <x:v>MY24</x:v>
      </x:c>
      <x:c r="B248" s="4" t="str">
        <x:v>Teamstar Berhad Prospectus — Section 8 Industry Overview</x:v>
      </x:c>
      <x:c r="C248" s="4" t="str">
        <x:v>Teamstar Berhad / Protégé Associates</x:v>
      </x:c>
      <x:c r="D248" s="15" t="n">
        <x:v>2026</x:v>
      </x:c>
      <x:c r="E248" s="4" t="str">
        <x:v>英文</x:v>
      </x:c>
      <x:c r="F248" s="42" t="b">
        <x:v>1</x:v>
      </x:c>
      <x:c r="G248" s="4" t="str">
        <x:v>A</x:v>
      </x:c>
      <x:c r="H248" s="4" t="str">
        <x:v>opened</x:v>
      </x:c>
      <x:c r="I248" s="4" t="str"/>
      <x:c r="J248" s="4" t="str">
        <x:v>未記錄</x:v>
      </x:c>
      <x:c r="K248" s="24" t="str">
        <x:v>https://anns.sgp1.cdn.digitaloceanspaces.com/3629602.pdf</x:v>
      </x:c>
      <x:c r="L248" s="4" t="str">
        <x:v>替代原失效URL；同機構同資料系列，只算單源。</x:v>
      </x:c>
      <x:c r="M248" s="4" t="str">
        <x:v>turn256view0</x:v>
      </x:c>
      <x:c r="N248" s="4" t="str">
        <x:v>Protégé／Teamstar招股書同份資料</x:v>
      </x:c>
    </x:row>
    <x:row r="249" ht="178" customHeight="1">
      <x:c r="A249" s="4" t="str">
        <x:v>TH25</x:v>
      </x:c>
      <x:c r="B249" s="4" t="str">
        <x:v>เริ่ม 1 กรกฎาคมนี้ กระทรวงแรงงาน ปรับใหม่ค่าแรงขั้นต่ำ สอดรับเศรษฐกิจ ยกระดับคุณภาพชีวิตแรงงาน</x:v>
      </x:c>
      <x:c r="C249" s="4" t="str">
        <x:v>Ministry of Labour</x:v>
      </x:c>
      <x:c r="D249" s="15" t="n">
        <x:v>2025</x:v>
      </x:c>
      <x:c r="E249" s="4" t="str">
        <x:v>泰文</x:v>
      </x:c>
      <x:c r="F249" s="42" t="b">
        <x:v>1</x:v>
      </x:c>
      <x:c r="G249" s="4" t="str">
        <x:v>A</x:v>
      </x:c>
      <x:c r="H249" s="4" t="str">
        <x:v>opened</x:v>
      </x:c>
      <x:c r="I249" s="4" t="str"/>
      <x:c r="J249" s="4" t="str">
        <x:v>未記錄</x:v>
      </x:c>
      <x:c r="K249" s="24" t="str">
        <x:v>https://www.mol.go.th/news/%E0%B9%80%E0%B8%A3%E0%B8%B4%E0%B9%88%E0%B8%A1-1-%E0%B8%81%E0%B8%A3%E0%B8%81%E0%B8%8E%E0%B8%B2%E0%B8%84%E0%B8%A1%E0%B8%99%E0%B8%B5%E0%B9%89-%E0%B8%81%E0%B8%A3%E0%B8%B0%E0%B8%97%E0%B8%A3%E0%B8%A7%E0%B8%87%E0%B9%81%E0%B8%A3%E0%B8%87%E0%B8%87%E0%B8%B2%E0%B8%99-%E0%B8%9B%E0%B8%A3%E0%B8%B1%E0%B8%9A%E0%B9%83%E0%B8%AB%E0%B8%A1%E0%B9%88%E0%B8%84%E0%B9%88%E0%B8%B2%E0%B9%81%E0%B8%A3%E0%B8%87%E0%B8%82%E0%B8%B1%E0%B9%89%E0%B8%99%E0%B8%95%E0%B9%88%E0%B8%B3-%E0%B8%AA%E0%B8%AD%E0%B8%94%E0%B8%A3%E0%B8%B1%E0%B8%9A%E0%B9%80%E0%B8%A8%E0%B8%A3%E0%B8%A9%E0%B8%90%E0%B8%81%E0%B8%B4%E0%B8%88-%E0%B8%A2%E0%B8%81%E0%B8%A3%E0%B8%B0%E0%B8%94%E0%B8%B1%E0%B8%9A%E0%B8%84%E0%B8%B8%E0%B8%93%E0%B8%A0%E0%B8%B2%E0%B8%9E%E0%B8%8A%E0%B8%B5%E0%B8%A7%E0%B8%B4%E0%B8%95%E0%B9%81%E0%B8%A3%E0%B8%87%E0%B8%87%E0%B8%B2%E0%B8%99</x:v>
      </x:c>
      <x:c r="L249" s="4" t="str">
        <x:v>替代原失效URL；同機構同資料系列，只算單源。</x:v>
      </x:c>
      <x:c r="M249" s="4" t="str">
        <x:v>turn258view0</x:v>
      </x:c>
      <x:c r="N249" s="4" t="str">
        <x:v>Ministry of Labour Thailand</x:v>
      </x:c>
    </x:row>
    <x:row r="250" ht="38" customHeight="1">
      <x:c r="A250" s="4" t="str">
        <x:v>VN14</x:v>
      </x:c>
      <x:c r="B250" s="4" t="str">
        <x:v>Thiết kế nội thất</x:v>
      </x:c>
      <x:c r="C250" s="4" t="str">
        <x:v>Nhà Xinh</x:v>
      </x:c>
      <x:c r="D250" s="15" t="str">
        <x:v>未標示（2026-10-09查閱）</x:v>
      </x:c>
      <x:c r="E250" s="4" t="str">
        <x:v>越文</x:v>
      </x:c>
      <x:c r="F250" s="4" t="str">
        <x:v>VN</x:v>
      </x:c>
      <x:c r="G250" s="4" t="str">
        <x:v>C</x:v>
      </x:c>
      <x:c r="H250" s="4" t="str">
        <x:v>opened</x:v>
      </x:c>
      <x:c r="I250" s="4" t="str"/>
      <x:c r="J250" s="4" t="str">
        <x:v>未記錄</x:v>
      </x:c>
      <x:c r="K250" s="24" t="str">
        <x:v>https://nhaxinh.com/thiet-ke-noi-that/</x:v>
      </x:c>
      <x:c r="L250" s="4" t="str">
        <x:v>乾淨網址實讀；公司服務自述，不視為產業統計。</x:v>
      </x:c>
      <x:c r="M250" s="4" t="str">
        <x:v>turn210view4</x:v>
      </x:c>
      <x:c r="N250" s="4" t="str">
        <x:v>Nhà Xinh</x:v>
      </x:c>
    </x:row>
    <x:row r="251" ht="38" customHeight="1">
      <x:c r="A251" s="4" t="str">
        <x:v>VN15</x:v>
      </x:c>
      <x:c r="B251" s="4" t="str">
        <x:v>About Us — AA Corporation</x:v>
      </x:c>
      <x:c r="C251" s="4" t="str">
        <x:v>AA Corporation</x:v>
      </x:c>
      <x:c r="D251" s="15" t="str">
        <x:v>未標示（2026-10-09查閱）</x:v>
      </x:c>
      <x:c r="E251" s="4" t="str">
        <x:v>英文</x:v>
      </x:c>
      <x:c r="F251" s="4" t="str">
        <x:v>VN</x:v>
      </x:c>
      <x:c r="G251" s="4" t="str">
        <x:v>C</x:v>
      </x:c>
      <x:c r="H251" s="4" t="str">
        <x:v>opened</x:v>
      </x:c>
      <x:c r="I251" s="4" t="str"/>
      <x:c r="J251" s="4" t="str">
        <x:v>未記錄</x:v>
      </x:c>
      <x:c r="K251" s="24" t="str">
        <x:v>https://aacorporation.com/about-us</x:v>
      </x:c>
      <x:c r="L251" s="4" t="str">
        <x:v>本輪補充實際開啟；僅採頁面支持之法規存在、法規沿革或公司服務內容，不据此創設未核實營收與法定資格。</x:v>
      </x:c>
      <x:c r="M251" s="4" t="str">
        <x:v>turn262view0</x:v>
      </x:c>
      <x:c r="N251" s="4" t="str">
        <x:v>AA Corporation</x:v>
      </x:c>
    </x:row>
    <x:row r="252" ht="38" customHeight="1">
      <x:c r="A252" s="4" t="str">
        <x:v>VN16</x:v>
      </x:c>
      <x:c r="B252" s="4" t="str">
        <x:v>Nghị định 219/2025/NĐ-CP：外籍勞工</x:v>
      </x:c>
      <x:c r="C252" s="4" t="str">
        <x:v>越南政府</x:v>
      </x:c>
      <x:c r="D252" s="15" t="n">
        <x:v>2025</x:v>
      </x:c>
      <x:c r="E252" s="4" t="str">
        <x:v>越文</x:v>
      </x:c>
      <x:c r="F252" s="4" t="str">
        <x:v>VN</x:v>
      </x:c>
      <x:c r="G252" s="4" t="str">
        <x:v>A</x:v>
      </x:c>
      <x:c r="H252" s="4" t="str">
        <x:v>opened</x:v>
      </x:c>
      <x:c r="I252" s="4" t="str"/>
      <x:c r="J252" s="4" t="str">
        <x:v>未記錄</x:v>
      </x:c>
      <x:c r="K252" s="24" t="str">
        <x:v>https://vanban.chinhphu.vn/?docid=214840&amp;pageid=27160</x:v>
      </x:c>
      <x:c r="L252" s="4" t="str">
        <x:v>本輪補充實際開啟；僅採頁面支持之法規存在、法規沿革或公司服務內容，不据此創設未核實營收與法定資格。</x:v>
      </x:c>
      <x:c r="M252" s="4" t="str">
        <x:v>turn262view1</x:v>
      </x:c>
      <x:c r="N252" s="4" t="str">
        <x:v>越南政府</x:v>
      </x:c>
    </x:row>
    <x:row r="253" ht="38" customHeight="1">
      <x:c r="A253" s="4" t="str">
        <x:v>VN17</x:v>
      </x:c>
      <x:c r="B253" s="4" t="str">
        <x:v>ABOUT HAWA</x:v>
      </x:c>
      <x:c r="C253" s="4" t="str">
        <x:v>HAWA／HawaExpo</x:v>
      </x:c>
      <x:c r="D253" s="15" t="str">
        <x:v>未標示（2026-10-09查閱）</x:v>
      </x:c>
      <x:c r="E253" s="4" t="str">
        <x:v>英文</x:v>
      </x:c>
      <x:c r="F253" s="4" t="str">
        <x:v>VN</x:v>
      </x:c>
      <x:c r="G253" s="4" t="str">
        <x:v>B</x:v>
      </x:c>
      <x:c r="H253" s="4" t="str">
        <x:v>opened</x:v>
      </x:c>
      <x:c r="I253" s="4" t="str"/>
      <x:c r="J253" s="4" t="str">
        <x:v>未記錄</x:v>
      </x:c>
      <x:c r="K253" s="24" t="str">
        <x:v>https://www.hawaexpo.com/about-hawa/</x:v>
      </x:c>
      <x:c r="L253" s="4" t="str">
        <x:v>本輪補充實際開啟；僅採頁面支持之法規存在、法規沿革或公司服務內容，不据此創設未核實營收與法定資格。</x:v>
      </x:c>
      <x:c r="M253" s="4" t="str">
        <x:v>turn262view3</x:v>
      </x:c>
      <x:c r="N253" s="4" t="str">
        <x:v>HAWA／HawaExpo</x:v>
      </x:c>
    </x:row>
    <x:row r="254" ht="38" customHeight="1">
      <x:c r="A254" s="4" t="str">
        <x:v>VN18</x:v>
      </x:c>
      <x:c r="B254" s="4" t="str">
        <x:v>Luật 19/2023/QH15：消費者權益保護法</x:v>
      </x:c>
      <x:c r="C254" s="4" t="str">
        <x:v>越南國會／政府法規入口</x:v>
      </x:c>
      <x:c r="D254" s="15" t="n">
        <x:v>2023</x:v>
      </x:c>
      <x:c r="E254" s="4" t="str">
        <x:v>越文</x:v>
      </x:c>
      <x:c r="F254" s="4" t="str">
        <x:v>VN</x:v>
      </x:c>
      <x:c r="G254" s="4" t="str">
        <x:v>A</x:v>
      </x:c>
      <x:c r="H254" s="4" t="str">
        <x:v>opened</x:v>
      </x:c>
      <x:c r="I254" s="4" t="str"/>
      <x:c r="J254" s="4" t="str">
        <x:v>未記錄</x:v>
      </x:c>
      <x:c r="K254" s="24" t="str">
        <x:v>https://vanban.chinhphu.vn/?docid=208363&amp;pageid=27160</x:v>
      </x:c>
      <x:c r="L254" s="4" t="str">
        <x:v>本輪補充實際開啟；僅採頁面支持之法規存在、法規沿革或公司服務內容，不据此創設未核實營收與法定資格。</x:v>
      </x:c>
      <x:c r="M254" s="4" t="str">
        <x:v>turn262view4</x:v>
      </x:c>
      <x:c r="N254" s="4" t="str">
        <x:v>越南國會／政府法規入口</x:v>
      </x:c>
    </x:row>
    <x:row r="255" ht="38" customHeight="1">
      <x:c r="A255" s="4" t="str">
        <x:v>VN19</x:v>
      </x:c>
      <x:c r="B255" s="4" t="str">
        <x:v>Luật 40/2019/QH14：建築專業法</x:v>
      </x:c>
      <x:c r="C255" s="4" t="str">
        <x:v>越南國會／電子公報</x:v>
      </x:c>
      <x:c r="D255" s="15" t="n">
        <x:v>2019</x:v>
      </x:c>
      <x:c r="E255" s="4" t="str">
        <x:v>越文</x:v>
      </x:c>
      <x:c r="F255" s="4" t="str">
        <x:v>VN</x:v>
      </x:c>
      <x:c r="G255" s="4" t="str">
        <x:v>A</x:v>
      </x:c>
      <x:c r="H255" s="4" t="str">
        <x:v>opened</x:v>
      </x:c>
      <x:c r="I255" s="4" t="str"/>
      <x:c r="J255" s="4" t="str">
        <x:v>未記錄</x:v>
      </x:c>
      <x:c r="K255" s="24" t="str">
        <x:v>https://congbao.chinhphu.vn/van-ban/luat-so-40-2019-qh14-29249.htm</x:v>
      </x:c>
      <x:c r="L255" s="4" t="str">
        <x:v>本輪補充實際開啟；僅採頁面支持之法規存在、法規沿革或公司服務內容，不据此創設未核實營收與法定資格。</x:v>
      </x:c>
      <x:c r="M255" s="4" t="str">
        <x:v>turn266view3</x:v>
      </x:c>
      <x:c r="N255" s="4" t="str">
        <x:v>越南國會／電子公報</x:v>
      </x:c>
    </x:row>
    <x:row r="256" ht="38" customHeight="1">
      <x:c r="A256" s="4" t="str">
        <x:v>VN20</x:v>
      </x:c>
      <x:c r="B256" s="4" t="str">
        <x:v>Hoàn thiện hệ thống pháp luật về kiến trúc（建築專業法修法討論）</x:v>
      </x:c>
      <x:c r="C256" s="4" t="str">
        <x:v>越南政府新聞網</x:v>
      </x:c>
      <x:c r="D256" s="15" t="n">
        <x:v>2026</x:v>
      </x:c>
      <x:c r="E256" s="4" t="str">
        <x:v>越文</x:v>
      </x:c>
      <x:c r="F256" s="4" t="str">
        <x:v>VN</x:v>
      </x:c>
      <x:c r="G256" s="4" t="str">
        <x:v>A</x:v>
      </x:c>
      <x:c r="H256" s="4" t="str">
        <x:v>opened</x:v>
      </x:c>
      <x:c r="I256" s="4" t="str"/>
      <x:c r="J256" s="4" t="str">
        <x:v>未記錄</x:v>
      </x:c>
      <x:c r="K256" s="24" t="str">
        <x:v>https://baochinhphu.vn/hoan-thien-he-thong-phap-luat-ve-kien-truc-102260805094008436.htm</x:v>
      </x:c>
      <x:c r="L256" s="4" t="str">
        <x:v>本輪補充實際開啟；僅採頁面支持之法規存在、法規沿革或公司服務內容，不据此創設未核實營收與法定資格。</x:v>
      </x:c>
      <x:c r="M256" s="4" t="str">
        <x:v>turn266view4</x:v>
      </x:c>
      <x:c r="N256" s="4" t="str">
        <x:v>越南政府新聞網</x:v>
      </x:c>
    </x:row>
    <x:row r="257" ht="38" customHeight="1">
      <x:c r="A257" s="4" t="str">
        <x:v>VN21</x:v>
      </x:c>
      <x:c r="B257" s="4" t="str">
        <x:v>Quy định mới về cấp giấy phép cho lao động nước ngoài tại Việt Nam</x:v>
      </x:c>
      <x:c r="C257" s="4" t="str">
        <x:v>越南政府新聞網</x:v>
      </x:c>
      <x:c r="D257" s="15" t="n">
        <x:v>2025</x:v>
      </x:c>
      <x:c r="E257" s="4" t="str">
        <x:v>越文</x:v>
      </x:c>
      <x:c r="F257" s="4" t="str">
        <x:v>VN</x:v>
      </x:c>
      <x:c r="G257" s="4" t="str">
        <x:v>A</x:v>
      </x:c>
      <x:c r="H257" s="4" t="str">
        <x:v>opened</x:v>
      </x:c>
      <x:c r="I257" s="4" t="str"/>
      <x:c r="J257" s="4" t="str">
        <x:v>未記錄</x:v>
      </x:c>
      <x:c r="K257" s="24" t="str">
        <x:v>https://baochinhphu.vn/quy-dinh-moi-ve-cap-giay-phep-cho-lao-dong-nuoc-ngoai-tai-viet-nam-102250807172724025.htm</x:v>
      </x:c>
      <x:c r="L257" s="4" t="str">
        <x:v>本輪補充實際開啟；僅採頁面支持之法規存在、法規沿革或公司服務內容，不据此創設未核實營收與法定資格。</x:v>
      </x:c>
      <x:c r="M257" s="4" t="str">
        <x:v>turn269view0</x:v>
      </x:c>
      <x:c r="N257" s="4" t="str">
        <x:v>越南政府新聞網</x:v>
      </x:c>
    </x:row>
    <x:row r="258" ht="38" customHeight="1">
      <x:c r="A258" s="4" t="str">
        <x:v>ID15</x:v>
      </x:c>
      <x:c r="B258" s="4" t="str">
        <x:v>PP 16/2021：建築物法施行條例</x:v>
      </x:c>
      <x:c r="C258" s="4" t="str">
        <x:v>JDIH BPK</x:v>
      </x:c>
      <x:c r="D258" s="15" t="n">
        <x:v>2021</x:v>
      </x:c>
      <x:c r="E258" s="4" t="str">
        <x:v>印尼文</x:v>
      </x:c>
      <x:c r="F258" s="4" t="str">
        <x:v>ID</x:v>
      </x:c>
      <x:c r="G258" s="4" t="str">
        <x:v>A</x:v>
      </x:c>
      <x:c r="H258" s="4" t="str">
        <x:v>opened</x:v>
      </x:c>
      <x:c r="I258" s="4" t="str"/>
      <x:c r="J258" s="4" t="str">
        <x:v>未記錄</x:v>
      </x:c>
      <x:c r="K258" s="24" t="str">
        <x:v>https://peraturan.bpk.go.id/Details/161846/pp-no-16-tahun-2021</x:v>
      </x:c>
      <x:c r="L258" s="4" t="str">
        <x:v>本輪補充實際開啟；僅採頁面支持之法規存在、法規沿革或公司服務內容，不据此創設未核實營收與法定資格。</x:v>
      </x:c>
      <x:c r="M258" s="4" t="str">
        <x:v>turn266view0</x:v>
      </x:c>
      <x:c r="N258" s="4" t="str">
        <x:v>JDIH BPK</x:v>
      </x:c>
    </x:row>
    <x:row r="259" ht="38" customHeight="1">
      <x:c r="A259" s="4" t="str">
        <x:v>ID16</x:v>
      </x:c>
      <x:c r="B259" s="4" t="str">
        <x:v>UU 8/1999：消費者保護法</x:v>
      </x:c>
      <x:c r="C259" s="4" t="str">
        <x:v>JDIH BPK</x:v>
      </x:c>
      <x:c r="D259" s="15" t="n">
        <x:v>1999</x:v>
      </x:c>
      <x:c r="E259" s="4" t="str">
        <x:v>印尼文</x:v>
      </x:c>
      <x:c r="F259" s="4" t="str">
        <x:v>ID</x:v>
      </x:c>
      <x:c r="G259" s="4" t="str">
        <x:v>A</x:v>
      </x:c>
      <x:c r="H259" s="4" t="str">
        <x:v>opened</x:v>
      </x:c>
      <x:c r="I259" s="4" t="str"/>
      <x:c r="J259" s="4" t="str">
        <x:v>未記錄</x:v>
      </x:c>
      <x:c r="K259" s="24" t="str">
        <x:v>https://peraturan.bpk.go.id/Details/45288/uu-no-8-tahun-1999</x:v>
      </x:c>
      <x:c r="L259" s="4" t="str">
        <x:v>本輪補充實際開啟；僅採頁面支持之法規存在、法規沿革或公司服務內容，不据此創設未核實營收與法定資格。</x:v>
      </x:c>
      <x:c r="M259" s="4" t="str">
        <x:v>turn266view1</x:v>
      </x:c>
      <x:c r="N259" s="4" t="str">
        <x:v>JDIH BPK</x:v>
      </x:c>
    </x:row>
    <x:row r="260" ht="38" customHeight="1">
      <x:c r="A260" s="4" t="str">
        <x:v>ID17</x:v>
      </x:c>
      <x:c r="B260" s="4" t="str">
        <x:v>PP 34/2021：外國勞工使用規定</x:v>
      </x:c>
      <x:c r="C260" s="4" t="str">
        <x:v>印尼勞動部 JDIH</x:v>
      </x:c>
      <x:c r="D260" s="15" t="n">
        <x:v>2021</x:v>
      </x:c>
      <x:c r="E260" s="4" t="str">
        <x:v>印尼文</x:v>
      </x:c>
      <x:c r="F260" s="4" t="str">
        <x:v>ID</x:v>
      </x:c>
      <x:c r="G260" s="4" t="str">
        <x:v>A</x:v>
      </x:c>
      <x:c r="H260" s="4" t="str">
        <x:v>opened</x:v>
      </x:c>
      <x:c r="I260" s="4" t="str"/>
      <x:c r="J260" s="4" t="str">
        <x:v>未記錄</x:v>
      </x:c>
      <x:c r="K260" s="24" t="str">
        <x:v>https://jdih.kemnaker.go.id/peraturan/detail/1722/peraturan-pemerintah-nomor-34-tahun-2021</x:v>
      </x:c>
      <x:c r="L260" s="4" t="str">
        <x:v>本輪補充實際開啟；僅採頁面支持之法規存在、法規沿革或公司服務內容，不据此創設未核實營收與法定資格。</x:v>
      </x:c>
      <x:c r="M260" s="4" t="str">
        <x:v>turn266view2</x:v>
      </x:c>
      <x:c r="N260" s="4" t="str">
        <x:v>印尼勞動部 JDIH</x:v>
      </x:c>
    </x:row>
    <x:row r="261" ht="38" customHeight="1">
      <x:c r="A261" s="4" t="str">
        <x:v>ID18</x:v>
      </x:c>
      <x:c r="B261" s="4" t="str">
        <x:v>Sertifikasi — HDII</x:v>
      </x:c>
      <x:c r="C261" s="4" t="str">
        <x:v>Himpunan Desainer Interior Indonesia</x:v>
      </x:c>
      <x:c r="D261" s="15" t="str">
        <x:v>未標示（2026-10-09查閱）</x:v>
      </x:c>
      <x:c r="E261" s="4" t="str">
        <x:v>印尼文</x:v>
      </x:c>
      <x:c r="F261" s="4" t="str">
        <x:v>ID</x:v>
      </x:c>
      <x:c r="G261" s="4" t="str">
        <x:v>B</x:v>
      </x:c>
      <x:c r="H261" s="4" t="str">
        <x:v>opened</x:v>
      </x:c>
      <x:c r="I261" s="4" t="str"/>
      <x:c r="J261" s="4" t="str">
        <x:v>未記錄</x:v>
      </x:c>
      <x:c r="K261" s="24" t="str">
        <x:v>https://hdii.or.id/sertifikasi</x:v>
      </x:c>
      <x:c r="L261" s="4" t="str">
        <x:v>本輪補充實際開啟；僅採頁面支持之法規存在、法規沿革或公司服務內容，不据此創設未核實營收與法定資格。</x:v>
      </x:c>
      <x:c r="M261" s="4" t="str">
        <x:v>turn268view0</x:v>
      </x:c>
      <x:c r="N261" s="4" t="str">
        <x:v>Himpunan Desainer Interior Indonesia</x:v>
      </x:c>
    </x:row>
    <x:row r="262" ht="38" customHeight="1">
      <x:c r="A262" s="4" t="str">
        <x:v>ID19</x:v>
      </x:c>
      <x:c r="B262" s="4" t="str">
        <x:v>Tentang AZKO</x:v>
      </x:c>
      <x:c r="C262" s="4" t="str">
        <x:v>PT Aspirasi Hidup Indonesia Tbk</x:v>
      </x:c>
      <x:c r="D262" s="15" t="n">
        <x:v>2025</x:v>
      </x:c>
      <x:c r="E262" s="4" t="str">
        <x:v>印尼文</x:v>
      </x:c>
      <x:c r="F262" s="4" t="str">
        <x:v>ID</x:v>
      </x:c>
      <x:c r="G262" s="4" t="str">
        <x:v>C</x:v>
      </x:c>
      <x:c r="H262" s="4" t="str">
        <x:v>opened</x:v>
      </x:c>
      <x:c r="I262" s="4" t="str"/>
      <x:c r="J262" s="4" t="str">
        <x:v>未記錄</x:v>
      </x:c>
      <x:c r="K262" s="24" t="str">
        <x:v>https://azko.id/about-us</x:v>
      </x:c>
      <x:c r="L262" s="4" t="str">
        <x:v>本輪補充實際開啟；僅採頁面支持之法規存在、法規沿革或公司服務內容，不据此創設未核實營收與法定資格。</x:v>
      </x:c>
      <x:c r="M262" s="4" t="str">
        <x:v>turn268view1</x:v>
      </x:c>
      <x:c r="N262" s="4" t="str">
        <x:v>PT Aspirasi Hidup Indonesia Tbk</x:v>
      </x:c>
    </x:row>
    <x:row r="263" ht="38" customHeight="1">
      <x:c r="A263" s="4" t="str">
        <x:v>ID20</x:v>
      </x:c>
      <x:c r="B263" s="4" t="str">
        <x:v>News &amp; Events／Services — VIVERE Group</x:v>
      </x:c>
      <x:c r="C263" s="4" t="str">
        <x:v>VIVERE Group</x:v>
      </x:c>
      <x:c r="D263" s="15" t="n">
        <x:v>2025</x:v>
      </x:c>
      <x:c r="E263" s="4" t="str">
        <x:v>英文</x:v>
      </x:c>
      <x:c r="F263" s="4" t="str">
        <x:v>ID</x:v>
      </x:c>
      <x:c r="G263" s="4" t="str">
        <x:v>C</x:v>
      </x:c>
      <x:c r="H263" s="4" t="str">
        <x:v>opened</x:v>
      </x:c>
      <x:c r="I263" s="4" t="str"/>
      <x:c r="J263" s="4" t="str">
        <x:v>未記錄</x:v>
      </x:c>
      <x:c r="K263" s="24" t="str">
        <x:v>https://www.vivere.co.id/en/news-events/?start_rec=12</x:v>
      </x:c>
      <x:c r="L263" s="4" t="str">
        <x:v>本輪補充實際開啟；僅採頁面支持之法規存在、法規沿革或公司服務內容，不据此創設未核實營收與法定資格。</x:v>
      </x:c>
      <x:c r="M263" s="4" t="str">
        <x:v>turn268view2</x:v>
      </x:c>
      <x:c r="N263" s="4" t="str">
        <x:v>VIVERE Group</x:v>
      </x:c>
    </x:row>
    <x:row r="264" ht="38" customHeight="1">
      <x:c r="A264" s="4" t="str">
        <x:v>IN18</x:v>
      </x:c>
      <x:c r="B264" s="4" t="str">
        <x:v>Furniture (Quality Control) Order, 2025</x:v>
      </x:c>
      <x:c r="C264" s="4" t="str">
        <x:v>DPIIT / Bureau of Indian Standards</x:v>
      </x:c>
      <x:c r="D264" s="15" t="str">
        <x:v>2025</x:v>
      </x:c>
      <x:c r="E264" s="4" t="str">
        <x:v>英語（雙語公報，僅使用英文段）</x:v>
      </x:c>
      <x:c r="F264" s="4" t="str">
        <x:v>IN</x:v>
      </x:c>
      <x:c r="G264" s="4" t="str">
        <x:v>A</x:v>
      </x:c>
      <x:c r="H264" s="4" t="str">
        <x:v>opened_read</x:v>
      </x:c>
      <x:c r="I264" s="4" t="str"/>
      <x:c r="J264" s="4" t="str">
        <x:v>未記錄</x:v>
      </x:c>
      <x:c r="K264" s="24" t="str">
        <x:v>https://www.bis.gov.in/furniture-qco-17-02-2025/</x:v>
      </x:c>
      <x:c r="L264" s="4" t="str">
        <x:v>BIS 提供 2025 家具 QCO 英文法令頁已讀；2026 修正頁兩次 timeout，歷史範圍可用，現行時點待核。</x:v>
      </x:c>
      <x:c r="M264" s="4" t="str">
        <x:v>turn245view3</x:v>
      </x:c>
      <x:c r="N264" s="4" t="str">
        <x:v>DPIIT / Bureau of Indian Standards</x:v>
      </x:c>
    </x:row>
    <x:row r="265" ht="38" customHeight="1">
      <x:c r="A265" s="4" t="str">
        <x:v>X18</x:v>
      </x:c>
      <x:c r="B265" s="4" t="str">
        <x:v>SSKI Table 2 Indicators of Macroeconomic，row53 USD exchange rate</x:v>
      </x:c>
      <x:c r="C265" s="4" t="str">
        <x:v>Bank Indonesia</x:v>
      </x:c>
      <x:c r="D265" s="15" t="n">
        <x:v>2026</x:v>
      </x:c>
      <x:c r="E265" s="4" t="str">
        <x:v>印尼文／英文</x:v>
      </x:c>
      <x:c r="F265" s="4" t="str">
        <x:v>ID</x:v>
      </x:c>
      <x:c r="G265" s="4" t="str">
        <x:v>A</x:v>
      </x:c>
      <x:c r="H265" s="4" t="str">
        <x:v>opened_read</x:v>
      </x:c>
      <x:c r="I265" s="4" t="str"/>
      <x:c r="J265" s="4" t="str">
        <x:v>未記錄</x:v>
      </x:c>
      <x:c r="K265" s="24" t="str">
        <x:v>https://www.bi.go.id/id/statistik/ekonomi-keuangan/sski/Documents/Tabel_2.pdf</x:v>
      </x:c>
      <x:c r="L265" s="4" t="str">
        <x:v>第53列2025年度及2025Dec均16782，2025Sep16680；與X09同機構不構成獨立雙源。</x:v>
      </x:c>
      <x:c r="M265" s="4" t="str">
        <x:v>turn274view0</x:v>
      </x:c>
      <x:c r="N265" s="4" t="str">
        <x:v>Bank Indonesia</x:v>
      </x:c>
    </x:row>
  </x:sheetData>
  <x:conditionalFormatting sqref="G2:G265">
    <x:cfRule type="containsText" dxfId="6" priority="1" operator="containsText" text="D"/>
  </x:conditionalFormatting>
  <x:pageMargins left="0.7" right="0.7" top="0.75" bottom="0.75" header="0.3" footer="0.3"/>
  <x:tableParts count="1">
    <x:tablePart xmlns:r="http://schemas.openxmlformats.org/officeDocument/2006/relationships" r:id="Rddde6f947b58450d"/>
  </x:tableParts>
</x:worksheet>
</file>